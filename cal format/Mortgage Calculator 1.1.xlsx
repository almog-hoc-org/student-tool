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filterPrivacy="1" codeName="ThisWorkbook" autoCompressPictures="0"/>
  <xr:revisionPtr revIDLastSave="0" documentId="13_ncr:1_{A05D37C6-2856-4AC5-8B67-EF1725FE6B0A}" xr6:coauthVersionLast="47" xr6:coauthVersionMax="47" xr10:uidLastSave="{00000000-0000-0000-0000-000000000000}"/>
  <bookViews>
    <workbookView xWindow="-108" yWindow="-108" windowWidth="23256" windowHeight="13176" xr2:uid="{00000000-000D-0000-FFFF-FFFF00000000}"/>
  </bookViews>
  <sheets>
    <sheet name="דאשבורד" sheetId="6" r:id="rId1"/>
    <sheet name="מחשבון משכנתה" sheetId="1" r:id="rId2"/>
    <sheet name=" טבלת סילוקין - מסכמת" sheetId="7" r:id="rId3"/>
    <sheet name=" טבלת סילוקין - לפי מסלולים" sheetId="2" r:id="rId4"/>
    <sheet name="נתונים" sheetId="3" r:id="rId5"/>
  </sheets>
  <definedNames>
    <definedName name="ColumnTitle2" localSheetId="2">הפחתה23[[#Headers],[מס'']]</definedName>
    <definedName name="ColumnTitle2" localSheetId="0">הפחתה[[#Headers],[מס'']]</definedName>
    <definedName name="ColumnTitle2">הפחתה[[#Headers],[מס'']]</definedName>
    <definedName name="HeaderRow" localSheetId="2">ROW(' טבלת סילוקין - מסכמת'!$B$3:$J$3)</definedName>
    <definedName name="HeaderRow">ROW(' טבלת סילוקין - לפי מסלולים'!$B$3:$J$3)</definedName>
    <definedName name="HeaderRow2" localSheetId="2">ROW(' טבלת סילוקין - מסכמת'!#REF!)</definedName>
    <definedName name="HeaderRow2">ROW(' טבלת סילוקין - לפי מסלולים'!$K$3:$S$3)</definedName>
    <definedName name="HeaderRow3" localSheetId="2">ROW(' טבלת סילוקין - מסכמת'!#REF!)</definedName>
    <definedName name="HeaderRow3">ROW(' טבלת סילוקין - לפי מסלולים'!$T$3:$AB$3)</definedName>
    <definedName name="HeaderRow4" localSheetId="2">ROW(' טבלת סילוקין - מסכמת'!#REF!)</definedName>
    <definedName name="HeaderRow4">ROW(' טבלת סילוקין - לפי מסלולים'!$AC$3:$AK$3)</definedName>
    <definedName name="LastRow" localSheetId="2">COUNTIF(' טבלת סילוקין - מסכמת'!$C$4:$C$363,"&gt;1")+' טבלת סילוקין - מסכמת'!HeaderRow</definedName>
    <definedName name="LastRow">COUNTIF(' טבלת סילוקין - לפי מסלולים'!$C$4:$C$363,"&gt;1")+HeaderRow</definedName>
    <definedName name="LastRow2" localSheetId="2">COUNTIF(' טבלת סילוקין - מסכמת'!#REF!,"&gt;1")+' טבלת סילוקין - מסכמת'!HeaderRow2</definedName>
    <definedName name="LastRow2">COUNTIF(' טבלת סילוקין - לפי מסלולים'!$L$4:$L$363,"&gt;1")+HeaderRow2</definedName>
    <definedName name="LastRow3" localSheetId="2">COUNTIF(' טבלת סילוקין - מסכמת'!#REF!,"&gt;1")+' טבלת סילוקין - מסכמת'!HeaderRow3</definedName>
    <definedName name="LastRow3">COUNTIF(' טבלת סילוקין - לפי מסלולים'!$U$4:$U$363,"&gt;1")+HeaderRow3</definedName>
    <definedName name="LastRow4" localSheetId="2">COUNTIF(' טבלת סילוקין - מסכמת'!#REF!,"&gt;1")+' טבלת סילוקין - מסכמת'!HeaderRow4</definedName>
    <definedName name="LastRow4">COUNTIF(' טבלת סילוקין - לפי מסלולים'!$AD$4:$AD$363,"&gt;1")+HeaderRow4</definedName>
    <definedName name="LoanIsGood" localSheetId="0">(דאשבורד!$C$4*דאשבורד!$C$5*דאשבורד!$C$6)&gt;0</definedName>
    <definedName name="LoanIsGood">('מחשבון משכנתה'!$C$4*'מחשבון משכנתה'!$C$5*'מחשבון משכנתה'!$C$6)&gt;0</definedName>
    <definedName name="LoanIsGood2" localSheetId="0">(דאשבורד!#REF!*דאשבורד!#REF!*דאשבורד!#REF!)&gt;0</definedName>
    <definedName name="LoanIsGood2">('מחשבון משכנתה'!$L$4*'מחשבון משכנתה'!$L$5*'מחשבון משכנתה'!$L$6)&gt;0</definedName>
    <definedName name="LoanStart">'מחשבון משכנתה'!$C$7</definedName>
    <definedName name="LoanStart2">'מחשבון משכנתה'!$G$7</definedName>
    <definedName name="LoanStart3">'מחשבון משכנתה'!$K$7</definedName>
    <definedName name="LoanStart4">'מחשבון משכנתה'!$O$7</definedName>
    <definedName name="MonthlyLoanPayment">'מחשבון משכנתה'!$E$4</definedName>
    <definedName name="MonthlyLoanPayment2">'מחשבון משכנתה'!$I$4</definedName>
    <definedName name="MonthlyLoanPayment3">'מחשבון משכנתה'!$M$4</definedName>
    <definedName name="MonthlyLoanPayment4">'מחשבון משכנתה'!$Q$4</definedName>
    <definedName name="NoPaymentsRemaining" localSheetId="2">' טבלת סילוקין - מסכמת'!$J$4:$J$363</definedName>
    <definedName name="NoPaymentsRemaining">' טבלת סילוקין - לפי מסלולים'!$J$4:$J$363</definedName>
    <definedName name="NoPaymentsRemaining2" localSheetId="2">#REF!</definedName>
    <definedName name="NoPaymentsRemaining2" localSheetId="0">הפחתה5[תשלומים
שנותרו]</definedName>
    <definedName name="NoPaymentsRemaining2">הפחתה5[תשלומים
שנותרו]</definedName>
    <definedName name="NoPaymentsRemaining3" localSheetId="2">#REF!</definedName>
    <definedName name="NoPaymentsRemaining3" localSheetId="0">הפחתה7[תשלומים
שנותרו]</definedName>
    <definedName name="NoPaymentsRemaining3">הפחתה7[תשלומים
שנותרו]</definedName>
    <definedName name="NoPaymentsRemaining4" localSheetId="2">#REF!</definedName>
    <definedName name="NoPaymentsRemaining4" localSheetId="0">הפחתה8[תשלומים
שנותרו]</definedName>
    <definedName name="NoPaymentsRemaining4">הפחתה8[תשלומים
שנותרו]</definedName>
    <definedName name="PaymentDurationIncreaseDecrease" localSheetId="2">INT(NPER(שיעור_ריבית/12,-[0]!MonthlyLoanPayment*VLOOKUP(PaymentPercentage,PaymentScenarios,2,FALSE),סכום_הלוואה))</definedName>
    <definedName name="PaymentDurationIncreaseDecrease" localSheetId="0">INT(NPER([0]!שיעור_ריבית/12,-[0]!MonthlyLoanPayment*VLOOKUP(PaymentPercentage,PaymentScenarios,2,FALSE),[0]!סכום_הלוואה))</definedName>
    <definedName name="PaymentDurationIncreaseDecrease">INT(NPER(שיעור_ריבית/12,-MonthlyLoanPayment*VLOOKUP(PaymentPercentage,PaymentScenarios,2,FALSE),סכום_הלוואה))</definedName>
    <definedName name="PercentageIncreaseDecrease" localSheetId="2">1-' טבלת סילוקין - מסכמת'!PaymentDurationIncreaseDecrease/תקופת_ההלוואה</definedName>
    <definedName name="PercentageIncreaseDecrease" localSheetId="0">1-דאשבורד!PaymentDurationIncreaseDecrease/[0]!תקופת_ההלוואה</definedName>
    <definedName name="PercentageIncreaseDecrease">1-PaymentDurationIncreaseDecrease/תקופת_ההלוואה</definedName>
    <definedName name="PropertyTaxAmount" localSheetId="0">דאשבורד!$E$8</definedName>
    <definedName name="PropertyTaxAmount">'מחשבון משכנתה'!$E$8</definedName>
    <definedName name="TitleRegion1..C8" localSheetId="0">דאשבורד!$B$3</definedName>
    <definedName name="TitleRegion1..C8">'מחשבון משכנתה'!$B$3</definedName>
    <definedName name="TitleRegion2..E8" localSheetId="0">דאשבורד!$D$3</definedName>
    <definedName name="TitleRegion2..E8">'מחשבון משכנתה'!$D$3</definedName>
    <definedName name="total_interest_paid">'מחשבון משכנתה'!$E$7</definedName>
    <definedName name="total_interest_paid2">'מחשבון משכנתה'!$I$7</definedName>
    <definedName name="total_interest_paid3">'מחשבון משכנתה'!$M$7</definedName>
    <definedName name="total_interest_paid4">'מחשבון משכנתה'!$Q$7</definedName>
    <definedName name="total_loan_payment" localSheetId="2">' טבלת סילוקין - מסכמת'!$E$4:$F$363</definedName>
    <definedName name="total_loan_payment">' טבלת סילוקין - לפי מסלולים'!$E$4:$F$363</definedName>
    <definedName name="total_loan_payment2" localSheetId="2">#REF!</definedName>
    <definedName name="total_loan_payment2">הפחתה5[[ריבית]:[קרן]]</definedName>
    <definedName name="total_loan_payment3" localSheetId="2">#REF!</definedName>
    <definedName name="total_loan_payment3">הפחתה7[[ריבית]:[קרן]]</definedName>
    <definedName name="total_loan_payment4" localSheetId="2">#REF!</definedName>
    <definedName name="total_loan_payment4" localSheetId="0">הפחתה8[[ריבית]:[קרן]]</definedName>
    <definedName name="total_loan_payment4">הפחתה8[[ריבית]:[קרן]]</definedName>
    <definedName name="total_payments" localSheetId="2">' טבלת סילוקין - מסכמת'!$H$4:$H$363</definedName>
    <definedName name="total_payments">' טבלת סילוקין - לפי מסלולים'!$H$4:$H$363</definedName>
    <definedName name="total_payments2" localSheetId="2">#REF!</definedName>
    <definedName name="total_payments2" localSheetId="0">הפחתה5[סך
תשלומים]</definedName>
    <definedName name="total_payments2">הפחתה5[סך
תשלומים]</definedName>
    <definedName name="total_payments3" localSheetId="2">#REF!</definedName>
    <definedName name="total_payments3" localSheetId="0">הפחתה7[סך
תשלומים]</definedName>
    <definedName name="total_payments3">הפחתה7[סך
תשלומים]</definedName>
    <definedName name="total_payments4" localSheetId="2">#REF!</definedName>
    <definedName name="total_payments4" localSheetId="0">הפחתה8[סך
תשלומים]</definedName>
    <definedName name="total_payments4">הפחתה8[סך
תשלומים]</definedName>
    <definedName name="ValueOfHome" localSheetId="0">דאשבורד!#REF!</definedName>
    <definedName name="ValueOfHome">'מחשבון משכנתה'!#REF!</definedName>
    <definedName name="ValuesEntered" localSheetId="0">IF([0]!סכום_הלוואה*(LEN([0]!שיעור_ריבית)&gt;0)*[0]!תקופת_ההלוואה*[0]!LoanStart*(LEN(דאשבורד!PropertyTaxAmount)&gt;0)&gt;0,1,0)</definedName>
    <definedName name="ValuesEntered">IF(סכום_הלוואה*(LEN(שיעור_ריבית)&gt;0)*תקופת_ההלוואה*LoanStart*(LEN(PropertyTaxAmount)&gt;0)&gt;0,1,0)</definedName>
    <definedName name="ValuesEntered2" localSheetId="0">IF([0]!סכום_הלוואה2*(LEN([0]!שיעור_ריבית2)&gt;0)*[0]!תקופת_ההלוואה2*[0]!LoanStart2*(LEN(דאשבורד!PropertyTaxAmount)&gt;0)&gt;0,1,0)</definedName>
    <definedName name="ValuesEntered2">IF(סכום_הלוואה2*(LEN(שיעור_ריבית2)&gt;0)*תקופת_ההלוואה2*LoanStart2*(LEN(PropertyTaxAmount)&gt;0)&gt;0,1,0)</definedName>
    <definedName name="ValuesEntered3" localSheetId="0">IF([0]!סכום_הלוואה3*(LEN([0]!שיעור_ריבית3)&gt;0)*[0]!תקופת_ההלוואה3*[0]!LoanStart3*(LEN(דאשבורד!PropertyTaxAmount)&gt;0)&gt;0,1,0)</definedName>
    <definedName name="ValuesEntered3">IF(סכום_הלוואה3*(LEN(שיעור_ריבית3)&gt;0)*תקופת_ההלוואה3*LoanStart3*(LEN(PropertyTaxAmount)&gt;0)&gt;0,1,0)</definedName>
    <definedName name="ValuesEntered4" localSheetId="0">IF([0]!סכום_הלוואה4*(LEN([0]!שיעור_ריבית4)&gt;0)*[0]!תקופת_ההלוואה4*[0]!LoanStart4*(LEN(דאשבורד!PropertyTaxAmount)&gt;0)&gt;0,1,0)</definedName>
    <definedName name="ValuesEntered4">IF(סכום_הלוואה4*(LEN(שיעור_ריבית4)&gt;0)*תקופת_ההלוואה4*LoanStart4*(LEN(PropertyTaxAmount)&gt;0)&gt;0,1,0)</definedName>
    <definedName name="_xlnm.Print_Titles" localSheetId="3">' טבלת סילוקין - לפי מסלולים'!$3:$3</definedName>
    <definedName name="_xlnm.Print_Titles" localSheetId="2">' טבלת סילוקין - מסכמת'!$3:$3</definedName>
    <definedName name="הלוואה_כוללת">'מחשבון משכנתה'!$C$6+'מחשבון משכנתה'!$G$6+'מחשבון משכנתה'!$K$6+'מחשבון משכנתה'!$O$6</definedName>
    <definedName name="מדד">'מחשבון משכנתה'!$C$9</definedName>
    <definedName name="מדד2">'מחשבון משכנתה'!$G$9</definedName>
    <definedName name="מדד3">'מחשבון משכנתה'!$K$9</definedName>
    <definedName name="מדד4">'מחשבון משכנתה'!$O$9</definedName>
    <definedName name="סכום_הלוואה">'מחשבון משכנתה'!$C$6</definedName>
    <definedName name="סכום_הלוואה2">'מחשבון משכנתה'!$G$6</definedName>
    <definedName name="סכום_הלוואה3">'מחשבון משכנתה'!$K$6</definedName>
    <definedName name="סכום_הלוואה4">'מחשבון משכנתה'!$O$6</definedName>
    <definedName name="ריבית" localSheetId="2">' טבלת סילוקין - מסכמת'!$E$4:$E$363</definedName>
    <definedName name="ריבית">' טבלת סילוקין - לפי מסלולים'!$E$4:$E$363</definedName>
    <definedName name="ריבית2" localSheetId="2">#REF!</definedName>
    <definedName name="ריבית2" localSheetId="0">הפחתה5[ריבית]</definedName>
    <definedName name="ריבית2">הפחתה5[ריבית]</definedName>
    <definedName name="ריבית3" localSheetId="2">#REF!</definedName>
    <definedName name="ריבית3" localSheetId="0">הפחתה7[ריבית]</definedName>
    <definedName name="ריבית3">הפחתה7[ריבית]</definedName>
    <definedName name="ריבית4" localSheetId="2">#REF!</definedName>
    <definedName name="ריבית4" localSheetId="0">הפחתה8[ריבית]</definedName>
    <definedName name="ריבית4">הפחתה8[ריבית]</definedName>
    <definedName name="שיעור_ריבית">'מחשבון משכנתה'!$C$4</definedName>
    <definedName name="שיעור_ריבית2">'מחשבון משכנתה'!$G$4</definedName>
    <definedName name="שיעור_ריבית3">'מחשבון משכנתה'!$K$4</definedName>
    <definedName name="שיעור_ריבית4">'מחשבון משכנתה'!$O$4</definedName>
    <definedName name="תקופת_ההלוואה">'מחשבון משכנתה'!$C$5</definedName>
    <definedName name="תקופת_ההלוואה2">'מחשבון משכנתה'!$G$5</definedName>
    <definedName name="תקופת_ההלוואה3">'מחשבון משכנתה'!$K$5</definedName>
    <definedName name="תקופת_ההלוואה4">'מחשבון משכנתה'!$O$5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6" i="6" l="1" a="1"/>
  <c r="C6" i="6" s="1"/>
  <c r="B14" i="6" s="1"/>
  <c r="C13" i="1"/>
  <c r="D13" i="6"/>
  <c r="C13" i="6"/>
  <c r="B13" i="6"/>
  <c r="P3" i="6"/>
  <c r="P5" i="6" s="1"/>
  <c r="M3" i="6"/>
  <c r="C9" i="6"/>
  <c r="C5" i="6"/>
  <c r="H6" i="6"/>
  <c r="I2" i="6"/>
  <c r="H8" i="6" s="1"/>
  <c r="H10" i="6" s="1"/>
  <c r="K11" i="2"/>
  <c r="K13" i="2"/>
  <c r="A4" i="3"/>
  <c r="A5" i="3"/>
  <c r="A6" i="3"/>
  <c r="A7" i="3"/>
  <c r="A8" i="3"/>
  <c r="A9" i="3"/>
  <c r="A10" i="3"/>
  <c r="A11" i="3"/>
  <c r="A12" i="3"/>
  <c r="A2" i="3"/>
  <c r="K7" i="1"/>
  <c r="Q4" i="1"/>
  <c r="Q10" i="1" s="1"/>
  <c r="M4" i="1"/>
  <c r="M10" i="1" s="1"/>
  <c r="AE4" i="2"/>
  <c r="AH4" i="2" s="1"/>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V4" i="2"/>
  <c r="Y4" i="2" s="1"/>
  <c r="K4" i="2"/>
  <c r="L4" i="2" s="1"/>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M4" i="2"/>
  <c r="P4" i="2" s="1"/>
  <c r="K5" i="2"/>
  <c r="K6" i="2"/>
  <c r="K7" i="2"/>
  <c r="K8" i="2"/>
  <c r="K9" i="2"/>
  <c r="K10" i="2"/>
  <c r="K12"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D4" i="2"/>
  <c r="G4" i="2" s="1"/>
  <c r="B4" i="2"/>
  <c r="I4" i="1"/>
  <c r="I10" i="1" s="1"/>
  <c r="E4" i="1"/>
  <c r="E10" i="1" s="1"/>
  <c r="O7" i="1"/>
  <c r="C14" i="1" l="1"/>
  <c r="E16" i="1" s="1"/>
  <c r="C17" i="1" s="1"/>
  <c r="C7" i="6"/>
  <c r="B4" i="7"/>
  <c r="C4" i="7" s="1"/>
  <c r="E4" i="6" a="1"/>
  <c r="E4" i="6" s="1"/>
  <c r="H9" i="6"/>
  <c r="K10" i="6"/>
  <c r="C4" i="6"/>
  <c r="N4" i="2"/>
  <c r="D4" i="7"/>
  <c r="U4" i="2"/>
  <c r="AD4" i="2"/>
  <c r="AG4" i="2" s="1"/>
  <c r="AF4" i="2"/>
  <c r="W4" i="2"/>
  <c r="O4" i="2"/>
  <c r="R4" i="2" s="1"/>
  <c r="X4" i="2" l="1"/>
  <c r="E4" i="2"/>
  <c r="C4" i="2"/>
  <c r="B363" i="2"/>
  <c r="B363" i="7" s="1"/>
  <c r="B362" i="2"/>
  <c r="B362" i="7" s="1"/>
  <c r="B361" i="2"/>
  <c r="B361" i="7" s="1"/>
  <c r="B360" i="2"/>
  <c r="B360" i="7" s="1"/>
  <c r="B359" i="2"/>
  <c r="B359" i="7" s="1"/>
  <c r="B358" i="2"/>
  <c r="B358" i="7" s="1"/>
  <c r="B357" i="2"/>
  <c r="B357" i="7" s="1"/>
  <c r="B356" i="2"/>
  <c r="B356" i="7" s="1"/>
  <c r="B355" i="2"/>
  <c r="B355" i="7" s="1"/>
  <c r="B354" i="2"/>
  <c r="B354" i="7" s="1"/>
  <c r="B353" i="2"/>
  <c r="B353" i="7" s="1"/>
  <c r="B352" i="2"/>
  <c r="B352" i="7" s="1"/>
  <c r="B351" i="2"/>
  <c r="B351" i="7" s="1"/>
  <c r="B350" i="2"/>
  <c r="B350" i="7" s="1"/>
  <c r="B349" i="2"/>
  <c r="B349" i="7" s="1"/>
  <c r="B348" i="2"/>
  <c r="B348" i="7" s="1"/>
  <c r="B347" i="2"/>
  <c r="B347" i="7" s="1"/>
  <c r="B346" i="2"/>
  <c r="B346" i="7" s="1"/>
  <c r="B345" i="2"/>
  <c r="B345" i="7" s="1"/>
  <c r="B344" i="2"/>
  <c r="B344" i="7" s="1"/>
  <c r="B343" i="2"/>
  <c r="B343" i="7" s="1"/>
  <c r="B342" i="2"/>
  <c r="B342" i="7" s="1"/>
  <c r="B341" i="2"/>
  <c r="B341" i="7" s="1"/>
  <c r="B340" i="2"/>
  <c r="B340" i="7" s="1"/>
  <c r="B339" i="2"/>
  <c r="B339" i="7" s="1"/>
  <c r="B338" i="2"/>
  <c r="B338" i="7" s="1"/>
  <c r="B337" i="2"/>
  <c r="B337" i="7" s="1"/>
  <c r="B336" i="2"/>
  <c r="B336" i="7" s="1"/>
  <c r="B335" i="2"/>
  <c r="B335" i="7" s="1"/>
  <c r="B334" i="2"/>
  <c r="B334" i="7" s="1"/>
  <c r="B333" i="2"/>
  <c r="B333" i="7" s="1"/>
  <c r="B332" i="2"/>
  <c r="B332" i="7" s="1"/>
  <c r="B331" i="2"/>
  <c r="B331" i="7" s="1"/>
  <c r="B330" i="2"/>
  <c r="B330" i="7" s="1"/>
  <c r="B329" i="2"/>
  <c r="B329" i="7" s="1"/>
  <c r="B328" i="2"/>
  <c r="B328" i="7" s="1"/>
  <c r="B327" i="2"/>
  <c r="B327" i="7" s="1"/>
  <c r="B326" i="2"/>
  <c r="B326" i="7" s="1"/>
  <c r="B325" i="2"/>
  <c r="B325" i="7" s="1"/>
  <c r="B324" i="2"/>
  <c r="B324" i="7" s="1"/>
  <c r="B323" i="2"/>
  <c r="B323" i="7" s="1"/>
  <c r="B322" i="2"/>
  <c r="B322" i="7" s="1"/>
  <c r="B321" i="2"/>
  <c r="B321" i="7" s="1"/>
  <c r="B320" i="2"/>
  <c r="B320" i="7" s="1"/>
  <c r="B319" i="2"/>
  <c r="B319" i="7" s="1"/>
  <c r="B318" i="2"/>
  <c r="B318" i="7" s="1"/>
  <c r="B317" i="2"/>
  <c r="B317" i="7" s="1"/>
  <c r="B316" i="2"/>
  <c r="B316" i="7" s="1"/>
  <c r="B315" i="2"/>
  <c r="B315" i="7" s="1"/>
  <c r="B314" i="2"/>
  <c r="B314" i="7" s="1"/>
  <c r="B313" i="2"/>
  <c r="B313" i="7" s="1"/>
  <c r="B312" i="2"/>
  <c r="B312" i="7" s="1"/>
  <c r="B311" i="2"/>
  <c r="B311" i="7" s="1"/>
  <c r="B310" i="2"/>
  <c r="B310" i="7" s="1"/>
  <c r="B309" i="2"/>
  <c r="B309" i="7" s="1"/>
  <c r="B308" i="2"/>
  <c r="B308" i="7" s="1"/>
  <c r="B307" i="2"/>
  <c r="B307" i="7" s="1"/>
  <c r="B306" i="2"/>
  <c r="B306" i="7" s="1"/>
  <c r="B305" i="2"/>
  <c r="B305" i="7" s="1"/>
  <c r="B304" i="2"/>
  <c r="B304" i="7" s="1"/>
  <c r="B303" i="2"/>
  <c r="B303" i="7" s="1"/>
  <c r="B302" i="2"/>
  <c r="B302" i="7" s="1"/>
  <c r="B301" i="2"/>
  <c r="B301" i="7" s="1"/>
  <c r="B300" i="2"/>
  <c r="B300" i="7" s="1"/>
  <c r="B299" i="2"/>
  <c r="B299" i="7" s="1"/>
  <c r="B298" i="2"/>
  <c r="B298" i="7" s="1"/>
  <c r="B297" i="2"/>
  <c r="B297" i="7" s="1"/>
  <c r="B296" i="2"/>
  <c r="B296" i="7" s="1"/>
  <c r="B295" i="2"/>
  <c r="B295" i="7" s="1"/>
  <c r="B294" i="2"/>
  <c r="B294" i="7" s="1"/>
  <c r="B293" i="2"/>
  <c r="B293" i="7" s="1"/>
  <c r="B292" i="2"/>
  <c r="B292" i="7" s="1"/>
  <c r="B291" i="2"/>
  <c r="B291" i="7" s="1"/>
  <c r="B290" i="2"/>
  <c r="B290" i="7" s="1"/>
  <c r="B289" i="2"/>
  <c r="B289" i="7" s="1"/>
  <c r="B288" i="2"/>
  <c r="B288" i="7" s="1"/>
  <c r="B287" i="2"/>
  <c r="B287" i="7" s="1"/>
  <c r="B286" i="2"/>
  <c r="B286" i="7" s="1"/>
  <c r="B285" i="2"/>
  <c r="B285" i="7" s="1"/>
  <c r="B284" i="2"/>
  <c r="B284" i="7" s="1"/>
  <c r="B283" i="2"/>
  <c r="B283" i="7" s="1"/>
  <c r="B282" i="2"/>
  <c r="B282" i="7" s="1"/>
  <c r="B281" i="2"/>
  <c r="B281" i="7" s="1"/>
  <c r="B280" i="2"/>
  <c r="B280" i="7" s="1"/>
  <c r="B279" i="2"/>
  <c r="B279" i="7" s="1"/>
  <c r="B278" i="2"/>
  <c r="B278" i="7" s="1"/>
  <c r="B277" i="2"/>
  <c r="B277" i="7" s="1"/>
  <c r="B276" i="2"/>
  <c r="B276" i="7" s="1"/>
  <c r="B275" i="2"/>
  <c r="B275" i="7" s="1"/>
  <c r="B274" i="2"/>
  <c r="B274" i="7" s="1"/>
  <c r="B273" i="2"/>
  <c r="B273" i="7" s="1"/>
  <c r="B272" i="2"/>
  <c r="B272" i="7" s="1"/>
  <c r="B271" i="2"/>
  <c r="B271" i="7" s="1"/>
  <c r="B270" i="2"/>
  <c r="B270" i="7" s="1"/>
  <c r="B269" i="2"/>
  <c r="B269" i="7" s="1"/>
  <c r="B268" i="2"/>
  <c r="B268" i="7" s="1"/>
  <c r="B267" i="2"/>
  <c r="B267" i="7" s="1"/>
  <c r="B266" i="2"/>
  <c r="B266" i="7" s="1"/>
  <c r="B265" i="2"/>
  <c r="B265" i="7" s="1"/>
  <c r="B264" i="2"/>
  <c r="B264" i="7" s="1"/>
  <c r="B263" i="2"/>
  <c r="B263" i="7" s="1"/>
  <c r="B262" i="2"/>
  <c r="B262" i="7" s="1"/>
  <c r="B261" i="2"/>
  <c r="B261" i="7" s="1"/>
  <c r="B260" i="2"/>
  <c r="B260" i="7" s="1"/>
  <c r="B259" i="2"/>
  <c r="B259" i="7" s="1"/>
  <c r="B258" i="2"/>
  <c r="B258" i="7" s="1"/>
  <c r="B257" i="2"/>
  <c r="B257" i="7" s="1"/>
  <c r="B256" i="2"/>
  <c r="B256" i="7" s="1"/>
  <c r="B255" i="2"/>
  <c r="B255" i="7" s="1"/>
  <c r="B254" i="2"/>
  <c r="B254" i="7" s="1"/>
  <c r="B253" i="2"/>
  <c r="B253" i="7" s="1"/>
  <c r="B252" i="2"/>
  <c r="B252" i="7" s="1"/>
  <c r="B251" i="2"/>
  <c r="B251" i="7" s="1"/>
  <c r="B250" i="2"/>
  <c r="B250" i="7" s="1"/>
  <c r="B249" i="2"/>
  <c r="B249" i="7" s="1"/>
  <c r="B248" i="2"/>
  <c r="B248" i="7" s="1"/>
  <c r="B247" i="2"/>
  <c r="B247" i="7" s="1"/>
  <c r="B246" i="2"/>
  <c r="B246" i="7" s="1"/>
  <c r="B245" i="2"/>
  <c r="B245" i="7" s="1"/>
  <c r="B244" i="2"/>
  <c r="B244" i="7" s="1"/>
  <c r="B243" i="2"/>
  <c r="B243" i="7" s="1"/>
  <c r="B242" i="2"/>
  <c r="B242" i="7" s="1"/>
  <c r="B241" i="2"/>
  <c r="B241" i="7" s="1"/>
  <c r="B240" i="2"/>
  <c r="B240" i="7" s="1"/>
  <c r="B239" i="2"/>
  <c r="B239" i="7" s="1"/>
  <c r="B238" i="2"/>
  <c r="B238" i="7" s="1"/>
  <c r="B237" i="2"/>
  <c r="B237" i="7" s="1"/>
  <c r="B236" i="2"/>
  <c r="B236" i="7" s="1"/>
  <c r="B235" i="2"/>
  <c r="B235" i="7" s="1"/>
  <c r="B234" i="2"/>
  <c r="B234" i="7" s="1"/>
  <c r="B233" i="2"/>
  <c r="B233" i="7" s="1"/>
  <c r="B232" i="2"/>
  <c r="B232" i="7" s="1"/>
  <c r="B231" i="2"/>
  <c r="B231" i="7" s="1"/>
  <c r="B230" i="2"/>
  <c r="B230" i="7" s="1"/>
  <c r="B229" i="2"/>
  <c r="B229" i="7" s="1"/>
  <c r="B228" i="2"/>
  <c r="B228" i="7" s="1"/>
  <c r="B227" i="2"/>
  <c r="B227" i="7" s="1"/>
  <c r="B226" i="2"/>
  <c r="B226" i="7" s="1"/>
  <c r="B225" i="2"/>
  <c r="B225" i="7" s="1"/>
  <c r="B224" i="2"/>
  <c r="B224" i="7" s="1"/>
  <c r="B223" i="2"/>
  <c r="B223" i="7" s="1"/>
  <c r="B222" i="2"/>
  <c r="B222" i="7" s="1"/>
  <c r="B221" i="2"/>
  <c r="B221" i="7" s="1"/>
  <c r="B220" i="2"/>
  <c r="B220" i="7" s="1"/>
  <c r="B219" i="2"/>
  <c r="B219" i="7" s="1"/>
  <c r="B218" i="2"/>
  <c r="B218" i="7" s="1"/>
  <c r="B217" i="2"/>
  <c r="B217" i="7" s="1"/>
  <c r="B216" i="2"/>
  <c r="B216" i="7" s="1"/>
  <c r="B215" i="2"/>
  <c r="B215" i="7" s="1"/>
  <c r="B214" i="2"/>
  <c r="B214" i="7" s="1"/>
  <c r="B213" i="2"/>
  <c r="B213" i="7" s="1"/>
  <c r="B212" i="2"/>
  <c r="B212" i="7" s="1"/>
  <c r="B211" i="2"/>
  <c r="B211" i="7" s="1"/>
  <c r="B210" i="2"/>
  <c r="B210" i="7" s="1"/>
  <c r="B209" i="2"/>
  <c r="B209" i="7" s="1"/>
  <c r="B208" i="2"/>
  <c r="B208" i="7" s="1"/>
  <c r="B207" i="2"/>
  <c r="B207" i="7" s="1"/>
  <c r="B206" i="2"/>
  <c r="B206" i="7" s="1"/>
  <c r="B205" i="2"/>
  <c r="B205" i="7" s="1"/>
  <c r="B204" i="2"/>
  <c r="B204" i="7" s="1"/>
  <c r="B203" i="2"/>
  <c r="B203" i="7" s="1"/>
  <c r="B202" i="2"/>
  <c r="B202" i="7" s="1"/>
  <c r="B201" i="2"/>
  <c r="B201" i="7" s="1"/>
  <c r="B200" i="2"/>
  <c r="B200" i="7" s="1"/>
  <c r="B199" i="2"/>
  <c r="B199" i="7" s="1"/>
  <c r="B198" i="2"/>
  <c r="B198" i="7" s="1"/>
  <c r="B197" i="2"/>
  <c r="B197" i="7" s="1"/>
  <c r="B196" i="2"/>
  <c r="B196" i="7" s="1"/>
  <c r="B195" i="2"/>
  <c r="B195" i="7" s="1"/>
  <c r="B194" i="2"/>
  <c r="B194" i="7" s="1"/>
  <c r="B193" i="2"/>
  <c r="B193" i="7" s="1"/>
  <c r="B192" i="2"/>
  <c r="B192" i="7" s="1"/>
  <c r="B191" i="2"/>
  <c r="B191" i="7" s="1"/>
  <c r="B190" i="2"/>
  <c r="B190" i="7" s="1"/>
  <c r="B189" i="2"/>
  <c r="B189" i="7" s="1"/>
  <c r="B188" i="2"/>
  <c r="B188" i="7" s="1"/>
  <c r="B187" i="2"/>
  <c r="B187" i="7" s="1"/>
  <c r="B186" i="2"/>
  <c r="B186" i="7" s="1"/>
  <c r="B185" i="2"/>
  <c r="B185" i="7" s="1"/>
  <c r="B184" i="2"/>
  <c r="B184" i="7" s="1"/>
  <c r="B183" i="2"/>
  <c r="B183" i="7" s="1"/>
  <c r="B182" i="2"/>
  <c r="B182" i="7" s="1"/>
  <c r="B181" i="2"/>
  <c r="B181" i="7" s="1"/>
  <c r="B180" i="2"/>
  <c r="B180" i="7" s="1"/>
  <c r="B179" i="2"/>
  <c r="B179" i="7" s="1"/>
  <c r="B178" i="2"/>
  <c r="B178" i="7" s="1"/>
  <c r="B177" i="2"/>
  <c r="B177" i="7" s="1"/>
  <c r="B176" i="2"/>
  <c r="B176" i="7" s="1"/>
  <c r="B175" i="2"/>
  <c r="B175" i="7" s="1"/>
  <c r="B174" i="2"/>
  <c r="B174" i="7" s="1"/>
  <c r="B173" i="2"/>
  <c r="B173" i="7" s="1"/>
  <c r="B172" i="2"/>
  <c r="B172" i="7" s="1"/>
  <c r="B171" i="2"/>
  <c r="B171" i="7" s="1"/>
  <c r="B170" i="2"/>
  <c r="B170" i="7" s="1"/>
  <c r="B169" i="2"/>
  <c r="B169" i="7" s="1"/>
  <c r="B168" i="2"/>
  <c r="B168" i="7" s="1"/>
  <c r="B167" i="2"/>
  <c r="B167" i="7" s="1"/>
  <c r="B166" i="2"/>
  <c r="B166" i="7" s="1"/>
  <c r="B165" i="2"/>
  <c r="B165" i="7" s="1"/>
  <c r="B164" i="2"/>
  <c r="B164" i="7" s="1"/>
  <c r="B163" i="2"/>
  <c r="B163" i="7" s="1"/>
  <c r="B162" i="2"/>
  <c r="B162" i="7" s="1"/>
  <c r="B161" i="2"/>
  <c r="B161" i="7" s="1"/>
  <c r="B160" i="2"/>
  <c r="B160" i="7" s="1"/>
  <c r="B159" i="2"/>
  <c r="B159" i="7" s="1"/>
  <c r="B158" i="2"/>
  <c r="B158" i="7" s="1"/>
  <c r="B157" i="2"/>
  <c r="B157" i="7" s="1"/>
  <c r="B156" i="2"/>
  <c r="B156" i="7" s="1"/>
  <c r="B155" i="2"/>
  <c r="B155" i="7" s="1"/>
  <c r="B154" i="2"/>
  <c r="B154" i="7" s="1"/>
  <c r="B153" i="2"/>
  <c r="B153" i="7" s="1"/>
  <c r="B152" i="2"/>
  <c r="B152" i="7" s="1"/>
  <c r="B151" i="2"/>
  <c r="B151" i="7" s="1"/>
  <c r="B150" i="2"/>
  <c r="B150" i="7" s="1"/>
  <c r="B149" i="2"/>
  <c r="B149" i="7" s="1"/>
  <c r="B148" i="2"/>
  <c r="B148" i="7" s="1"/>
  <c r="B147" i="2"/>
  <c r="B147" i="7" s="1"/>
  <c r="B146" i="2"/>
  <c r="B146" i="7" s="1"/>
  <c r="B145" i="2"/>
  <c r="B145" i="7" s="1"/>
  <c r="B144" i="2"/>
  <c r="B144" i="7" s="1"/>
  <c r="B143" i="2"/>
  <c r="B143" i="7" s="1"/>
  <c r="B142" i="2"/>
  <c r="B142" i="7" s="1"/>
  <c r="B141" i="2"/>
  <c r="B141" i="7" s="1"/>
  <c r="B140" i="2"/>
  <c r="B140" i="7" s="1"/>
  <c r="B139" i="2"/>
  <c r="B139" i="7" s="1"/>
  <c r="B138" i="2"/>
  <c r="B138" i="7" s="1"/>
  <c r="B137" i="2"/>
  <c r="B137" i="7" s="1"/>
  <c r="B136" i="2"/>
  <c r="B136" i="7" s="1"/>
  <c r="B135" i="2"/>
  <c r="B135" i="7" s="1"/>
  <c r="B134" i="2"/>
  <c r="B134" i="7" s="1"/>
  <c r="B133" i="2"/>
  <c r="B133" i="7" s="1"/>
  <c r="B132" i="2"/>
  <c r="B132" i="7" s="1"/>
  <c r="B131" i="2"/>
  <c r="B131" i="7" s="1"/>
  <c r="B130" i="2"/>
  <c r="B130" i="7" s="1"/>
  <c r="B129" i="2"/>
  <c r="B129" i="7" s="1"/>
  <c r="B128" i="2"/>
  <c r="B128" i="7" s="1"/>
  <c r="B127" i="2"/>
  <c r="B127" i="7" s="1"/>
  <c r="B126" i="2"/>
  <c r="B126" i="7" s="1"/>
  <c r="B125" i="2"/>
  <c r="B125" i="7" s="1"/>
  <c r="B124" i="2"/>
  <c r="B124" i="7" s="1"/>
  <c r="B123" i="2"/>
  <c r="B123" i="7" s="1"/>
  <c r="B122" i="2"/>
  <c r="B122" i="7" s="1"/>
  <c r="B121" i="2"/>
  <c r="B121" i="7" s="1"/>
  <c r="B120" i="2"/>
  <c r="B120" i="7" s="1"/>
  <c r="B119" i="2"/>
  <c r="B119" i="7" s="1"/>
  <c r="B118" i="2"/>
  <c r="B118" i="7" s="1"/>
  <c r="B117" i="2"/>
  <c r="B117" i="7" s="1"/>
  <c r="B116" i="2"/>
  <c r="B116" i="7" s="1"/>
  <c r="B115" i="2"/>
  <c r="B115" i="7" s="1"/>
  <c r="B114" i="2"/>
  <c r="B114" i="7" s="1"/>
  <c r="B113" i="2"/>
  <c r="B113" i="7" s="1"/>
  <c r="B112" i="2"/>
  <c r="B112" i="7" s="1"/>
  <c r="B111" i="2"/>
  <c r="B111" i="7" s="1"/>
  <c r="B110" i="2"/>
  <c r="B110" i="7" s="1"/>
  <c r="B109" i="2"/>
  <c r="B109" i="7" s="1"/>
  <c r="B108" i="2"/>
  <c r="B108" i="7" s="1"/>
  <c r="B107" i="2"/>
  <c r="B107" i="7" s="1"/>
  <c r="B106" i="2"/>
  <c r="B106" i="7" s="1"/>
  <c r="B105" i="2"/>
  <c r="B105" i="7" s="1"/>
  <c r="B104" i="2"/>
  <c r="B104" i="7" s="1"/>
  <c r="B103" i="2"/>
  <c r="B103" i="7" s="1"/>
  <c r="B102" i="2"/>
  <c r="B102" i="7" s="1"/>
  <c r="B101" i="2"/>
  <c r="B101" i="7" s="1"/>
  <c r="B100" i="2"/>
  <c r="B100" i="7" s="1"/>
  <c r="B99" i="2"/>
  <c r="B99" i="7" s="1"/>
  <c r="B98" i="2"/>
  <c r="B98" i="7" s="1"/>
  <c r="B97" i="2"/>
  <c r="B97" i="7" s="1"/>
  <c r="B96" i="2"/>
  <c r="B96" i="7" s="1"/>
  <c r="B95" i="2"/>
  <c r="B95" i="7" s="1"/>
  <c r="B94" i="2"/>
  <c r="B94" i="7" s="1"/>
  <c r="B93" i="2"/>
  <c r="B93" i="7" s="1"/>
  <c r="B92" i="2"/>
  <c r="B92" i="7" s="1"/>
  <c r="B91" i="2"/>
  <c r="B91" i="7" s="1"/>
  <c r="B90" i="2"/>
  <c r="B90" i="7" s="1"/>
  <c r="B89" i="2"/>
  <c r="B89" i="7" s="1"/>
  <c r="B88" i="2"/>
  <c r="B88" i="7" s="1"/>
  <c r="B87" i="2"/>
  <c r="B87" i="7" s="1"/>
  <c r="B86" i="2"/>
  <c r="B86" i="7" s="1"/>
  <c r="B85" i="2"/>
  <c r="B85" i="7" s="1"/>
  <c r="B84" i="2"/>
  <c r="B84" i="7" s="1"/>
  <c r="B83" i="2"/>
  <c r="B83" i="7" s="1"/>
  <c r="B82" i="2"/>
  <c r="B82" i="7" s="1"/>
  <c r="B81" i="2"/>
  <c r="B81" i="7" s="1"/>
  <c r="B80" i="2"/>
  <c r="B80" i="7" s="1"/>
  <c r="B79" i="2"/>
  <c r="B79" i="7" s="1"/>
  <c r="B78" i="2"/>
  <c r="B78" i="7" s="1"/>
  <c r="B77" i="2"/>
  <c r="B77" i="7" s="1"/>
  <c r="B76" i="2"/>
  <c r="B76" i="7" s="1"/>
  <c r="B75" i="2"/>
  <c r="B75" i="7" s="1"/>
  <c r="B74" i="2"/>
  <c r="B74" i="7" s="1"/>
  <c r="B73" i="2"/>
  <c r="B73" i="7" s="1"/>
  <c r="B72" i="2"/>
  <c r="B72" i="7" s="1"/>
  <c r="B71" i="2"/>
  <c r="B71" i="7" s="1"/>
  <c r="B70" i="2"/>
  <c r="B70" i="7" s="1"/>
  <c r="B69" i="2"/>
  <c r="B69" i="7" s="1"/>
  <c r="B68" i="2"/>
  <c r="B68" i="7" s="1"/>
  <c r="B67" i="2"/>
  <c r="B67" i="7" s="1"/>
  <c r="B66" i="2"/>
  <c r="B66" i="7" s="1"/>
  <c r="B65" i="2"/>
  <c r="B65" i="7" s="1"/>
  <c r="B64" i="2"/>
  <c r="B64" i="7" s="1"/>
  <c r="B63" i="2"/>
  <c r="B63" i="7" s="1"/>
  <c r="B62" i="2"/>
  <c r="B62" i="7" s="1"/>
  <c r="B61" i="2"/>
  <c r="B61" i="7" s="1"/>
  <c r="B60" i="2"/>
  <c r="B60" i="7" s="1"/>
  <c r="B59" i="2"/>
  <c r="B59" i="7" s="1"/>
  <c r="B58" i="2"/>
  <c r="B58" i="7" s="1"/>
  <c r="B57" i="2"/>
  <c r="B57" i="7" s="1"/>
  <c r="B56" i="2"/>
  <c r="B56" i="7" s="1"/>
  <c r="B55" i="2"/>
  <c r="B55" i="7" s="1"/>
  <c r="B54" i="2"/>
  <c r="B54" i="7" s="1"/>
  <c r="B53" i="2"/>
  <c r="B53" i="7" s="1"/>
  <c r="B52" i="2"/>
  <c r="B52" i="7" s="1"/>
  <c r="B51" i="2"/>
  <c r="B51" i="7" s="1"/>
  <c r="B50" i="2"/>
  <c r="B50" i="7" s="1"/>
  <c r="B49" i="2"/>
  <c r="B49" i="7" s="1"/>
  <c r="B48" i="2"/>
  <c r="B48" i="7" s="1"/>
  <c r="B47" i="2"/>
  <c r="B47" i="7" s="1"/>
  <c r="B46" i="2"/>
  <c r="B46" i="7" s="1"/>
  <c r="B45" i="2"/>
  <c r="B45" i="7" s="1"/>
  <c r="B44" i="2"/>
  <c r="B44" i="7" s="1"/>
  <c r="B43" i="2"/>
  <c r="B43" i="7" s="1"/>
  <c r="B42" i="2"/>
  <c r="B42" i="7" s="1"/>
  <c r="B41" i="2"/>
  <c r="B41" i="7" s="1"/>
  <c r="B40" i="2"/>
  <c r="B40" i="7" s="1"/>
  <c r="B39" i="2"/>
  <c r="B39" i="7" s="1"/>
  <c r="B38" i="2"/>
  <c r="B38" i="7" s="1"/>
  <c r="B37" i="2"/>
  <c r="B37" i="7" s="1"/>
  <c r="B36" i="2"/>
  <c r="B36" i="7" s="1"/>
  <c r="B35" i="2"/>
  <c r="B35" i="7" s="1"/>
  <c r="B34" i="2"/>
  <c r="B34" i="7" s="1"/>
  <c r="B33" i="2"/>
  <c r="B33" i="7" s="1"/>
  <c r="B32" i="2"/>
  <c r="B32" i="7" s="1"/>
  <c r="B31" i="2"/>
  <c r="B31" i="7" s="1"/>
  <c r="B30" i="2"/>
  <c r="B30" i="7" s="1"/>
  <c r="B29" i="2"/>
  <c r="B29" i="7" s="1"/>
  <c r="B28" i="2"/>
  <c r="B28" i="7" s="1"/>
  <c r="B27" i="2"/>
  <c r="B27" i="7" s="1"/>
  <c r="B26" i="2"/>
  <c r="B26" i="7" s="1"/>
  <c r="B25" i="2"/>
  <c r="B25" i="7" s="1"/>
  <c r="B24" i="2"/>
  <c r="B24" i="7" s="1"/>
  <c r="B23" i="2"/>
  <c r="B23" i="7" s="1"/>
  <c r="B22" i="2"/>
  <c r="B22" i="7" s="1"/>
  <c r="B21" i="2"/>
  <c r="B21" i="7" s="1"/>
  <c r="B20" i="2"/>
  <c r="B20" i="7" s="1"/>
  <c r="B19" i="2"/>
  <c r="B19" i="7" s="1"/>
  <c r="B18" i="2"/>
  <c r="B18" i="7" s="1"/>
  <c r="B17" i="2"/>
  <c r="B17" i="7" s="1"/>
  <c r="B16" i="2"/>
  <c r="B16" i="7" s="1"/>
  <c r="B15" i="2"/>
  <c r="B15" i="7" s="1"/>
  <c r="B14" i="2"/>
  <c r="B14" i="7" s="1"/>
  <c r="B13" i="2"/>
  <c r="B13" i="7" s="1"/>
  <c r="B12" i="2"/>
  <c r="B12" i="7" s="1"/>
  <c r="B11" i="2"/>
  <c r="B11" i="7" s="1"/>
  <c r="B10" i="2"/>
  <c r="B10" i="7" s="1"/>
  <c r="B9" i="2"/>
  <c r="B9" i="7" s="1"/>
  <c r="B8" i="2"/>
  <c r="B8" i="7" s="1"/>
  <c r="B7" i="2"/>
  <c r="B7" i="7" s="1"/>
  <c r="B6" i="2"/>
  <c r="B6" i="7" s="1"/>
  <c r="B5" i="2"/>
  <c r="B5" i="7" s="1"/>
  <c r="AA4" i="2" l="1"/>
  <c r="E4" i="7"/>
  <c r="G4" i="7"/>
  <c r="F4" i="2"/>
  <c r="Q4" i="2"/>
  <c r="Z4" i="2"/>
  <c r="F4" i="7" l="1"/>
  <c r="I4" i="2"/>
  <c r="U5" i="2"/>
  <c r="AI4" i="2"/>
  <c r="AJ4" i="2"/>
  <c r="L5" i="2"/>
  <c r="H4" i="7" l="1"/>
  <c r="I4" i="7"/>
  <c r="C5" i="7" s="1"/>
  <c r="V5" i="2"/>
  <c r="Y5" i="2" s="1"/>
  <c r="AD5" i="2"/>
  <c r="AE5" i="2" s="1"/>
  <c r="AH5" i="2" s="1"/>
  <c r="M5" i="2"/>
  <c r="P5" i="2" s="1"/>
  <c r="C5" i="2"/>
  <c r="H4" i="2"/>
  <c r="AG5" i="2" l="1"/>
  <c r="X5" i="2"/>
  <c r="G5" i="7"/>
  <c r="O5" i="2"/>
  <c r="R5" i="2" s="1"/>
  <c r="D5" i="2"/>
  <c r="G5" i="2" s="1"/>
  <c r="AA5" i="2" l="1"/>
  <c r="U6" i="2" s="1"/>
  <c r="D5" i="7"/>
  <c r="AJ5" i="2"/>
  <c r="F5" i="2"/>
  <c r="F5" i="7" s="1"/>
  <c r="I5" i="2" l="1"/>
  <c r="L6" i="2"/>
  <c r="I5" i="7"/>
  <c r="C6" i="7" s="1"/>
  <c r="AD6" i="2"/>
  <c r="AE6" i="2" s="1"/>
  <c r="AH6" i="2" s="1"/>
  <c r="V6" i="2"/>
  <c r="Y6" i="2" s="1"/>
  <c r="M6" i="2" l="1"/>
  <c r="AG6" i="2"/>
  <c r="AJ6" i="2" s="1"/>
  <c r="X6" i="2"/>
  <c r="C6" i="2"/>
  <c r="AA6" i="2" l="1"/>
  <c r="U7" i="2" s="1"/>
  <c r="O6" i="2"/>
  <c r="P6" i="2"/>
  <c r="G6" i="7"/>
  <c r="AD7" i="2"/>
  <c r="D6" i="2"/>
  <c r="G6" i="2" s="1"/>
  <c r="R6" i="2" l="1"/>
  <c r="D6" i="7"/>
  <c r="F6" i="2"/>
  <c r="I6" i="2" s="1"/>
  <c r="AE7" i="2"/>
  <c r="AH7" i="2" s="1"/>
  <c r="V7" i="2"/>
  <c r="Y7" i="2" s="1"/>
  <c r="AG7" i="2" l="1"/>
  <c r="AJ7" i="2" s="1"/>
  <c r="F6" i="7"/>
  <c r="I6" i="7" s="1"/>
  <c r="C7" i="7" s="1"/>
  <c r="L7" i="2"/>
  <c r="X7" i="2"/>
  <c r="C7" i="2"/>
  <c r="AA7" i="2" l="1"/>
  <c r="U8" i="2" s="1"/>
  <c r="M7" i="2"/>
  <c r="G7" i="7"/>
  <c r="AD8" i="2"/>
  <c r="D7" i="2"/>
  <c r="G7" i="2" s="1"/>
  <c r="O7" i="2" l="1"/>
  <c r="P7" i="2"/>
  <c r="D7" i="7"/>
  <c r="F7" i="2"/>
  <c r="AE8" i="2"/>
  <c r="AH8" i="2" s="1"/>
  <c r="V8" i="2"/>
  <c r="Y8" i="2" s="1"/>
  <c r="R7" i="2" l="1"/>
  <c r="L8" i="2" s="1"/>
  <c r="M8" i="2" s="1"/>
  <c r="P8" i="2" s="1"/>
  <c r="F7" i="7"/>
  <c r="I7" i="7" s="1"/>
  <c r="C8" i="7" s="1"/>
  <c r="I7" i="2"/>
  <c r="C8" i="2" s="1"/>
  <c r="AG8" i="2"/>
  <c r="AJ8" i="2" s="1"/>
  <c r="X8" i="2"/>
  <c r="AA8" i="2" l="1"/>
  <c r="U9" i="2" s="1"/>
  <c r="G8" i="7"/>
  <c r="D8" i="2"/>
  <c r="G8" i="2" s="1"/>
  <c r="AD9" i="2"/>
  <c r="O8" i="2"/>
  <c r="R8" i="2" s="1"/>
  <c r="D8" i="7" l="1"/>
  <c r="F8" i="2"/>
  <c r="F8" i="7" s="1"/>
  <c r="AE9" i="2"/>
  <c r="AH9" i="2" s="1"/>
  <c r="V9" i="2"/>
  <c r="Y9" i="2" s="1"/>
  <c r="L9" i="2"/>
  <c r="I8" i="2" l="1"/>
  <c r="C9" i="2" s="1"/>
  <c r="AG9" i="2"/>
  <c r="AJ9" i="2" s="1"/>
  <c r="AD10" i="2" s="1"/>
  <c r="I8" i="7"/>
  <c r="C9" i="7" s="1"/>
  <c r="X9" i="2"/>
  <c r="M9" i="2"/>
  <c r="P9" i="2" s="1"/>
  <c r="AA9" i="2" l="1"/>
  <c r="U10" i="2" s="1"/>
  <c r="O9" i="2"/>
  <c r="R9" i="2" s="1"/>
  <c r="L10" i="2" s="1"/>
  <c r="G9" i="7"/>
  <c r="D9" i="2"/>
  <c r="G9" i="2" s="1"/>
  <c r="AE10" i="2"/>
  <c r="AH10" i="2" s="1"/>
  <c r="AG10" i="2" l="1"/>
  <c r="AJ10" i="2" s="1"/>
  <c r="AD11" i="2" s="1"/>
  <c r="F9" i="2"/>
  <c r="I9" i="2" s="1"/>
  <c r="D9" i="7"/>
  <c r="V10" i="2"/>
  <c r="Y10" i="2" s="1"/>
  <c r="M10" i="2"/>
  <c r="P10" i="2" s="1"/>
  <c r="O10" i="2" l="1"/>
  <c r="C10" i="2"/>
  <c r="F9" i="7"/>
  <c r="I9" i="7" s="1"/>
  <c r="C10" i="7" s="1"/>
  <c r="X10" i="2"/>
  <c r="AE11" i="2"/>
  <c r="AH11" i="2" s="1"/>
  <c r="AA10" i="2" l="1"/>
  <c r="U11" i="2" s="1"/>
  <c r="R10" i="2"/>
  <c r="L11" i="2" s="1"/>
  <c r="M11" i="2" s="1"/>
  <c r="P11" i="2" s="1"/>
  <c r="AG11" i="2"/>
  <c r="AJ11" i="2" s="1"/>
  <c r="G10" i="7"/>
  <c r="D10" i="2"/>
  <c r="G10" i="2" s="1"/>
  <c r="O11" i="2" l="1"/>
  <c r="F10" i="2"/>
  <c r="I10" i="2" s="1"/>
  <c r="D10" i="7"/>
  <c r="AD12" i="2"/>
  <c r="V11" i="2"/>
  <c r="Y11" i="2" s="1"/>
  <c r="R11" i="2" l="1"/>
  <c r="L12" i="2" s="1"/>
  <c r="C11" i="2"/>
  <c r="F10" i="7"/>
  <c r="I10" i="7" s="1"/>
  <c r="C11" i="7" s="1"/>
  <c r="X11" i="2"/>
  <c r="AE12" i="2"/>
  <c r="AH12" i="2" s="1"/>
  <c r="AA11" i="2" l="1"/>
  <c r="U12" i="2" s="1"/>
  <c r="M12" i="2"/>
  <c r="AG12" i="2"/>
  <c r="AJ12" i="2" s="1"/>
  <c r="D11" i="2"/>
  <c r="G11" i="2" s="1"/>
  <c r="G11" i="7"/>
  <c r="O12" i="2" l="1"/>
  <c r="P12" i="2"/>
  <c r="F11" i="2"/>
  <c r="I11" i="2" s="1"/>
  <c r="D11" i="7"/>
  <c r="AD13" i="2"/>
  <c r="V12" i="2"/>
  <c r="Y12" i="2" s="1"/>
  <c r="R12" i="2" l="1"/>
  <c r="L13" i="2" s="1"/>
  <c r="M13" i="2" s="1"/>
  <c r="P13" i="2" s="1"/>
  <c r="C12" i="2"/>
  <c r="F11" i="7"/>
  <c r="I11" i="7" s="1"/>
  <c r="C12" i="7" s="1"/>
  <c r="X12" i="2"/>
  <c r="AE13" i="2"/>
  <c r="AH13" i="2" s="1"/>
  <c r="AA12" i="2" l="1"/>
  <c r="U13" i="2" s="1"/>
  <c r="O13" i="2"/>
  <c r="AG13" i="2"/>
  <c r="AJ13" i="2" s="1"/>
  <c r="D12" i="2"/>
  <c r="G12" i="2" s="1"/>
  <c r="G12" i="7"/>
  <c r="R13" i="2" l="1"/>
  <c r="L14" i="2" s="1"/>
  <c r="F12" i="2"/>
  <c r="I12" i="2" s="1"/>
  <c r="D12" i="7"/>
  <c r="AD14" i="2"/>
  <c r="V13" i="2"/>
  <c r="Y13" i="2" s="1"/>
  <c r="M14" i="2" l="1"/>
  <c r="P14" i="2" s="1"/>
  <c r="C13" i="2"/>
  <c r="F12" i="7"/>
  <c r="I12" i="7" s="1"/>
  <c r="C13" i="7" s="1"/>
  <c r="X13" i="2"/>
  <c r="AE14" i="2"/>
  <c r="AH14" i="2" s="1"/>
  <c r="AA13" i="2" l="1"/>
  <c r="U14" i="2" s="1"/>
  <c r="O14" i="2"/>
  <c r="AG14" i="2"/>
  <c r="AJ14" i="2" s="1"/>
  <c r="AD15" i="2" s="1"/>
  <c r="D13" i="2"/>
  <c r="G13" i="2" s="1"/>
  <c r="G13" i="7"/>
  <c r="R14" i="2" l="1"/>
  <c r="L15" i="2" s="1"/>
  <c r="F13" i="2"/>
  <c r="I13" i="2" s="1"/>
  <c r="D13" i="7"/>
  <c r="V14" i="2"/>
  <c r="Y14" i="2" s="1"/>
  <c r="AE15" i="2"/>
  <c r="AH15" i="2" s="1"/>
  <c r="M15" i="2" l="1"/>
  <c r="P15" i="2" s="1"/>
  <c r="AG15" i="2"/>
  <c r="AJ15" i="2" s="1"/>
  <c r="C14" i="2"/>
  <c r="F13" i="7"/>
  <c r="I13" i="7" s="1"/>
  <c r="C14" i="7" s="1"/>
  <c r="X14" i="2"/>
  <c r="AA14" i="2" l="1"/>
  <c r="U15" i="2" s="1"/>
  <c r="O15" i="2"/>
  <c r="R15" i="2" s="1"/>
  <c r="L16" i="2" s="1"/>
  <c r="D14" i="2"/>
  <c r="G14" i="2" s="1"/>
  <c r="G14" i="7"/>
  <c r="AD16" i="2"/>
  <c r="M16" i="2" l="1"/>
  <c r="P16" i="2" s="1"/>
  <c r="F14" i="2"/>
  <c r="F14" i="7" s="1"/>
  <c r="D14" i="7"/>
  <c r="V15" i="2"/>
  <c r="Y15" i="2" s="1"/>
  <c r="AE16" i="2"/>
  <c r="AH16" i="2" s="1"/>
  <c r="O16" i="2" l="1"/>
  <c r="I14" i="2"/>
  <c r="C15" i="2" s="1"/>
  <c r="AG16" i="2"/>
  <c r="AJ16" i="2" s="1"/>
  <c r="AD17" i="2" s="1"/>
  <c r="I14" i="7"/>
  <c r="C15" i="7" s="1"/>
  <c r="X15" i="2"/>
  <c r="AA15" i="2" l="1"/>
  <c r="U16" i="2" s="1"/>
  <c r="R16" i="2"/>
  <c r="L17" i="2" s="1"/>
  <c r="D15" i="2"/>
  <c r="G15" i="2" s="1"/>
  <c r="E2" i="3" s="1"/>
  <c r="G15" i="7"/>
  <c r="AE17" i="2"/>
  <c r="AH17" i="2" s="1"/>
  <c r="M17" i="2" l="1"/>
  <c r="P17" i="2" s="1"/>
  <c r="AG17" i="2"/>
  <c r="AJ17" i="2" s="1"/>
  <c r="AD18" i="2" s="1"/>
  <c r="F15" i="2"/>
  <c r="I15" i="2" s="1"/>
  <c r="D15" i="7"/>
  <c r="V16" i="2"/>
  <c r="Y16" i="2" s="1"/>
  <c r="O17" i="2" l="1"/>
  <c r="R17" i="2" s="1"/>
  <c r="L18" i="2" s="1"/>
  <c r="C16" i="2"/>
  <c r="D2" i="3"/>
  <c r="F15" i="7"/>
  <c r="I15" i="7" s="1"/>
  <c r="C16" i="7" s="1"/>
  <c r="X16" i="2"/>
  <c r="AE18" i="2"/>
  <c r="AH18" i="2" s="1"/>
  <c r="AA16" i="2" l="1"/>
  <c r="U17" i="2" s="1"/>
  <c r="M18" i="2"/>
  <c r="P18" i="2" s="1"/>
  <c r="AG18" i="2"/>
  <c r="AJ18" i="2" s="1"/>
  <c r="AD19" i="2" s="1"/>
  <c r="D16" i="2"/>
  <c r="G16" i="2" s="1"/>
  <c r="G16" i="7"/>
  <c r="O18" i="2" l="1"/>
  <c r="F16" i="2"/>
  <c r="I16" i="2" s="1"/>
  <c r="D16" i="7"/>
  <c r="V17" i="2"/>
  <c r="Y17" i="2" s="1"/>
  <c r="AE19" i="2"/>
  <c r="AH19" i="2" s="1"/>
  <c r="R18" i="2" l="1"/>
  <c r="L19" i="2" s="1"/>
  <c r="AG19" i="2"/>
  <c r="AJ19" i="2" s="1"/>
  <c r="AD20" i="2" s="1"/>
  <c r="C17" i="2"/>
  <c r="F16" i="7"/>
  <c r="I16" i="7" s="1"/>
  <c r="C17" i="7" s="1"/>
  <c r="X17" i="2"/>
  <c r="AA17" i="2" l="1"/>
  <c r="U18" i="2" s="1"/>
  <c r="M19" i="2"/>
  <c r="P19" i="2" s="1"/>
  <c r="D17" i="2"/>
  <c r="G17" i="2" s="1"/>
  <c r="G17" i="7"/>
  <c r="AE20" i="2"/>
  <c r="AH20" i="2" s="1"/>
  <c r="O19" i="2" l="1"/>
  <c r="AG20" i="2"/>
  <c r="AJ20" i="2" s="1"/>
  <c r="AD21" i="2" s="1"/>
  <c r="F17" i="2"/>
  <c r="I17" i="2" s="1"/>
  <c r="D17" i="7"/>
  <c r="V18" i="2"/>
  <c r="Y18" i="2" s="1"/>
  <c r="R19" i="2" l="1"/>
  <c r="L20" i="2" s="1"/>
  <c r="C18" i="2"/>
  <c r="F17" i="7"/>
  <c r="I17" i="7" s="1"/>
  <c r="C18" i="7" s="1"/>
  <c r="X18" i="2"/>
  <c r="AA18" i="2" s="1"/>
  <c r="AE21" i="2"/>
  <c r="AH21" i="2" s="1"/>
  <c r="M20" i="2" l="1"/>
  <c r="P20" i="2" s="1"/>
  <c r="D18" i="2"/>
  <c r="G18" i="2" s="1"/>
  <c r="G18" i="7"/>
  <c r="U19" i="2"/>
  <c r="AG21" i="2"/>
  <c r="AJ21" i="2" s="1"/>
  <c r="AD22" i="2" s="1"/>
  <c r="O20" i="2" l="1"/>
  <c r="R20" i="2" s="1"/>
  <c r="L21" i="2" s="1"/>
  <c r="M21" i="2" s="1"/>
  <c r="P21" i="2" s="1"/>
  <c r="F18" i="2"/>
  <c r="I18" i="2" s="1"/>
  <c r="D18" i="7"/>
  <c r="V19" i="2"/>
  <c r="Y19" i="2" s="1"/>
  <c r="AE22" i="2"/>
  <c r="AH22" i="2" s="1"/>
  <c r="O21" i="2" l="1"/>
  <c r="R21" i="2" s="1"/>
  <c r="L22" i="2" s="1"/>
  <c r="X19" i="2"/>
  <c r="C19" i="2"/>
  <c r="F18" i="7"/>
  <c r="I18" i="7" s="1"/>
  <c r="C19" i="7" s="1"/>
  <c r="AG22" i="2"/>
  <c r="AJ22" i="2" s="1"/>
  <c r="AD23" i="2" s="1"/>
  <c r="AA19" i="2" l="1"/>
  <c r="U20" i="2" s="1"/>
  <c r="V20" i="2" s="1"/>
  <c r="Y20" i="2" s="1"/>
  <c r="M22" i="2"/>
  <c r="P22" i="2" s="1"/>
  <c r="D19" i="2"/>
  <c r="G19" i="2" s="1"/>
  <c r="AE23" i="2"/>
  <c r="AH23" i="2" s="1"/>
  <c r="O22" i="2" l="1"/>
  <c r="R22" i="2" s="1"/>
  <c r="L23" i="2" s="1"/>
  <c r="AG23" i="2"/>
  <c r="AJ23" i="2" s="1"/>
  <c r="AD24" i="2" s="1"/>
  <c r="X20" i="2"/>
  <c r="G19" i="7"/>
  <c r="F19" i="2"/>
  <c r="I19" i="2" s="1"/>
  <c r="D19" i="7"/>
  <c r="AA20" i="2" l="1"/>
  <c r="U21" i="2" s="1"/>
  <c r="M23" i="2"/>
  <c r="P23" i="2" s="1"/>
  <c r="C20" i="2"/>
  <c r="F19" i="7"/>
  <c r="I19" i="7" s="1"/>
  <c r="C20" i="7" s="1"/>
  <c r="AE24" i="2"/>
  <c r="AH24" i="2" s="1"/>
  <c r="V21" i="2" l="1"/>
  <c r="Y21" i="2" s="1"/>
  <c r="O23" i="2"/>
  <c r="R23" i="2" s="1"/>
  <c r="L24" i="2" s="1"/>
  <c r="AG24" i="2"/>
  <c r="AJ24" i="2" s="1"/>
  <c r="AD25" i="2" s="1"/>
  <c r="D20" i="2"/>
  <c r="G20" i="2" s="1"/>
  <c r="X21" i="2" l="1"/>
  <c r="AA21" i="2" s="1"/>
  <c r="U22" i="2" s="1"/>
  <c r="M24" i="2"/>
  <c r="G20" i="7"/>
  <c r="F20" i="2"/>
  <c r="F20" i="7" s="1"/>
  <c r="D20" i="7"/>
  <c r="AE25" i="2"/>
  <c r="AH25" i="2" s="1"/>
  <c r="O24" i="2" l="1"/>
  <c r="P24" i="2"/>
  <c r="I20" i="2"/>
  <c r="I20" i="7"/>
  <c r="C21" i="7" s="1"/>
  <c r="C21" i="2"/>
  <c r="V22" i="2"/>
  <c r="Y22" i="2" s="1"/>
  <c r="AG25" i="2"/>
  <c r="AJ25" i="2" s="1"/>
  <c r="AD26" i="2" s="1"/>
  <c r="R24" i="2" l="1"/>
  <c r="L25" i="2" s="1"/>
  <c r="M25" i="2" s="1"/>
  <c r="X22" i="2"/>
  <c r="D21" i="2"/>
  <c r="G21" i="2" s="1"/>
  <c r="E3" i="3" s="1"/>
  <c r="AE26" i="2"/>
  <c r="AH26" i="2" s="1"/>
  <c r="O25" i="2" l="1"/>
  <c r="P25" i="2"/>
  <c r="AA22" i="2"/>
  <c r="U23" i="2" s="1"/>
  <c r="V23" i="2" s="1"/>
  <c r="Y23" i="2" s="1"/>
  <c r="AG26" i="2"/>
  <c r="AJ26" i="2" s="1"/>
  <c r="AD27" i="2" s="1"/>
  <c r="G21" i="7"/>
  <c r="F21" i="2"/>
  <c r="I21" i="2" s="1"/>
  <c r="D21" i="7"/>
  <c r="R25" i="2" l="1"/>
  <c r="L26" i="2" s="1"/>
  <c r="F21" i="7"/>
  <c r="I21" i="7" s="1"/>
  <c r="C22" i="7" s="1"/>
  <c r="D3" i="3"/>
  <c r="C22" i="2"/>
  <c r="X23" i="2"/>
  <c r="AE27" i="2"/>
  <c r="AH27" i="2" s="1"/>
  <c r="M26" i="2"/>
  <c r="P26" i="2" s="1"/>
  <c r="AA23" i="2" l="1"/>
  <c r="U24" i="2" s="1"/>
  <c r="AG27" i="2"/>
  <c r="AJ27" i="2" s="1"/>
  <c r="O26" i="2"/>
  <c r="D22" i="2"/>
  <c r="G22" i="2" s="1"/>
  <c r="R26" i="2" l="1"/>
  <c r="G22" i="7"/>
  <c r="F22" i="2"/>
  <c r="F22" i="7" s="1"/>
  <c r="D22" i="7"/>
  <c r="V24" i="2"/>
  <c r="Y24" i="2" s="1"/>
  <c r="AD28" i="2"/>
  <c r="L27" i="2"/>
  <c r="I22" i="2" l="1"/>
  <c r="C23" i="2" s="1"/>
  <c r="X24" i="2"/>
  <c r="I22" i="7"/>
  <c r="C23" i="7" s="1"/>
  <c r="AE28" i="2"/>
  <c r="AH28" i="2" s="1"/>
  <c r="M27" i="2"/>
  <c r="P27" i="2" s="1"/>
  <c r="AA24" i="2" l="1"/>
  <c r="U25" i="2" s="1"/>
  <c r="AG28" i="2"/>
  <c r="AJ28" i="2" s="1"/>
  <c r="O27" i="2"/>
  <c r="D23" i="2"/>
  <c r="G23" i="2" s="1"/>
  <c r="V25" i="2" l="1"/>
  <c r="Y25" i="2" s="1"/>
  <c r="R27" i="2"/>
  <c r="L28" i="2" s="1"/>
  <c r="M28" i="2" s="1"/>
  <c r="P28" i="2" s="1"/>
  <c r="G23" i="7"/>
  <c r="F23" i="2"/>
  <c r="I23" i="2" s="1"/>
  <c r="D23" i="7"/>
  <c r="AD29" i="2"/>
  <c r="X25" i="2" l="1"/>
  <c r="O28" i="2"/>
  <c r="C24" i="2"/>
  <c r="F23" i="7"/>
  <c r="I23" i="7" s="1"/>
  <c r="C24" i="7" s="1"/>
  <c r="AE29" i="2"/>
  <c r="AH29" i="2" s="1"/>
  <c r="AA25" i="2" l="1"/>
  <c r="U26" i="2" s="1"/>
  <c r="R28" i="2"/>
  <c r="L29" i="2" s="1"/>
  <c r="M29" i="2" s="1"/>
  <c r="P29" i="2" s="1"/>
  <c r="D24" i="2"/>
  <c r="G24" i="2" s="1"/>
  <c r="AG29" i="2"/>
  <c r="AJ29" i="2" s="1"/>
  <c r="AD30" i="2" s="1"/>
  <c r="V26" i="2" l="1"/>
  <c r="Y26" i="2" s="1"/>
  <c r="O29" i="2"/>
  <c r="G24" i="7"/>
  <c r="F24" i="2"/>
  <c r="I24" i="2" s="1"/>
  <c r="D24" i="7"/>
  <c r="AE30" i="2"/>
  <c r="AH30" i="2" s="1"/>
  <c r="X26" i="2" l="1"/>
  <c r="R29" i="2"/>
  <c r="L30" i="2" s="1"/>
  <c r="M30" i="2" s="1"/>
  <c r="P30" i="2" s="1"/>
  <c r="AG30" i="2"/>
  <c r="AJ30" i="2" s="1"/>
  <c r="F24" i="7"/>
  <c r="I24" i="7" s="1"/>
  <c r="C25" i="7" s="1"/>
  <c r="C25" i="2"/>
  <c r="AA26" i="2" l="1"/>
  <c r="U27" i="2" s="1"/>
  <c r="V27" i="2" s="1"/>
  <c r="Y27" i="2" s="1"/>
  <c r="O30" i="2"/>
  <c r="R30" i="2" s="1"/>
  <c r="L31" i="2" s="1"/>
  <c r="D25" i="2"/>
  <c r="G25" i="2" s="1"/>
  <c r="AD31" i="2"/>
  <c r="X27" i="2" l="1"/>
  <c r="G25" i="7"/>
  <c r="F25" i="2"/>
  <c r="I25" i="2" s="1"/>
  <c r="D25" i="7"/>
  <c r="AE31" i="2"/>
  <c r="AH31" i="2" s="1"/>
  <c r="M31" i="2"/>
  <c r="P31" i="2" s="1"/>
  <c r="AA27" i="2" l="1"/>
  <c r="U28" i="2" s="1"/>
  <c r="V28" i="2" s="1"/>
  <c r="Y28" i="2" s="1"/>
  <c r="AG31" i="2"/>
  <c r="AJ31" i="2" s="1"/>
  <c r="AD32" i="2" s="1"/>
  <c r="O31" i="2"/>
  <c r="R31" i="2" s="1"/>
  <c r="F25" i="7"/>
  <c r="I25" i="7" s="1"/>
  <c r="C26" i="7" s="1"/>
  <c r="C26" i="2"/>
  <c r="X28" i="2" l="1"/>
  <c r="D26" i="2"/>
  <c r="G26" i="2" s="1"/>
  <c r="AE32" i="2"/>
  <c r="AH32" i="2" s="1"/>
  <c r="L32" i="2"/>
  <c r="AA28" i="2" l="1"/>
  <c r="U29" i="2" s="1"/>
  <c r="V29" i="2" s="1"/>
  <c r="Y29" i="2" s="1"/>
  <c r="AG32" i="2"/>
  <c r="AJ32" i="2" s="1"/>
  <c r="G26" i="7"/>
  <c r="F26" i="2"/>
  <c r="D26" i="7"/>
  <c r="M32" i="2"/>
  <c r="P32" i="2" s="1"/>
  <c r="I26" i="2" l="1"/>
  <c r="C27" i="2" s="1"/>
  <c r="O32" i="2"/>
  <c r="F26" i="7"/>
  <c r="I26" i="7" s="1"/>
  <c r="C27" i="7" s="1"/>
  <c r="X29" i="2"/>
  <c r="AD33" i="2"/>
  <c r="AA29" i="2" l="1"/>
  <c r="U30" i="2" s="1"/>
  <c r="R32" i="2"/>
  <c r="L33" i="2" s="1"/>
  <c r="M33" i="2" s="1"/>
  <c r="P33" i="2" s="1"/>
  <c r="D27" i="2"/>
  <c r="G27" i="2" s="1"/>
  <c r="E4" i="3" s="1"/>
  <c r="G27" i="7"/>
  <c r="AE33" i="2"/>
  <c r="AH33" i="2" s="1"/>
  <c r="AG33" i="2" l="1"/>
  <c r="AJ33" i="2" s="1"/>
  <c r="AD34" i="2" s="1"/>
  <c r="O33" i="2"/>
  <c r="F27" i="2"/>
  <c r="D27" i="7"/>
  <c r="V30" i="2"/>
  <c r="Y30" i="2" s="1"/>
  <c r="I27" i="2" l="1"/>
  <c r="C28" i="2" s="1"/>
  <c r="D4" i="3"/>
  <c r="R33" i="2"/>
  <c r="L34" i="2" s="1"/>
  <c r="F27" i="7"/>
  <c r="I27" i="7" s="1"/>
  <c r="C28" i="7" s="1"/>
  <c r="X30" i="2"/>
  <c r="AE34" i="2"/>
  <c r="AH34" i="2" s="1"/>
  <c r="AA30" i="2" l="1"/>
  <c r="U31" i="2" s="1"/>
  <c r="D28" i="2"/>
  <c r="G28" i="2" s="1"/>
  <c r="G28" i="7"/>
  <c r="AG34" i="2"/>
  <c r="AJ34" i="2" s="1"/>
  <c r="M34" i="2"/>
  <c r="P34" i="2" s="1"/>
  <c r="O34" i="2" l="1"/>
  <c r="F28" i="2"/>
  <c r="I28" i="2" s="1"/>
  <c r="D28" i="7"/>
  <c r="V31" i="2"/>
  <c r="Y31" i="2" s="1"/>
  <c r="AD35" i="2"/>
  <c r="R34" i="2" l="1"/>
  <c r="L35" i="2" s="1"/>
  <c r="M35" i="2" s="1"/>
  <c r="P35" i="2" s="1"/>
  <c r="X31" i="2"/>
  <c r="C29" i="2"/>
  <c r="F28" i="7"/>
  <c r="I28" i="7" s="1"/>
  <c r="C29" i="7" s="1"/>
  <c r="AE35" i="2"/>
  <c r="AH35" i="2" s="1"/>
  <c r="AA31" i="2" l="1"/>
  <c r="U32" i="2" s="1"/>
  <c r="V32" i="2" s="1"/>
  <c r="Y32" i="2" s="1"/>
  <c r="O35" i="2"/>
  <c r="R35" i="2" s="1"/>
  <c r="D29" i="2"/>
  <c r="G29" i="2" s="1"/>
  <c r="G29" i="7"/>
  <c r="AG35" i="2"/>
  <c r="AJ35" i="2" s="1"/>
  <c r="AD36" i="2" s="1"/>
  <c r="F29" i="2" l="1"/>
  <c r="I29" i="2" s="1"/>
  <c r="D29" i="7"/>
  <c r="X32" i="2"/>
  <c r="AA32" i="2" s="1"/>
  <c r="AE36" i="2"/>
  <c r="AH36" i="2" s="1"/>
  <c r="L36" i="2"/>
  <c r="AG36" i="2" l="1"/>
  <c r="AJ36" i="2" s="1"/>
  <c r="AD37" i="2" s="1"/>
  <c r="C30" i="2"/>
  <c r="F29" i="7"/>
  <c r="I29" i="7" s="1"/>
  <c r="C30" i="7" s="1"/>
  <c r="U33" i="2"/>
  <c r="M36" i="2"/>
  <c r="P36" i="2" s="1"/>
  <c r="O36" i="2" l="1"/>
  <c r="D30" i="2"/>
  <c r="G30" i="2" s="1"/>
  <c r="G30" i="7"/>
  <c r="V33" i="2"/>
  <c r="Y33" i="2" s="1"/>
  <c r="AE37" i="2"/>
  <c r="AH37" i="2" s="1"/>
  <c r="R36" i="2" l="1"/>
  <c r="L37" i="2" s="1"/>
  <c r="M37" i="2" s="1"/>
  <c r="P37" i="2" s="1"/>
  <c r="AG37" i="2"/>
  <c r="AJ37" i="2" s="1"/>
  <c r="AD38" i="2" s="1"/>
  <c r="F30" i="2"/>
  <c r="F30" i="7" s="1"/>
  <c r="D30" i="7"/>
  <c r="X33" i="2"/>
  <c r="AA33" i="2" s="1"/>
  <c r="I30" i="2" l="1"/>
  <c r="C31" i="2" s="1"/>
  <c r="O37" i="2"/>
  <c r="R37" i="2" s="1"/>
  <c r="I30" i="7"/>
  <c r="C31" i="7" s="1"/>
  <c r="U34" i="2"/>
  <c r="AE38" i="2"/>
  <c r="AH38" i="2" s="1"/>
  <c r="AG38" i="2" l="1"/>
  <c r="AJ38" i="2" s="1"/>
  <c r="AD39" i="2" s="1"/>
  <c r="D31" i="2"/>
  <c r="G31" i="2" s="1"/>
  <c r="V34" i="2"/>
  <c r="Y34" i="2" s="1"/>
  <c r="L38" i="2"/>
  <c r="X34" i="2" l="1"/>
  <c r="G31" i="7"/>
  <c r="F31" i="2"/>
  <c r="I31" i="2" s="1"/>
  <c r="D31" i="7"/>
  <c r="AE39" i="2"/>
  <c r="AH39" i="2" s="1"/>
  <c r="M38" i="2"/>
  <c r="P38" i="2" s="1"/>
  <c r="AA34" i="2" l="1"/>
  <c r="U35" i="2" s="1"/>
  <c r="V35" i="2" s="1"/>
  <c r="Y35" i="2" s="1"/>
  <c r="AG39" i="2"/>
  <c r="AJ39" i="2" s="1"/>
  <c r="AD40" i="2" s="1"/>
  <c r="O38" i="2"/>
  <c r="C32" i="2"/>
  <c r="F31" i="7"/>
  <c r="I31" i="7" s="1"/>
  <c r="C32" i="7" s="1"/>
  <c r="R38" i="2" l="1"/>
  <c r="L39" i="2" s="1"/>
  <c r="X35" i="2"/>
  <c r="D32" i="2"/>
  <c r="G32" i="2" s="1"/>
  <c r="G32" i="7"/>
  <c r="AE40" i="2"/>
  <c r="AH40" i="2" s="1"/>
  <c r="AA35" i="2" l="1"/>
  <c r="U36" i="2" s="1"/>
  <c r="V36" i="2" s="1"/>
  <c r="Y36" i="2" s="1"/>
  <c r="M39" i="2"/>
  <c r="P39" i="2" s="1"/>
  <c r="AG40" i="2"/>
  <c r="AJ40" i="2" s="1"/>
  <c r="AD41" i="2" s="1"/>
  <c r="F32" i="2"/>
  <c r="F32" i="7" s="1"/>
  <c r="D32" i="7"/>
  <c r="O39" i="2" l="1"/>
  <c r="R39" i="2" s="1"/>
  <c r="L40" i="2" s="1"/>
  <c r="M40" i="2" s="1"/>
  <c r="P40" i="2" s="1"/>
  <c r="I32" i="2"/>
  <c r="I32" i="7"/>
  <c r="C33" i="7" s="1"/>
  <c r="C33" i="2"/>
  <c r="X36" i="2"/>
  <c r="AA36" i="2" s="1"/>
  <c r="AE41" i="2"/>
  <c r="AH41" i="2" s="1"/>
  <c r="AG41" i="2" l="1"/>
  <c r="AJ41" i="2" s="1"/>
  <c r="AD42" i="2" s="1"/>
  <c r="O40" i="2"/>
  <c r="D33" i="2"/>
  <c r="G33" i="2" s="1"/>
  <c r="G33" i="7"/>
  <c r="U37" i="2"/>
  <c r="R40" i="2" l="1"/>
  <c r="L41" i="2" s="1"/>
  <c r="M41" i="2" s="1"/>
  <c r="P41" i="2" s="1"/>
  <c r="F33" i="2"/>
  <c r="I33" i="2" s="1"/>
  <c r="D33" i="7"/>
  <c r="V37" i="2"/>
  <c r="Y37" i="2" s="1"/>
  <c r="AE42" i="2"/>
  <c r="AH42" i="2" s="1"/>
  <c r="X37" i="2" l="1"/>
  <c r="AA37" i="2" s="1"/>
  <c r="U38" i="2" s="1"/>
  <c r="AG42" i="2"/>
  <c r="AJ42" i="2" s="1"/>
  <c r="AD43" i="2" s="1"/>
  <c r="O41" i="2"/>
  <c r="C34" i="2"/>
  <c r="F33" i="7"/>
  <c r="I33" i="7" s="1"/>
  <c r="C34" i="7" s="1"/>
  <c r="L42" i="2" l="1"/>
  <c r="M42" i="2" s="1"/>
  <c r="P42" i="2" s="1"/>
  <c r="R41" i="2"/>
  <c r="D34" i="2"/>
  <c r="G34" i="2" s="1"/>
  <c r="V38" i="2"/>
  <c r="Y38" i="2" s="1"/>
  <c r="AE43" i="2"/>
  <c r="AH43" i="2" s="1"/>
  <c r="AG43" i="2" l="1"/>
  <c r="AJ43" i="2" s="1"/>
  <c r="AD44" i="2" s="1"/>
  <c r="O42" i="2"/>
  <c r="R42" i="2" s="1"/>
  <c r="G34" i="7"/>
  <c r="X38" i="2"/>
  <c r="F34" i="2"/>
  <c r="I34" i="2" s="1"/>
  <c r="D34" i="7"/>
  <c r="AA38" i="2" l="1"/>
  <c r="U39" i="2" s="1"/>
  <c r="F34" i="7"/>
  <c r="I34" i="7" s="1"/>
  <c r="C35" i="7" s="1"/>
  <c r="C35" i="2"/>
  <c r="AE44" i="2"/>
  <c r="AH44" i="2" s="1"/>
  <c r="L43" i="2"/>
  <c r="V39" i="2" l="1"/>
  <c r="Y39" i="2" s="1"/>
  <c r="AG44" i="2"/>
  <c r="AJ44" i="2" s="1"/>
  <c r="AD45" i="2" s="1"/>
  <c r="D35" i="2"/>
  <c r="G35" i="2" s="1"/>
  <c r="M43" i="2"/>
  <c r="P43" i="2" s="1"/>
  <c r="X39" i="2" l="1"/>
  <c r="O43" i="2"/>
  <c r="G35" i="7"/>
  <c r="F35" i="2"/>
  <c r="I35" i="2" s="1"/>
  <c r="D35" i="7"/>
  <c r="AE45" i="2"/>
  <c r="AH45" i="2" s="1"/>
  <c r="AA39" i="2" l="1"/>
  <c r="U40" i="2" s="1"/>
  <c r="R43" i="2"/>
  <c r="L44" i="2" s="1"/>
  <c r="M44" i="2" s="1"/>
  <c r="P44" i="2" s="1"/>
  <c r="AG45" i="2"/>
  <c r="AJ45" i="2" s="1"/>
  <c r="AD46" i="2" s="1"/>
  <c r="C36" i="2"/>
  <c r="F35" i="7"/>
  <c r="I35" i="7" s="1"/>
  <c r="C36" i="7" s="1"/>
  <c r="V40" i="2" l="1"/>
  <c r="Y40" i="2" s="1"/>
  <c r="O44" i="2"/>
  <c r="D36" i="2"/>
  <c r="G36" i="2" s="1"/>
  <c r="G36" i="7"/>
  <c r="AE46" i="2"/>
  <c r="AH46" i="2" s="1"/>
  <c r="X40" i="2" l="1"/>
  <c r="AA40" i="2" s="1"/>
  <c r="U41" i="2" s="1"/>
  <c r="R44" i="2"/>
  <c r="L45" i="2" s="1"/>
  <c r="M45" i="2" s="1"/>
  <c r="P45" i="2" s="1"/>
  <c r="F36" i="2"/>
  <c r="D36" i="7"/>
  <c r="AG46" i="2"/>
  <c r="AJ46" i="2" s="1"/>
  <c r="AD47" i="2" s="1"/>
  <c r="I36" i="2" l="1"/>
  <c r="C37" i="2" s="1"/>
  <c r="V41" i="2"/>
  <c r="Y41" i="2" s="1"/>
  <c r="O45" i="2"/>
  <c r="F36" i="7"/>
  <c r="I36" i="7" s="1"/>
  <c r="C37" i="7" s="1"/>
  <c r="AE47" i="2"/>
  <c r="AH47" i="2" s="1"/>
  <c r="X41" i="2" l="1"/>
  <c r="AA41" i="2" s="1"/>
  <c r="U42" i="2" s="1"/>
  <c r="R45" i="2"/>
  <c r="L46" i="2" s="1"/>
  <c r="M46" i="2" s="1"/>
  <c r="P46" i="2" s="1"/>
  <c r="AG47" i="2"/>
  <c r="AJ47" i="2" s="1"/>
  <c r="AD48" i="2" s="1"/>
  <c r="D37" i="2"/>
  <c r="G37" i="2" s="1"/>
  <c r="G37" i="7"/>
  <c r="V42" i="2" l="1"/>
  <c r="Y42" i="2" s="1"/>
  <c r="O46" i="2"/>
  <c r="F37" i="2"/>
  <c r="D37" i="7"/>
  <c r="AE48" i="2"/>
  <c r="AH48" i="2" s="1"/>
  <c r="I37" i="2" l="1"/>
  <c r="C38" i="2" s="1"/>
  <c r="X42" i="2"/>
  <c r="AA42" i="2" s="1"/>
  <c r="U43" i="2" s="1"/>
  <c r="R46" i="2"/>
  <c r="L47" i="2" s="1"/>
  <c r="M47" i="2" s="1"/>
  <c r="P47" i="2" s="1"/>
  <c r="AG48" i="2"/>
  <c r="AJ48" i="2" s="1"/>
  <c r="AD49" i="2" s="1"/>
  <c r="F37" i="7"/>
  <c r="I37" i="7" s="1"/>
  <c r="C38" i="7" s="1"/>
  <c r="V43" i="2" l="1"/>
  <c r="Y43" i="2" s="1"/>
  <c r="O47" i="2"/>
  <c r="D38" i="2"/>
  <c r="G38" i="2" s="1"/>
  <c r="G38" i="7"/>
  <c r="AE49" i="2"/>
  <c r="AH49" i="2" s="1"/>
  <c r="X43" i="2" l="1"/>
  <c r="AA43" i="2" s="1"/>
  <c r="U44" i="2" s="1"/>
  <c r="V44" i="2" s="1"/>
  <c r="Y44" i="2" s="1"/>
  <c r="R47" i="2"/>
  <c r="L48" i="2" s="1"/>
  <c r="M48" i="2" s="1"/>
  <c r="P48" i="2" s="1"/>
  <c r="AG49" i="2"/>
  <c r="AJ49" i="2" s="1"/>
  <c r="AD50" i="2" s="1"/>
  <c r="F38" i="2"/>
  <c r="D38" i="7"/>
  <c r="I38" i="2" l="1"/>
  <c r="C39" i="2" s="1"/>
  <c r="X44" i="2"/>
  <c r="O48" i="2"/>
  <c r="F38" i="7"/>
  <c r="I38" i="7" s="1"/>
  <c r="C39" i="7" s="1"/>
  <c r="AE50" i="2"/>
  <c r="AH50" i="2" s="1"/>
  <c r="AA44" i="2" l="1"/>
  <c r="U45" i="2" s="1"/>
  <c r="V45" i="2" s="1"/>
  <c r="Y45" i="2" s="1"/>
  <c r="R48" i="2"/>
  <c r="L49" i="2" s="1"/>
  <c r="M49" i="2" s="1"/>
  <c r="P49" i="2" s="1"/>
  <c r="D39" i="2"/>
  <c r="G39" i="2" s="1"/>
  <c r="E5" i="3" s="1"/>
  <c r="G39" i="7"/>
  <c r="AG50" i="2"/>
  <c r="AJ50" i="2" s="1"/>
  <c r="AD51" i="2" s="1"/>
  <c r="O49" i="2" l="1"/>
  <c r="F39" i="2"/>
  <c r="D39" i="7"/>
  <c r="X45" i="2"/>
  <c r="AA45" i="2" s="1"/>
  <c r="AE51" i="2"/>
  <c r="AH51" i="2" s="1"/>
  <c r="I39" i="2" l="1"/>
  <c r="C40" i="2" s="1"/>
  <c r="D5" i="3"/>
  <c r="R49" i="2"/>
  <c r="L50" i="2" s="1"/>
  <c r="M50" i="2" s="1"/>
  <c r="P50" i="2" s="1"/>
  <c r="F39" i="7"/>
  <c r="I39" i="7" s="1"/>
  <c r="C40" i="7" s="1"/>
  <c r="U46" i="2"/>
  <c r="AG51" i="2"/>
  <c r="AJ51" i="2" s="1"/>
  <c r="O50" i="2" l="1"/>
  <c r="D40" i="2"/>
  <c r="G40" i="2" s="1"/>
  <c r="G40" i="7"/>
  <c r="V46" i="2"/>
  <c r="Y46" i="2" s="1"/>
  <c r="AD52" i="2"/>
  <c r="R50" i="2" l="1"/>
  <c r="L51" i="2" s="1"/>
  <c r="M51" i="2" s="1"/>
  <c r="P51" i="2" s="1"/>
  <c r="F40" i="2"/>
  <c r="I40" i="2" s="1"/>
  <c r="D40" i="7"/>
  <c r="X46" i="2"/>
  <c r="AA46" i="2" s="1"/>
  <c r="AE52" i="2"/>
  <c r="AH52" i="2" s="1"/>
  <c r="AG52" i="2" l="1"/>
  <c r="AJ52" i="2" s="1"/>
  <c r="O51" i="2"/>
  <c r="R51" i="2" s="1"/>
  <c r="C41" i="2"/>
  <c r="F40" i="7"/>
  <c r="I40" i="7" s="1"/>
  <c r="C41" i="7" s="1"/>
  <c r="U47" i="2"/>
  <c r="D41" i="2" l="1"/>
  <c r="G41" i="2" s="1"/>
  <c r="G41" i="7"/>
  <c r="V47" i="2"/>
  <c r="Y47" i="2" s="1"/>
  <c r="AD53" i="2"/>
  <c r="L52" i="2"/>
  <c r="F41" i="2" l="1"/>
  <c r="F41" i="7" s="1"/>
  <c r="D41" i="7"/>
  <c r="X47" i="2"/>
  <c r="AA47" i="2" s="1"/>
  <c r="AE53" i="2"/>
  <c r="AH53" i="2" s="1"/>
  <c r="M52" i="2"/>
  <c r="P52" i="2" s="1"/>
  <c r="I41" i="2" l="1"/>
  <c r="C42" i="2" s="1"/>
  <c r="AG53" i="2"/>
  <c r="AJ53" i="2" s="1"/>
  <c r="AD54" i="2" s="1"/>
  <c r="O52" i="2"/>
  <c r="R52" i="2" s="1"/>
  <c r="I41" i="7"/>
  <c r="C42" i="7" s="1"/>
  <c r="U48" i="2"/>
  <c r="D42" i="2" l="1"/>
  <c r="G42" i="2" s="1"/>
  <c r="G42" i="7"/>
  <c r="V48" i="2"/>
  <c r="Y48" i="2" s="1"/>
  <c r="AE54" i="2"/>
  <c r="AH54" i="2" s="1"/>
  <c r="L53" i="2"/>
  <c r="AG54" i="2" l="1"/>
  <c r="AJ54" i="2" s="1"/>
  <c r="AD55" i="2" s="1"/>
  <c r="X48" i="2"/>
  <c r="F42" i="2"/>
  <c r="I42" i="2" s="1"/>
  <c r="D42" i="7"/>
  <c r="M53" i="2"/>
  <c r="P53" i="2" s="1"/>
  <c r="AA48" i="2" l="1"/>
  <c r="U49" i="2" s="1"/>
  <c r="V49" i="2" s="1"/>
  <c r="Y49" i="2" s="1"/>
  <c r="O53" i="2"/>
  <c r="C43" i="2"/>
  <c r="F42" i="7"/>
  <c r="I42" i="7" s="1"/>
  <c r="C43" i="7" s="1"/>
  <c r="AE55" i="2"/>
  <c r="AH55" i="2" s="1"/>
  <c r="L54" i="2" l="1"/>
  <c r="M54" i="2" s="1"/>
  <c r="P54" i="2" s="1"/>
  <c r="R53" i="2"/>
  <c r="AG55" i="2"/>
  <c r="AJ55" i="2" s="1"/>
  <c r="AD56" i="2" s="1"/>
  <c r="D43" i="2"/>
  <c r="G43" i="2" s="1"/>
  <c r="G43" i="7"/>
  <c r="X49" i="2"/>
  <c r="AA49" i="2" s="1"/>
  <c r="O54" i="2" l="1"/>
  <c r="R54" i="2" s="1"/>
  <c r="F43" i="2"/>
  <c r="I43" i="2" s="1"/>
  <c r="D43" i="7"/>
  <c r="U50" i="2"/>
  <c r="AE56" i="2"/>
  <c r="AH56" i="2" s="1"/>
  <c r="C44" i="2" l="1"/>
  <c r="F43" i="7"/>
  <c r="I43" i="7" s="1"/>
  <c r="C44" i="7" s="1"/>
  <c r="V50" i="2"/>
  <c r="Y50" i="2" s="1"/>
  <c r="AG56" i="2"/>
  <c r="AJ56" i="2" s="1"/>
  <c r="AD57" i="2" s="1"/>
  <c r="L55" i="2"/>
  <c r="X50" i="2" l="1"/>
  <c r="D44" i="2"/>
  <c r="G44" i="2" s="1"/>
  <c r="AE57" i="2"/>
  <c r="AH57" i="2" s="1"/>
  <c r="M55" i="2"/>
  <c r="P55" i="2" s="1"/>
  <c r="AA50" i="2" l="1"/>
  <c r="U51" i="2" s="1"/>
  <c r="V51" i="2" s="1"/>
  <c r="Y51" i="2" s="1"/>
  <c r="AG57" i="2"/>
  <c r="AJ57" i="2" s="1"/>
  <c r="AD58" i="2" s="1"/>
  <c r="O55" i="2"/>
  <c r="R55" i="2" s="1"/>
  <c r="G44" i="7"/>
  <c r="F44" i="2"/>
  <c r="I44" i="2" s="1"/>
  <c r="D44" i="7"/>
  <c r="X51" i="2" l="1"/>
  <c r="C45" i="2"/>
  <c r="F44" i="7"/>
  <c r="I44" i="7" s="1"/>
  <c r="C45" i="7" s="1"/>
  <c r="AE58" i="2"/>
  <c r="AH58" i="2" s="1"/>
  <c r="L56" i="2"/>
  <c r="AA51" i="2" l="1"/>
  <c r="U52" i="2" s="1"/>
  <c r="V52" i="2" s="1"/>
  <c r="Y52" i="2" s="1"/>
  <c r="AG58" i="2"/>
  <c r="AJ58" i="2" s="1"/>
  <c r="AD59" i="2" s="1"/>
  <c r="D45" i="2"/>
  <c r="G45" i="2" s="1"/>
  <c r="G45" i="7"/>
  <c r="M56" i="2"/>
  <c r="P56" i="2" s="1"/>
  <c r="O56" i="2" l="1"/>
  <c r="F45" i="2"/>
  <c r="D45" i="7"/>
  <c r="X52" i="2"/>
  <c r="AA52" i="2" s="1"/>
  <c r="AE59" i="2"/>
  <c r="AH59" i="2" s="1"/>
  <c r="I45" i="2" l="1"/>
  <c r="C46" i="2" s="1"/>
  <c r="R56" i="2"/>
  <c r="L57" i="2" s="1"/>
  <c r="M57" i="2" s="1"/>
  <c r="P57" i="2" s="1"/>
  <c r="F45" i="7"/>
  <c r="I45" i="7" s="1"/>
  <c r="C46" i="7" s="1"/>
  <c r="U53" i="2"/>
  <c r="AG59" i="2"/>
  <c r="AJ59" i="2" s="1"/>
  <c r="O57" i="2" l="1"/>
  <c r="R57" i="2" s="1"/>
  <c r="D46" i="2"/>
  <c r="G46" i="2" s="1"/>
  <c r="G46" i="7"/>
  <c r="V53" i="2"/>
  <c r="Y53" i="2" s="1"/>
  <c r="AD60" i="2"/>
  <c r="F46" i="2" l="1"/>
  <c r="D46" i="7"/>
  <c r="X53" i="2"/>
  <c r="AA53" i="2" s="1"/>
  <c r="AE60" i="2"/>
  <c r="AH60" i="2" s="1"/>
  <c r="I46" i="2" l="1"/>
  <c r="AG60" i="2"/>
  <c r="AJ60" i="2" s="1"/>
  <c r="AD61" i="2" s="1"/>
  <c r="C47" i="2"/>
  <c r="F46" i="7"/>
  <c r="I46" i="7" s="1"/>
  <c r="C47" i="7" s="1"/>
  <c r="U54" i="2"/>
  <c r="D47" i="2" l="1"/>
  <c r="G47" i="2" s="1"/>
  <c r="G47" i="7"/>
  <c r="V54" i="2"/>
  <c r="Y54" i="2" s="1"/>
  <c r="AE61" i="2"/>
  <c r="AH61" i="2" s="1"/>
  <c r="AG61" i="2" l="1"/>
  <c r="AJ61" i="2" s="1"/>
  <c r="AD62" i="2" s="1"/>
  <c r="F47" i="2"/>
  <c r="D47" i="7"/>
  <c r="X54" i="2"/>
  <c r="AA54" i="2" s="1"/>
  <c r="I47" i="2" l="1"/>
  <c r="C48" i="2" s="1"/>
  <c r="F47" i="7"/>
  <c r="I47" i="7" s="1"/>
  <c r="C48" i="7" s="1"/>
  <c r="U55" i="2"/>
  <c r="AE62" i="2"/>
  <c r="AH62" i="2" s="1"/>
  <c r="AG62" i="2" l="1"/>
  <c r="AJ62" i="2" s="1"/>
  <c r="AD63" i="2" s="1"/>
  <c r="D48" i="2"/>
  <c r="G48" i="2" s="1"/>
  <c r="V55" i="2"/>
  <c r="Y55" i="2" s="1"/>
  <c r="X55" i="2" l="1"/>
  <c r="G48" i="7"/>
  <c r="F48" i="2"/>
  <c r="D48" i="7"/>
  <c r="AE63" i="2"/>
  <c r="AH63" i="2" s="1"/>
  <c r="I48" i="2" l="1"/>
  <c r="AA55" i="2"/>
  <c r="U56" i="2" s="1"/>
  <c r="V56" i="2" s="1"/>
  <c r="Y56" i="2" s="1"/>
  <c r="AG63" i="2"/>
  <c r="AJ63" i="2" s="1"/>
  <c r="AD64" i="2" s="1"/>
  <c r="C49" i="2"/>
  <c r="F48" i="7"/>
  <c r="I48" i="7" s="1"/>
  <c r="C49" i="7" s="1"/>
  <c r="X56" i="2" l="1"/>
  <c r="D49" i="2"/>
  <c r="G49" i="2" s="1"/>
  <c r="G49" i="7"/>
  <c r="AE64" i="2"/>
  <c r="AH64" i="2" s="1"/>
  <c r="AA56" i="2" l="1"/>
  <c r="U57" i="2" s="1"/>
  <c r="V57" i="2" s="1"/>
  <c r="Y57" i="2" s="1"/>
  <c r="F49" i="2"/>
  <c r="I49" i="2" s="1"/>
  <c r="D49" i="7"/>
  <c r="AG64" i="2"/>
  <c r="AJ64" i="2" s="1"/>
  <c r="AD65" i="2" s="1"/>
  <c r="X57" i="2" l="1"/>
  <c r="C50" i="2"/>
  <c r="F49" i="7"/>
  <c r="I49" i="7" s="1"/>
  <c r="C50" i="7" s="1"/>
  <c r="AE65" i="2"/>
  <c r="AH65" i="2" s="1"/>
  <c r="AA57" i="2" l="1"/>
  <c r="U58" i="2" s="1"/>
  <c r="V58" i="2" s="1"/>
  <c r="Y58" i="2" s="1"/>
  <c r="D50" i="2"/>
  <c r="G50" i="2" s="1"/>
  <c r="AG65" i="2"/>
  <c r="AJ65" i="2" s="1"/>
  <c r="G50" i="7" l="1"/>
  <c r="F50" i="2"/>
  <c r="I50" i="2" s="1"/>
  <c r="D50" i="7"/>
  <c r="X58" i="2"/>
  <c r="AA58" i="2" s="1"/>
  <c r="AD66" i="2"/>
  <c r="F50" i="7" l="1"/>
  <c r="I50" i="7" s="1"/>
  <c r="C51" i="7" s="1"/>
  <c r="C51" i="2"/>
  <c r="U59" i="2"/>
  <c r="AE66" i="2"/>
  <c r="AH66" i="2" s="1"/>
  <c r="AG66" i="2" l="1"/>
  <c r="AJ66" i="2" s="1"/>
  <c r="D51" i="2"/>
  <c r="G51" i="2" s="1"/>
  <c r="E6" i="3" s="1"/>
  <c r="V59" i="2"/>
  <c r="Y59" i="2" s="1"/>
  <c r="X59" i="2" l="1"/>
  <c r="G51" i="7"/>
  <c r="F51" i="2"/>
  <c r="D51" i="7"/>
  <c r="AD67" i="2"/>
  <c r="I51" i="2" l="1"/>
  <c r="C52" i="2" s="1"/>
  <c r="D6" i="3"/>
  <c r="AA59" i="2"/>
  <c r="U60" i="2" s="1"/>
  <c r="V60" i="2" s="1"/>
  <c r="Y60" i="2" s="1"/>
  <c r="F51" i="7"/>
  <c r="I51" i="7" s="1"/>
  <c r="C52" i="7" s="1"/>
  <c r="AE67" i="2"/>
  <c r="AH67" i="2" s="1"/>
  <c r="AG67" i="2" l="1"/>
  <c r="AJ67" i="2" s="1"/>
  <c r="AD68" i="2" s="1"/>
  <c r="D52" i="2"/>
  <c r="G52" i="2" s="1"/>
  <c r="G52" i="7"/>
  <c r="X60" i="2"/>
  <c r="AA60" i="2" s="1"/>
  <c r="F52" i="2" l="1"/>
  <c r="I52" i="2" s="1"/>
  <c r="D52" i="7"/>
  <c r="U61" i="2"/>
  <c r="AE68" i="2"/>
  <c r="AH68" i="2" s="1"/>
  <c r="AG68" i="2" l="1"/>
  <c r="AJ68" i="2" s="1"/>
  <c r="AD69" i="2" s="1"/>
  <c r="C53" i="2"/>
  <c r="F52" i="7"/>
  <c r="I52" i="7" s="1"/>
  <c r="C53" i="7" s="1"/>
  <c r="V61" i="2"/>
  <c r="Y61" i="2" s="1"/>
  <c r="X61" i="2" l="1"/>
  <c r="AA61" i="2" s="1"/>
  <c r="D53" i="2"/>
  <c r="G53" i="2" s="1"/>
  <c r="G53" i="7"/>
  <c r="AE69" i="2"/>
  <c r="AH69" i="2" s="1"/>
  <c r="U62" i="2" l="1"/>
  <c r="V62" i="2" s="1"/>
  <c r="Y62" i="2" s="1"/>
  <c r="F53" i="2"/>
  <c r="F53" i="7" s="1"/>
  <c r="D53" i="7"/>
  <c r="AG69" i="2"/>
  <c r="AJ69" i="2" s="1"/>
  <c r="AD70" i="2" s="1"/>
  <c r="I53" i="2" l="1"/>
  <c r="X62" i="2"/>
  <c r="I53" i="7"/>
  <c r="C54" i="7" s="1"/>
  <c r="C54" i="2"/>
  <c r="AE70" i="2"/>
  <c r="AH70" i="2" s="1"/>
  <c r="AA62" i="2" l="1"/>
  <c r="U63" i="2" s="1"/>
  <c r="V63" i="2" s="1"/>
  <c r="Y63" i="2" s="1"/>
  <c r="D54" i="2"/>
  <c r="G54" i="2" s="1"/>
  <c r="G54" i="7"/>
  <c r="AG70" i="2"/>
  <c r="AJ70" i="2" s="1"/>
  <c r="AD71" i="2" s="1"/>
  <c r="X63" i="2" l="1"/>
  <c r="F54" i="2"/>
  <c r="I54" i="2" s="1"/>
  <c r="D54" i="7"/>
  <c r="AE71" i="2"/>
  <c r="AH71" i="2" s="1"/>
  <c r="AA63" i="2" l="1"/>
  <c r="U64" i="2" s="1"/>
  <c r="V64" i="2" s="1"/>
  <c r="Y64" i="2" s="1"/>
  <c r="F54" i="7"/>
  <c r="I54" i="7" s="1"/>
  <c r="C55" i="7" s="1"/>
  <c r="C55" i="2"/>
  <c r="AG71" i="2"/>
  <c r="AJ71" i="2" s="1"/>
  <c r="AD72" i="2" s="1"/>
  <c r="D55" i="2" l="1"/>
  <c r="G55" i="2" s="1"/>
  <c r="X64" i="2"/>
  <c r="AA64" i="2" s="1"/>
  <c r="AE72" i="2"/>
  <c r="AH72" i="2" s="1"/>
  <c r="AG72" i="2" l="1"/>
  <c r="AJ72" i="2" s="1"/>
  <c r="AD73" i="2" s="1"/>
  <c r="G55" i="7"/>
  <c r="F55" i="2"/>
  <c r="D55" i="7"/>
  <c r="U65" i="2"/>
  <c r="I55" i="2" l="1"/>
  <c r="C56" i="2"/>
  <c r="F55" i="7"/>
  <c r="I55" i="7" s="1"/>
  <c r="C56" i="7" s="1"/>
  <c r="V65" i="2"/>
  <c r="Y65" i="2" s="1"/>
  <c r="AE73" i="2"/>
  <c r="AH73" i="2" s="1"/>
  <c r="AG73" i="2" l="1"/>
  <c r="AJ73" i="2" s="1"/>
  <c r="AD74" i="2" s="1"/>
  <c r="X65" i="2"/>
  <c r="D56" i="2"/>
  <c r="G56" i="2" s="1"/>
  <c r="AA65" i="2" l="1"/>
  <c r="U66" i="2" s="1"/>
  <c r="V66" i="2" s="1"/>
  <c r="Y66" i="2" s="1"/>
  <c r="G56" i="7"/>
  <c r="F56" i="2"/>
  <c r="D56" i="7"/>
  <c r="AE74" i="2"/>
  <c r="AH74" i="2" s="1"/>
  <c r="I56" i="2" l="1"/>
  <c r="C57" i="2" s="1"/>
  <c r="AG74" i="2"/>
  <c r="AJ74" i="2" s="1"/>
  <c r="AD75" i="2" s="1"/>
  <c r="X66" i="2"/>
  <c r="AA66" i="2" s="1"/>
  <c r="F56" i="7"/>
  <c r="I56" i="7" s="1"/>
  <c r="C57" i="7" s="1"/>
  <c r="U67" i="2" l="1"/>
  <c r="V67" i="2" s="1"/>
  <c r="Y67" i="2" s="1"/>
  <c r="D57" i="2"/>
  <c r="G57" i="2" s="1"/>
  <c r="G57" i="7"/>
  <c r="AE75" i="2"/>
  <c r="AH75" i="2" s="1"/>
  <c r="F57" i="2" l="1"/>
  <c r="AG75" i="2"/>
  <c r="AJ75" i="2" s="1"/>
  <c r="AD76" i="2" s="1"/>
  <c r="X67" i="2"/>
  <c r="D57" i="7"/>
  <c r="L58" i="2"/>
  <c r="I57" i="2" l="1"/>
  <c r="C58" i="2" s="1"/>
  <c r="D58" i="2" s="1"/>
  <c r="G58" i="2" s="1"/>
  <c r="AA67" i="2"/>
  <c r="U68" i="2" s="1"/>
  <c r="V68" i="2" s="1"/>
  <c r="Y68" i="2" s="1"/>
  <c r="F57" i="7"/>
  <c r="I57" i="7" s="1"/>
  <c r="C58" i="7" s="1"/>
  <c r="M58" i="2"/>
  <c r="P58" i="2" s="1"/>
  <c r="AE76" i="2"/>
  <c r="AH76" i="2" s="1"/>
  <c r="G58" i="7" l="1"/>
  <c r="AG76" i="2"/>
  <c r="AJ76" i="2" s="1"/>
  <c r="AD77" i="2" s="1"/>
  <c r="O58" i="2"/>
  <c r="F58" i="2"/>
  <c r="D58" i="7"/>
  <c r="X68" i="2"/>
  <c r="AA68" i="2" s="1"/>
  <c r="I58" i="2" l="1"/>
  <c r="C59" i="2" s="1"/>
  <c r="R58" i="2"/>
  <c r="L59" i="2" s="1"/>
  <c r="M59" i="2" s="1"/>
  <c r="P59" i="2" s="1"/>
  <c r="F58" i="7"/>
  <c r="I58" i="7" s="1"/>
  <c r="C59" i="7" s="1"/>
  <c r="U69" i="2"/>
  <c r="AE77" i="2"/>
  <c r="AH77" i="2" s="1"/>
  <c r="AG77" i="2" l="1"/>
  <c r="AJ77" i="2" s="1"/>
  <c r="AD78" i="2" s="1"/>
  <c r="O59" i="2"/>
  <c r="D59" i="2"/>
  <c r="G59" i="2" s="1"/>
  <c r="V69" i="2"/>
  <c r="Y69" i="2" s="1"/>
  <c r="R59" i="2" l="1"/>
  <c r="L60" i="2" s="1"/>
  <c r="M60" i="2" s="1"/>
  <c r="P60" i="2" s="1"/>
  <c r="G59" i="7"/>
  <c r="F59" i="2"/>
  <c r="I59" i="2" s="1"/>
  <c r="D59" i="7"/>
  <c r="X69" i="2"/>
  <c r="AA69" i="2" s="1"/>
  <c r="AE78" i="2"/>
  <c r="AH78" i="2" s="1"/>
  <c r="AG78" i="2" l="1"/>
  <c r="AJ78" i="2" s="1"/>
  <c r="AD79" i="2" s="1"/>
  <c r="O60" i="2"/>
  <c r="C60" i="2"/>
  <c r="F59" i="7"/>
  <c r="I59" i="7" s="1"/>
  <c r="C60" i="7" s="1"/>
  <c r="U70" i="2"/>
  <c r="R60" i="2" l="1"/>
  <c r="L61" i="2" s="1"/>
  <c r="M61" i="2" s="1"/>
  <c r="P61" i="2" s="1"/>
  <c r="D60" i="2"/>
  <c r="G60" i="2" s="1"/>
  <c r="G60" i="7"/>
  <c r="V70" i="2"/>
  <c r="Y70" i="2" s="1"/>
  <c r="AE79" i="2"/>
  <c r="AH79" i="2" s="1"/>
  <c r="AG79" i="2" l="1"/>
  <c r="AJ79" i="2" s="1"/>
  <c r="AD80" i="2" s="1"/>
  <c r="O61" i="2"/>
  <c r="F60" i="2"/>
  <c r="F60" i="7" s="1"/>
  <c r="D60" i="7"/>
  <c r="X70" i="2"/>
  <c r="AA70" i="2" s="1"/>
  <c r="L62" i="2" l="1"/>
  <c r="M62" i="2" s="1"/>
  <c r="P62" i="2" s="1"/>
  <c r="R61" i="2"/>
  <c r="I60" i="2"/>
  <c r="I60" i="7"/>
  <c r="C61" i="7" s="1"/>
  <c r="C61" i="2"/>
  <c r="U71" i="2"/>
  <c r="AE80" i="2"/>
  <c r="AH80" i="2" s="1"/>
  <c r="AG80" i="2" l="1"/>
  <c r="AJ80" i="2" s="1"/>
  <c r="O62" i="2"/>
  <c r="D61" i="2"/>
  <c r="G61" i="2" s="1"/>
  <c r="V71" i="2"/>
  <c r="Y71" i="2" s="1"/>
  <c r="R62" i="2" l="1"/>
  <c r="L63" i="2" s="1"/>
  <c r="M63" i="2" s="1"/>
  <c r="P63" i="2" s="1"/>
  <c r="G61" i="7"/>
  <c r="F61" i="2"/>
  <c r="F61" i="7" s="1"/>
  <c r="D61" i="7"/>
  <c r="X71" i="2"/>
  <c r="AA71" i="2" s="1"/>
  <c r="AD81" i="2"/>
  <c r="I61" i="2" l="1"/>
  <c r="O63" i="2"/>
  <c r="I61" i="7"/>
  <c r="C62" i="7" s="1"/>
  <c r="C62" i="2"/>
  <c r="U72" i="2"/>
  <c r="AE81" i="2"/>
  <c r="AH81" i="2" s="1"/>
  <c r="R63" i="2" l="1"/>
  <c r="L64" i="2" s="1"/>
  <c r="M64" i="2" s="1"/>
  <c r="P64" i="2" s="1"/>
  <c r="AG81" i="2"/>
  <c r="AJ81" i="2" s="1"/>
  <c r="AD82" i="2" s="1"/>
  <c r="D62" i="2"/>
  <c r="G62" i="2" s="1"/>
  <c r="G62" i="7"/>
  <c r="V72" i="2"/>
  <c r="Y72" i="2" s="1"/>
  <c r="O64" i="2" l="1"/>
  <c r="F62" i="2"/>
  <c r="I62" i="2" s="1"/>
  <c r="D62" i="7"/>
  <c r="X72" i="2"/>
  <c r="AA72" i="2" s="1"/>
  <c r="AE82" i="2"/>
  <c r="AH82" i="2" s="1"/>
  <c r="R64" i="2" l="1"/>
  <c r="L65" i="2" s="1"/>
  <c r="M65" i="2" s="1"/>
  <c r="P65" i="2" s="1"/>
  <c r="C63" i="2"/>
  <c r="F62" i="7"/>
  <c r="I62" i="7" s="1"/>
  <c r="C63" i="7" s="1"/>
  <c r="U73" i="2"/>
  <c r="AG82" i="2"/>
  <c r="AJ82" i="2" s="1"/>
  <c r="AD83" i="2" s="1"/>
  <c r="O65" i="2" l="1"/>
  <c r="D63" i="2"/>
  <c r="G63" i="2" s="1"/>
  <c r="E7" i="3" s="1"/>
  <c r="V73" i="2"/>
  <c r="Y73" i="2" s="1"/>
  <c r="AE83" i="2"/>
  <c r="AH83" i="2" s="1"/>
  <c r="R65" i="2" l="1"/>
  <c r="L66" i="2" s="1"/>
  <c r="M66" i="2" s="1"/>
  <c r="P66" i="2" s="1"/>
  <c r="G63" i="7"/>
  <c r="F63" i="2"/>
  <c r="D63" i="7"/>
  <c r="X73" i="2"/>
  <c r="AA73" i="2" s="1"/>
  <c r="AG83" i="2"/>
  <c r="AJ83" i="2" s="1"/>
  <c r="AD84" i="2" s="1"/>
  <c r="I63" i="2" l="1"/>
  <c r="C64" i="2" s="1"/>
  <c r="D7" i="3"/>
  <c r="O66" i="2"/>
  <c r="F63" i="7"/>
  <c r="I63" i="7" s="1"/>
  <c r="C64" i="7" s="1"/>
  <c r="U74" i="2"/>
  <c r="AE84" i="2"/>
  <c r="AH84" i="2" s="1"/>
  <c r="R66" i="2" l="1"/>
  <c r="L67" i="2" s="1"/>
  <c r="M67" i="2" s="1"/>
  <c r="P67" i="2" s="1"/>
  <c r="AG84" i="2"/>
  <c r="AJ84" i="2" s="1"/>
  <c r="AD85" i="2" s="1"/>
  <c r="D64" i="2"/>
  <c r="G64" i="2" s="1"/>
  <c r="G64" i="7"/>
  <c r="V74" i="2"/>
  <c r="Y74" i="2" s="1"/>
  <c r="O67" i="2" l="1"/>
  <c r="X74" i="2"/>
  <c r="F64" i="2"/>
  <c r="I64" i="2" s="1"/>
  <c r="D64" i="7"/>
  <c r="AE85" i="2"/>
  <c r="AH85" i="2" s="1"/>
  <c r="AA74" i="2" l="1"/>
  <c r="U75" i="2" s="1"/>
  <c r="V75" i="2" s="1"/>
  <c r="Y75" i="2" s="1"/>
  <c r="R67" i="2"/>
  <c r="L68" i="2" s="1"/>
  <c r="M68" i="2" s="1"/>
  <c r="P68" i="2" s="1"/>
  <c r="C65" i="2"/>
  <c r="F64" i="7"/>
  <c r="I64" i="7" s="1"/>
  <c r="C65" i="7" s="1"/>
  <c r="AG85" i="2"/>
  <c r="AJ85" i="2" s="1"/>
  <c r="AD86" i="2" s="1"/>
  <c r="X75" i="2" l="1"/>
  <c r="O68" i="2"/>
  <c r="D65" i="2"/>
  <c r="G65" i="2" s="1"/>
  <c r="AE86" i="2"/>
  <c r="AH86" i="2" s="1"/>
  <c r="AA75" i="2" l="1"/>
  <c r="U76" i="2" s="1"/>
  <c r="V76" i="2" s="1"/>
  <c r="Y76" i="2" s="1"/>
  <c r="R68" i="2"/>
  <c r="L69" i="2" s="1"/>
  <c r="M69" i="2" s="1"/>
  <c r="P69" i="2" s="1"/>
  <c r="AG86" i="2"/>
  <c r="AJ86" i="2" s="1"/>
  <c r="AD87" i="2" s="1"/>
  <c r="G65" i="7"/>
  <c r="F65" i="2"/>
  <c r="I65" i="2" s="1"/>
  <c r="D65" i="7"/>
  <c r="O69" i="2" l="1"/>
  <c r="C66" i="2"/>
  <c r="F65" i="7"/>
  <c r="I65" i="7" s="1"/>
  <c r="C66" i="7" s="1"/>
  <c r="X76" i="2"/>
  <c r="AA76" i="2" s="1"/>
  <c r="AE87" i="2"/>
  <c r="AH87" i="2" s="1"/>
  <c r="R69" i="2" l="1"/>
  <c r="L70" i="2" s="1"/>
  <c r="M70" i="2" s="1"/>
  <c r="P70" i="2" s="1"/>
  <c r="D66" i="2"/>
  <c r="G66" i="2" s="1"/>
  <c r="U77" i="2"/>
  <c r="AG87" i="2"/>
  <c r="AJ87" i="2" s="1"/>
  <c r="O70" i="2" l="1"/>
  <c r="G66" i="7"/>
  <c r="F66" i="2"/>
  <c r="D66" i="7"/>
  <c r="V77" i="2"/>
  <c r="Y77" i="2" s="1"/>
  <c r="AD88" i="2"/>
  <c r="I66" i="2" l="1"/>
  <c r="R70" i="2"/>
  <c r="L71" i="2" s="1"/>
  <c r="M71" i="2" s="1"/>
  <c r="P71" i="2" s="1"/>
  <c r="F66" i="7"/>
  <c r="I66" i="7" s="1"/>
  <c r="C67" i="7" s="1"/>
  <c r="C67" i="2"/>
  <c r="X77" i="2"/>
  <c r="AA77" i="2" s="1"/>
  <c r="AE88" i="2"/>
  <c r="AH88" i="2" s="1"/>
  <c r="O71" i="2" l="1"/>
  <c r="D67" i="2"/>
  <c r="G67" i="2" s="1"/>
  <c r="G67" i="7"/>
  <c r="U78" i="2"/>
  <c r="AG88" i="2"/>
  <c r="AJ88" i="2" s="1"/>
  <c r="AD89" i="2" s="1"/>
  <c r="R71" i="2" l="1"/>
  <c r="L72" i="2" s="1"/>
  <c r="M72" i="2" s="1"/>
  <c r="P72" i="2" s="1"/>
  <c r="F67" i="2"/>
  <c r="D67" i="7"/>
  <c r="V78" i="2"/>
  <c r="Y78" i="2" s="1"/>
  <c r="AE89" i="2"/>
  <c r="AH89" i="2" s="1"/>
  <c r="I67" i="2" l="1"/>
  <c r="AG89" i="2"/>
  <c r="AJ89" i="2" s="1"/>
  <c r="AD90" i="2" s="1"/>
  <c r="O72" i="2"/>
  <c r="C68" i="2"/>
  <c r="F67" i="7"/>
  <c r="I67" i="7" s="1"/>
  <c r="C68" i="7" s="1"/>
  <c r="X78" i="2"/>
  <c r="AA78" i="2" s="1"/>
  <c r="R72" i="2" l="1"/>
  <c r="L73" i="2" s="1"/>
  <c r="M73" i="2" s="1"/>
  <c r="P73" i="2" s="1"/>
  <c r="D68" i="2"/>
  <c r="G68" i="2" s="1"/>
  <c r="G68" i="7"/>
  <c r="U79" i="2"/>
  <c r="AE90" i="2"/>
  <c r="AH90" i="2" s="1"/>
  <c r="AG90" i="2" l="1"/>
  <c r="AJ90" i="2" s="1"/>
  <c r="AD91" i="2" s="1"/>
  <c r="O73" i="2"/>
  <c r="F68" i="2"/>
  <c r="D68" i="7"/>
  <c r="V79" i="2"/>
  <c r="Y79" i="2" s="1"/>
  <c r="I68" i="2" l="1"/>
  <c r="C69" i="2" s="1"/>
  <c r="R73" i="2"/>
  <c r="L74" i="2" s="1"/>
  <c r="M74" i="2" s="1"/>
  <c r="P74" i="2" s="1"/>
  <c r="X79" i="2"/>
  <c r="F68" i="7"/>
  <c r="I68" i="7" s="1"/>
  <c r="C69" i="7" s="1"/>
  <c r="AE91" i="2"/>
  <c r="AH91" i="2" s="1"/>
  <c r="AA79" i="2" l="1"/>
  <c r="U80" i="2" s="1"/>
  <c r="V80" i="2" s="1"/>
  <c r="Y80" i="2" s="1"/>
  <c r="AG91" i="2"/>
  <c r="AJ91" i="2" s="1"/>
  <c r="AD92" i="2" s="1"/>
  <c r="O74" i="2"/>
  <c r="D69" i="2"/>
  <c r="G69" i="2" s="1"/>
  <c r="G69" i="7"/>
  <c r="R74" i="2" l="1"/>
  <c r="L75" i="2" s="1"/>
  <c r="M75" i="2" s="1"/>
  <c r="P75" i="2" s="1"/>
  <c r="X80" i="2"/>
  <c r="F69" i="2"/>
  <c r="I69" i="2" s="1"/>
  <c r="D69" i="7"/>
  <c r="AE92" i="2"/>
  <c r="AH92" i="2" s="1"/>
  <c r="AA80" i="2" l="1"/>
  <c r="U81" i="2" s="1"/>
  <c r="O75" i="2"/>
  <c r="C70" i="2"/>
  <c r="F69" i="7"/>
  <c r="I69" i="7" s="1"/>
  <c r="C70" i="7" s="1"/>
  <c r="AG92" i="2"/>
  <c r="AJ92" i="2" s="1"/>
  <c r="V81" i="2" l="1"/>
  <c r="Y81" i="2" s="1"/>
  <c r="R75" i="2"/>
  <c r="L76" i="2" s="1"/>
  <c r="M76" i="2" s="1"/>
  <c r="P76" i="2" s="1"/>
  <c r="D70" i="2"/>
  <c r="G70" i="2" s="1"/>
  <c r="G70" i="7"/>
  <c r="AD93" i="2"/>
  <c r="X81" i="2" l="1"/>
  <c r="AA81" i="2" s="1"/>
  <c r="U82" i="2" s="1"/>
  <c r="O76" i="2"/>
  <c r="R76" i="2" s="1"/>
  <c r="F70" i="2"/>
  <c r="I70" i="2" s="1"/>
  <c r="D70" i="7"/>
  <c r="AE93" i="2"/>
  <c r="AH93" i="2" s="1"/>
  <c r="V82" i="2" l="1"/>
  <c r="Y82" i="2" s="1"/>
  <c r="AG93" i="2"/>
  <c r="AJ93" i="2" s="1"/>
  <c r="C71" i="2"/>
  <c r="F70" i="7"/>
  <c r="I70" i="7" s="1"/>
  <c r="C71" i="7" s="1"/>
  <c r="X82" i="2" l="1"/>
  <c r="AA82" i="2" s="1"/>
  <c r="U83" i="2" s="1"/>
  <c r="D71" i="2"/>
  <c r="G71" i="2" s="1"/>
  <c r="G71" i="7"/>
  <c r="AD94" i="2"/>
  <c r="F71" i="2" l="1"/>
  <c r="I71" i="2" s="1"/>
  <c r="D71" i="7"/>
  <c r="V83" i="2"/>
  <c r="Y83" i="2" s="1"/>
  <c r="AE94" i="2"/>
  <c r="AH94" i="2" s="1"/>
  <c r="AG94" i="2" l="1"/>
  <c r="AJ94" i="2" s="1"/>
  <c r="AD95" i="2" s="1"/>
  <c r="C72" i="2"/>
  <c r="F71" i="7"/>
  <c r="I71" i="7" s="1"/>
  <c r="C72" i="7" s="1"/>
  <c r="X83" i="2"/>
  <c r="AA83" i="2" s="1"/>
  <c r="D72" i="2" l="1"/>
  <c r="G72" i="2" s="1"/>
  <c r="G72" i="7"/>
  <c r="U84" i="2"/>
  <c r="AE95" i="2"/>
  <c r="AH95" i="2" s="1"/>
  <c r="V84" i="2" l="1"/>
  <c r="Y84" i="2" s="1"/>
  <c r="AG95" i="2"/>
  <c r="AJ95" i="2" s="1"/>
  <c r="AD96" i="2" s="1"/>
  <c r="F72" i="2"/>
  <c r="I72" i="2" s="1"/>
  <c r="D72" i="7"/>
  <c r="X84" i="2" l="1"/>
  <c r="AA84" i="2" s="1"/>
  <c r="U85" i="2" s="1"/>
  <c r="C73" i="2"/>
  <c r="F72" i="7"/>
  <c r="I72" i="7" s="1"/>
  <c r="C73" i="7" s="1"/>
  <c r="AE96" i="2"/>
  <c r="AH96" i="2" s="1"/>
  <c r="V85" i="2" l="1"/>
  <c r="Y85" i="2" s="1"/>
  <c r="AG96" i="2"/>
  <c r="AJ96" i="2" s="1"/>
  <c r="D73" i="2"/>
  <c r="G73" i="2" s="1"/>
  <c r="G73" i="7"/>
  <c r="X85" i="2" l="1"/>
  <c r="AA85" i="2" s="1"/>
  <c r="U86" i="2" s="1"/>
  <c r="V86" i="2" s="1"/>
  <c r="Y86" i="2" s="1"/>
  <c r="F73" i="2"/>
  <c r="F73" i="7" s="1"/>
  <c r="D73" i="7"/>
  <c r="AD97" i="2"/>
  <c r="I73" i="2" l="1"/>
  <c r="C74" i="2" s="1"/>
  <c r="I73" i="7"/>
  <c r="C74" i="7" s="1"/>
  <c r="X86" i="2"/>
  <c r="AA86" i="2" s="1"/>
  <c r="AE97" i="2"/>
  <c r="AH97" i="2" s="1"/>
  <c r="D74" i="2" l="1"/>
  <c r="G74" i="2" s="1"/>
  <c r="G74" i="7"/>
  <c r="U87" i="2"/>
  <c r="AG97" i="2"/>
  <c r="AJ97" i="2" s="1"/>
  <c r="AD98" i="2" s="1"/>
  <c r="F74" i="2" l="1"/>
  <c r="F74" i="7" s="1"/>
  <c r="D74" i="7"/>
  <c r="V87" i="2"/>
  <c r="Y87" i="2" s="1"/>
  <c r="AE98" i="2"/>
  <c r="AH98" i="2" s="1"/>
  <c r="I74" i="2" l="1"/>
  <c r="AG98" i="2"/>
  <c r="AJ98" i="2" s="1"/>
  <c r="AD99" i="2" s="1"/>
  <c r="X87" i="2"/>
  <c r="I74" i="7"/>
  <c r="C75" i="7" s="1"/>
  <c r="C75" i="2"/>
  <c r="AA87" i="2" l="1"/>
  <c r="U88" i="2" s="1"/>
  <c r="V88" i="2" s="1"/>
  <c r="Y88" i="2" s="1"/>
  <c r="D75" i="2"/>
  <c r="G75" i="2" s="1"/>
  <c r="G75" i="7"/>
  <c r="AE99" i="2"/>
  <c r="AH99" i="2" s="1"/>
  <c r="E8" i="3" l="1"/>
  <c r="L3" i="6" s="1" a="1"/>
  <c r="L3" i="6" s="1"/>
  <c r="AG99" i="2"/>
  <c r="AJ99" i="2" s="1"/>
  <c r="AD100" i="2" s="1"/>
  <c r="F75" i="2"/>
  <c r="D75" i="7"/>
  <c r="X88" i="2"/>
  <c r="AA88" i="2" s="1"/>
  <c r="I75" i="2" l="1"/>
  <c r="C76" i="2" s="1"/>
  <c r="D8" i="3"/>
  <c r="K3" i="6" s="1" a="1"/>
  <c r="K3" i="6" s="1"/>
  <c r="F75" i="7"/>
  <c r="I75" i="7" s="1"/>
  <c r="C76" i="7" s="1"/>
  <c r="U89" i="2"/>
  <c r="AE100" i="2"/>
  <c r="AH100" i="2" s="1"/>
  <c r="AG100" i="2" l="1"/>
  <c r="AJ100" i="2" s="1"/>
  <c r="AD101" i="2" s="1"/>
  <c r="D76" i="2"/>
  <c r="G76" i="2" s="1"/>
  <c r="G76" i="7"/>
  <c r="V89" i="2"/>
  <c r="Y89" i="2" s="1"/>
  <c r="F76" i="2" l="1"/>
  <c r="D76" i="7"/>
  <c r="L77" i="2"/>
  <c r="X89" i="2"/>
  <c r="AA89" i="2" s="1"/>
  <c r="AE101" i="2"/>
  <c r="AH101" i="2" s="1"/>
  <c r="I76" i="2" l="1"/>
  <c r="F76" i="7"/>
  <c r="I76" i="7" s="1"/>
  <c r="C77" i="7" s="1"/>
  <c r="C77" i="2"/>
  <c r="AG101" i="2"/>
  <c r="AJ101" i="2" s="1"/>
  <c r="M77" i="2"/>
  <c r="P77" i="2" s="1"/>
  <c r="U90" i="2"/>
  <c r="G77" i="7" l="1"/>
  <c r="D77" i="2"/>
  <c r="G77" i="2" s="1"/>
  <c r="O77" i="2"/>
  <c r="R77" i="2" s="1"/>
  <c r="V90" i="2"/>
  <c r="Y90" i="2" s="1"/>
  <c r="AD102" i="2"/>
  <c r="F77" i="2" l="1"/>
  <c r="D77" i="7"/>
  <c r="L78" i="2"/>
  <c r="X90" i="2"/>
  <c r="AA90" i="2" s="1"/>
  <c r="AE102" i="2"/>
  <c r="AH102" i="2" s="1"/>
  <c r="F77" i="7" l="1"/>
  <c r="I77" i="7" s="1"/>
  <c r="C78" i="7" s="1"/>
  <c r="I77" i="2"/>
  <c r="C78" i="2" s="1"/>
  <c r="AG102" i="2"/>
  <c r="AJ102" i="2" s="1"/>
  <c r="AD103" i="2" s="1"/>
  <c r="M78" i="2"/>
  <c r="P78" i="2" s="1"/>
  <c r="U91" i="2"/>
  <c r="O78" i="2" l="1"/>
  <c r="R78" i="2" s="1"/>
  <c r="L79" i="2" s="1"/>
  <c r="D78" i="2"/>
  <c r="G78" i="2" s="1"/>
  <c r="G78" i="7"/>
  <c r="V91" i="2"/>
  <c r="Y91" i="2" s="1"/>
  <c r="AE103" i="2"/>
  <c r="AH103" i="2" s="1"/>
  <c r="M79" i="2" l="1"/>
  <c r="P79" i="2" s="1"/>
  <c r="D78" i="7"/>
  <c r="F78" i="2"/>
  <c r="AG103" i="2"/>
  <c r="AJ103" i="2" s="1"/>
  <c r="X91" i="2"/>
  <c r="AA91" i="2" s="1"/>
  <c r="F78" i="7" l="1"/>
  <c r="I78" i="7" s="1"/>
  <c r="C79" i="7" s="1"/>
  <c r="O79" i="2"/>
  <c r="I78" i="2"/>
  <c r="C79" i="2" s="1"/>
  <c r="U92" i="2"/>
  <c r="AD104" i="2"/>
  <c r="R79" i="2" l="1"/>
  <c r="L80" i="2" s="1"/>
  <c r="G79" i="7"/>
  <c r="D79" i="2"/>
  <c r="G79" i="2" s="1"/>
  <c r="V92" i="2"/>
  <c r="Y92" i="2" s="1"/>
  <c r="AE104" i="2"/>
  <c r="AH104" i="2" s="1"/>
  <c r="M80" i="2" l="1"/>
  <c r="P80" i="2" s="1"/>
  <c r="D79" i="7"/>
  <c r="F79" i="2"/>
  <c r="F79" i="7" s="1"/>
  <c r="AG104" i="2"/>
  <c r="AJ104" i="2" s="1"/>
  <c r="AD105" i="2" s="1"/>
  <c r="X92" i="2"/>
  <c r="AA92" i="2" s="1"/>
  <c r="O80" i="2" l="1"/>
  <c r="R80" i="2" s="1"/>
  <c r="L81" i="2" s="1"/>
  <c r="I79" i="7"/>
  <c r="C80" i="7" s="1"/>
  <c r="I79" i="2"/>
  <c r="C80" i="2" s="1"/>
  <c r="U93" i="2"/>
  <c r="AE105" i="2"/>
  <c r="AH105" i="2" s="1"/>
  <c r="M81" i="2" l="1"/>
  <c r="P81" i="2" s="1"/>
  <c r="D80" i="2"/>
  <c r="G80" i="2" s="1"/>
  <c r="G80" i="7"/>
  <c r="AG105" i="2"/>
  <c r="AJ105" i="2" s="1"/>
  <c r="AD106" i="2" s="1"/>
  <c r="V93" i="2"/>
  <c r="Y93" i="2" s="1"/>
  <c r="O81" i="2" l="1"/>
  <c r="R81" i="2" s="1"/>
  <c r="L82" i="2" s="1"/>
  <c r="D80" i="7"/>
  <c r="F80" i="2"/>
  <c r="F80" i="7" s="1"/>
  <c r="X93" i="2"/>
  <c r="AA93" i="2" s="1"/>
  <c r="AE106" i="2"/>
  <c r="AH106" i="2" s="1"/>
  <c r="M82" i="2" l="1"/>
  <c r="P82" i="2" s="1"/>
  <c r="I80" i="2"/>
  <c r="C81" i="2" s="1"/>
  <c r="I80" i="7"/>
  <c r="C81" i="7" s="1"/>
  <c r="AG106" i="2"/>
  <c r="AJ106" i="2" s="1"/>
  <c r="AD107" i="2" s="1"/>
  <c r="U94" i="2"/>
  <c r="O82" i="2" l="1"/>
  <c r="R82" i="2" s="1"/>
  <c r="L83" i="2" s="1"/>
  <c r="D81" i="2"/>
  <c r="G81" i="7"/>
  <c r="V94" i="2"/>
  <c r="Y94" i="2" s="1"/>
  <c r="AE107" i="2"/>
  <c r="AH107" i="2" s="1"/>
  <c r="F81" i="2" l="1"/>
  <c r="F81" i="7" s="1"/>
  <c r="G81" i="2"/>
  <c r="M83" i="2"/>
  <c r="P83" i="2" s="1"/>
  <c r="D81" i="7"/>
  <c r="AG107" i="2"/>
  <c r="AJ107" i="2" s="1"/>
  <c r="AD108" i="2" s="1"/>
  <c r="X94" i="2"/>
  <c r="AA94" i="2" s="1"/>
  <c r="I81" i="7" l="1"/>
  <c r="C82" i="7" s="1"/>
  <c r="I81" i="2"/>
  <c r="C82" i="2" s="1"/>
  <c r="O83" i="2"/>
  <c r="R83" i="2" s="1"/>
  <c r="L84" i="2" s="1"/>
  <c r="U95" i="2"/>
  <c r="AE108" i="2"/>
  <c r="AH108" i="2" s="1"/>
  <c r="G82" i="7" l="1"/>
  <c r="D82" i="2"/>
  <c r="D82" i="7" s="1"/>
  <c r="M84" i="2"/>
  <c r="P84" i="2" s="1"/>
  <c r="AG108" i="2"/>
  <c r="AJ108" i="2" s="1"/>
  <c r="AD109" i="2" s="1"/>
  <c r="V95" i="2"/>
  <c r="Y95" i="2" s="1"/>
  <c r="F82" i="2" l="1"/>
  <c r="F82" i="7" s="1"/>
  <c r="I82" i="7" s="1"/>
  <c r="C83" i="7" s="1"/>
  <c r="G82" i="2"/>
  <c r="O84" i="2"/>
  <c r="R84" i="2" s="1"/>
  <c r="L85" i="2" s="1"/>
  <c r="X95" i="2"/>
  <c r="AA95" i="2" s="1"/>
  <c r="AE109" i="2"/>
  <c r="AH109" i="2" s="1"/>
  <c r="I82" i="2" l="1"/>
  <c r="C83" i="2" s="1"/>
  <c r="M85" i="2"/>
  <c r="P85" i="2" s="1"/>
  <c r="AG109" i="2"/>
  <c r="AJ109" i="2" s="1"/>
  <c r="AD110" i="2" s="1"/>
  <c r="U96" i="2"/>
  <c r="O85" i="2" l="1"/>
  <c r="R85" i="2" s="1"/>
  <c r="L86" i="2" s="1"/>
  <c r="D83" i="2"/>
  <c r="F83" i="2" s="1"/>
  <c r="F83" i="7" s="1"/>
  <c r="G83" i="7"/>
  <c r="V96" i="2"/>
  <c r="Y96" i="2" s="1"/>
  <c r="AE110" i="2"/>
  <c r="AH110" i="2" s="1"/>
  <c r="G83" i="2" l="1"/>
  <c r="I83" i="2" s="1"/>
  <c r="C84" i="2" s="1"/>
  <c r="D83" i="7"/>
  <c r="I83" i="7" s="1"/>
  <c r="C84" i="7" s="1"/>
  <c r="M86" i="2"/>
  <c r="P86" i="2" s="1"/>
  <c r="AG110" i="2"/>
  <c r="AJ110" i="2" s="1"/>
  <c r="AD111" i="2" s="1"/>
  <c r="X96" i="2"/>
  <c r="AA96" i="2" s="1"/>
  <c r="O86" i="2" l="1"/>
  <c r="R86" i="2" s="1"/>
  <c r="L87" i="2" s="1"/>
  <c r="G84" i="7"/>
  <c r="D84" i="2"/>
  <c r="F84" i="2" s="1"/>
  <c r="F84" i="7" s="1"/>
  <c r="U97" i="2"/>
  <c r="AE111" i="2"/>
  <c r="AH111" i="2" s="1"/>
  <c r="G84" i="2" l="1"/>
  <c r="I84" i="2" s="1"/>
  <c r="C85" i="2" s="1"/>
  <c r="D84" i="7"/>
  <c r="I84" i="7" s="1"/>
  <c r="C85" i="7" s="1"/>
  <c r="M87" i="2"/>
  <c r="P87" i="2" s="1"/>
  <c r="AG111" i="2"/>
  <c r="AJ111" i="2" s="1"/>
  <c r="AD112" i="2" s="1"/>
  <c r="V97" i="2"/>
  <c r="Y97" i="2" s="1"/>
  <c r="O87" i="2" l="1"/>
  <c r="R87" i="2" s="1"/>
  <c r="L88" i="2" s="1"/>
  <c r="G85" i="7"/>
  <c r="D85" i="2"/>
  <c r="G85" i="2" s="1"/>
  <c r="X97" i="2"/>
  <c r="AA97" i="2" s="1"/>
  <c r="AE112" i="2"/>
  <c r="AH112" i="2" s="1"/>
  <c r="F85" i="2" l="1"/>
  <c r="I85" i="2" s="1"/>
  <c r="C86" i="2" s="1"/>
  <c r="D85" i="7"/>
  <c r="M88" i="2"/>
  <c r="P88" i="2" s="1"/>
  <c r="AG112" i="2"/>
  <c r="AJ112" i="2" s="1"/>
  <c r="AD113" i="2" s="1"/>
  <c r="U98" i="2"/>
  <c r="F85" i="7" l="1"/>
  <c r="I85" i="7" s="1"/>
  <c r="C86" i="7" s="1"/>
  <c r="G86" i="7" s="1"/>
  <c r="D86" i="2"/>
  <c r="F86" i="2" s="1"/>
  <c r="F86" i="7" s="1"/>
  <c r="O88" i="2"/>
  <c r="R88" i="2" s="1"/>
  <c r="L89" i="2" s="1"/>
  <c r="V98" i="2"/>
  <c r="Y98" i="2" s="1"/>
  <c r="AE113" i="2"/>
  <c r="AH113" i="2" s="1"/>
  <c r="D86" i="7" l="1"/>
  <c r="I86" i="7" s="1"/>
  <c r="C87" i="7" s="1"/>
  <c r="G86" i="2"/>
  <c r="I86" i="2" s="1"/>
  <c r="C87" i="2" s="1"/>
  <c r="M89" i="2"/>
  <c r="P89" i="2" s="1"/>
  <c r="AG113" i="2"/>
  <c r="AJ113" i="2" s="1"/>
  <c r="AD114" i="2" s="1"/>
  <c r="X98" i="2"/>
  <c r="AA98" i="2" s="1"/>
  <c r="D87" i="2" l="1"/>
  <c r="G87" i="2" s="1"/>
  <c r="E9" i="3" s="1"/>
  <c r="O89" i="2"/>
  <c r="R89" i="2" s="1"/>
  <c r="L90" i="2" s="1"/>
  <c r="G87" i="7"/>
  <c r="U99" i="2"/>
  <c r="AE114" i="2"/>
  <c r="AH114" i="2" s="1"/>
  <c r="D87" i="7" l="1"/>
  <c r="F87" i="2"/>
  <c r="I87" i="2" s="1"/>
  <c r="C88" i="2" s="1"/>
  <c r="M90" i="2"/>
  <c r="P90" i="2" s="1"/>
  <c r="AG114" i="2"/>
  <c r="AJ114" i="2" s="1"/>
  <c r="AD115" i="2" s="1"/>
  <c r="V99" i="2"/>
  <c r="Y99" i="2" s="1"/>
  <c r="D9" i="3" l="1"/>
  <c r="F87" i="7"/>
  <c r="I87" i="7" s="1"/>
  <c r="C88" i="7" s="1"/>
  <c r="O90" i="2"/>
  <c r="R90" i="2" s="1"/>
  <c r="L91" i="2" s="1"/>
  <c r="D88" i="2"/>
  <c r="X99" i="2"/>
  <c r="AE115" i="2"/>
  <c r="AH115" i="2" s="1"/>
  <c r="F88" i="2" l="1"/>
  <c r="F88" i="7" s="1"/>
  <c r="G88" i="2"/>
  <c r="AA99" i="2"/>
  <c r="U100" i="2" s="1"/>
  <c r="M91" i="2"/>
  <c r="P91" i="2" s="1"/>
  <c r="G88" i="7"/>
  <c r="D88" i="7"/>
  <c r="AG115" i="2"/>
  <c r="AJ115" i="2" s="1"/>
  <c r="AD116" i="2" s="1"/>
  <c r="O91" i="2" l="1"/>
  <c r="R91" i="2" s="1"/>
  <c r="L92" i="2" s="1"/>
  <c r="I88" i="2"/>
  <c r="C89" i="2" s="1"/>
  <c r="I88" i="7"/>
  <c r="C89" i="7" s="1"/>
  <c r="V100" i="2"/>
  <c r="Y100" i="2" s="1"/>
  <c r="AE116" i="2"/>
  <c r="AH116" i="2" s="1"/>
  <c r="D89" i="2" l="1"/>
  <c r="G89" i="2" s="1"/>
  <c r="X100" i="2"/>
  <c r="AA100" i="2" s="1"/>
  <c r="U101" i="2" s="1"/>
  <c r="M92" i="2"/>
  <c r="P92" i="2" s="1"/>
  <c r="G89" i="7"/>
  <c r="AG116" i="2"/>
  <c r="AJ116" i="2" s="1"/>
  <c r="AD117" i="2" s="1"/>
  <c r="F89" i="2" l="1"/>
  <c r="D89" i="7"/>
  <c r="O92" i="2"/>
  <c r="R92" i="2" s="1"/>
  <c r="L93" i="2" s="1"/>
  <c r="V101" i="2"/>
  <c r="Y101" i="2" s="1"/>
  <c r="AE117" i="2"/>
  <c r="AH117" i="2" s="1"/>
  <c r="F89" i="7" l="1"/>
  <c r="I89" i="7" s="1"/>
  <c r="C90" i="7" s="1"/>
  <c r="I89" i="2"/>
  <c r="C90" i="2" s="1"/>
  <c r="M93" i="2"/>
  <c r="P93" i="2" s="1"/>
  <c r="AG117" i="2"/>
  <c r="AJ117" i="2" s="1"/>
  <c r="AD118" i="2" s="1"/>
  <c r="X101" i="2"/>
  <c r="AA101" i="2" s="1"/>
  <c r="O93" i="2" l="1"/>
  <c r="R93" i="2" s="1"/>
  <c r="L94" i="2" s="1"/>
  <c r="D90" i="2"/>
  <c r="G90" i="7"/>
  <c r="U102" i="2"/>
  <c r="AE118" i="2"/>
  <c r="AH118" i="2" s="1"/>
  <c r="F90" i="2" l="1"/>
  <c r="G90" i="2"/>
  <c r="D90" i="7"/>
  <c r="M94" i="2"/>
  <c r="P94" i="2" s="1"/>
  <c r="AG118" i="2"/>
  <c r="AJ118" i="2" s="1"/>
  <c r="AD119" i="2" s="1"/>
  <c r="V102" i="2"/>
  <c r="Y102" i="2" s="1"/>
  <c r="F90" i="7" l="1"/>
  <c r="I90" i="7" s="1"/>
  <c r="C91" i="7" s="1"/>
  <c r="I90" i="2"/>
  <c r="C91" i="2" s="1"/>
  <c r="O94" i="2"/>
  <c r="R94" i="2" s="1"/>
  <c r="L95" i="2" s="1"/>
  <c r="X102" i="2"/>
  <c r="AA102" i="2" s="1"/>
  <c r="AE119" i="2"/>
  <c r="AH119" i="2" s="1"/>
  <c r="D91" i="2" l="1"/>
  <c r="G91" i="7"/>
  <c r="M95" i="2"/>
  <c r="P95" i="2" s="1"/>
  <c r="AG119" i="2"/>
  <c r="AJ119" i="2" s="1"/>
  <c r="AD120" i="2" s="1"/>
  <c r="U103" i="2"/>
  <c r="F91" i="2" l="1"/>
  <c r="G91" i="2"/>
  <c r="D91" i="7"/>
  <c r="O95" i="2"/>
  <c r="R95" i="2" s="1"/>
  <c r="L96" i="2" s="1"/>
  <c r="V103" i="2"/>
  <c r="Y103" i="2" s="1"/>
  <c r="AE120" i="2"/>
  <c r="AH120" i="2" s="1"/>
  <c r="F91" i="7" l="1"/>
  <c r="I91" i="7" s="1"/>
  <c r="C92" i="7" s="1"/>
  <c r="I91" i="2"/>
  <c r="C92" i="2" s="1"/>
  <c r="M96" i="2"/>
  <c r="P96" i="2" s="1"/>
  <c r="X103" i="2"/>
  <c r="AA103" i="2" s="1"/>
  <c r="AG120" i="2"/>
  <c r="AJ120" i="2" s="1"/>
  <c r="AD121" i="2" s="1"/>
  <c r="D92" i="2" l="1"/>
  <c r="O96" i="2"/>
  <c r="R96" i="2" s="1"/>
  <c r="L97" i="2" s="1"/>
  <c r="U104" i="2"/>
  <c r="AE121" i="2"/>
  <c r="AH121" i="2" s="1"/>
  <c r="F92" i="2" l="1"/>
  <c r="F92" i="7" s="1"/>
  <c r="G92" i="2"/>
  <c r="D92" i="7"/>
  <c r="G92" i="7"/>
  <c r="V104" i="2"/>
  <c r="Y104" i="2" s="1"/>
  <c r="M97" i="2"/>
  <c r="P97" i="2" s="1"/>
  <c r="AG121" i="2"/>
  <c r="AJ121" i="2" s="1"/>
  <c r="AD122" i="2" s="1"/>
  <c r="I92" i="7" l="1"/>
  <c r="C93" i="7" s="1"/>
  <c r="I92" i="2"/>
  <c r="C93" i="2" s="1"/>
  <c r="X104" i="2"/>
  <c r="AA104" i="2" s="1"/>
  <c r="U105" i="2" s="1"/>
  <c r="O97" i="2"/>
  <c r="R97" i="2" s="1"/>
  <c r="L98" i="2" s="1"/>
  <c r="AE122" i="2"/>
  <c r="AH122" i="2" s="1"/>
  <c r="D93" i="2" l="1"/>
  <c r="G93" i="7"/>
  <c r="M98" i="2"/>
  <c r="P98" i="2" s="1"/>
  <c r="AG122" i="2"/>
  <c r="AJ122" i="2" s="1"/>
  <c r="AD123" i="2" s="1"/>
  <c r="V105" i="2"/>
  <c r="Y105" i="2" s="1"/>
  <c r="O98" i="2" l="1"/>
  <c r="R98" i="2" s="1"/>
  <c r="L99" i="2" s="1"/>
  <c r="F93" i="2"/>
  <c r="F93" i="7" s="1"/>
  <c r="G93" i="2"/>
  <c r="D93" i="7"/>
  <c r="X105" i="2"/>
  <c r="AA105" i="2" s="1"/>
  <c r="AE123" i="2"/>
  <c r="AH123" i="2" s="1"/>
  <c r="I93" i="7" l="1"/>
  <c r="C94" i="7" s="1"/>
  <c r="I93" i="2"/>
  <c r="C94" i="2" s="1"/>
  <c r="M99" i="2"/>
  <c r="P99" i="2" s="1"/>
  <c r="AG123" i="2"/>
  <c r="AJ123" i="2" s="1"/>
  <c r="AD124" i="2" s="1"/>
  <c r="U106" i="2"/>
  <c r="D94" i="2" l="1"/>
  <c r="G94" i="7"/>
  <c r="O99" i="2"/>
  <c r="R99" i="2" s="1"/>
  <c r="V106" i="2"/>
  <c r="Y106" i="2" s="1"/>
  <c r="AE124" i="2"/>
  <c r="AH124" i="2" s="1"/>
  <c r="F94" i="2" l="1"/>
  <c r="F94" i="7" s="1"/>
  <c r="G94" i="2"/>
  <c r="D94" i="7"/>
  <c r="L100" i="2"/>
  <c r="AG124" i="2"/>
  <c r="AJ124" i="2" s="1"/>
  <c r="AD125" i="2" s="1"/>
  <c r="X106" i="2"/>
  <c r="AA106" i="2" s="1"/>
  <c r="I94" i="7" l="1"/>
  <c r="C95" i="7" s="1"/>
  <c r="I94" i="2"/>
  <c r="C95" i="2" s="1"/>
  <c r="M100" i="2"/>
  <c r="P100" i="2" s="1"/>
  <c r="U107" i="2"/>
  <c r="AE125" i="2"/>
  <c r="AH125" i="2" s="1"/>
  <c r="D95" i="2" l="1"/>
  <c r="O100" i="2"/>
  <c r="R100" i="2" s="1"/>
  <c r="L101" i="2" s="1"/>
  <c r="V107" i="2"/>
  <c r="Y107" i="2" s="1"/>
  <c r="AG125" i="2"/>
  <c r="AJ125" i="2" s="1"/>
  <c r="AD126" i="2" s="1"/>
  <c r="F95" i="2" l="1"/>
  <c r="F95" i="7" s="1"/>
  <c r="G95" i="2"/>
  <c r="D95" i="7"/>
  <c r="G95" i="7"/>
  <c r="M101" i="2"/>
  <c r="P101" i="2" s="1"/>
  <c r="X107" i="2"/>
  <c r="AE126" i="2"/>
  <c r="AH126" i="2" s="1"/>
  <c r="O101" i="2" l="1"/>
  <c r="R101" i="2" s="1"/>
  <c r="L102" i="2" s="1"/>
  <c r="I95" i="7"/>
  <c r="C96" i="7" s="1"/>
  <c r="I95" i="2"/>
  <c r="C96" i="2" s="1"/>
  <c r="AA107" i="2"/>
  <c r="U108" i="2" s="1"/>
  <c r="V108" i="2" s="1"/>
  <c r="Y108" i="2" s="1"/>
  <c r="AG126" i="2"/>
  <c r="AJ126" i="2" s="1"/>
  <c r="AD127" i="2" s="1"/>
  <c r="D96" i="2" l="1"/>
  <c r="M102" i="2"/>
  <c r="P102" i="2" s="1"/>
  <c r="X108" i="2"/>
  <c r="AA108" i="2" s="1"/>
  <c r="AE127" i="2"/>
  <c r="AH127" i="2" s="1"/>
  <c r="F96" i="2" l="1"/>
  <c r="F96" i="7" s="1"/>
  <c r="G96" i="2"/>
  <c r="D96" i="7"/>
  <c r="G96" i="7"/>
  <c r="O102" i="2"/>
  <c r="R102" i="2" s="1"/>
  <c r="L103" i="2" s="1"/>
  <c r="AG127" i="2"/>
  <c r="AJ127" i="2" s="1"/>
  <c r="U109" i="2"/>
  <c r="I96" i="7" l="1"/>
  <c r="C97" i="7" s="1"/>
  <c r="I96" i="2"/>
  <c r="C97" i="2" s="1"/>
  <c r="M103" i="2"/>
  <c r="P103" i="2" s="1"/>
  <c r="V109" i="2"/>
  <c r="Y109" i="2" s="1"/>
  <c r="AD128" i="2"/>
  <c r="D97" i="2" l="1"/>
  <c r="O103" i="2"/>
  <c r="R103" i="2" s="1"/>
  <c r="L104" i="2" s="1"/>
  <c r="X109" i="2"/>
  <c r="AA109" i="2" s="1"/>
  <c r="AE128" i="2"/>
  <c r="AH128" i="2" s="1"/>
  <c r="F97" i="2" l="1"/>
  <c r="I97" i="2" s="1"/>
  <c r="C98" i="2" s="1"/>
  <c r="G97" i="2"/>
  <c r="D97" i="7"/>
  <c r="G97" i="7"/>
  <c r="M104" i="2"/>
  <c r="P104" i="2" s="1"/>
  <c r="AG128" i="2"/>
  <c r="AJ128" i="2" s="1"/>
  <c r="AD129" i="2" s="1"/>
  <c r="U110" i="2"/>
  <c r="D98" i="2" l="1"/>
  <c r="F97" i="7"/>
  <c r="I97" i="7" s="1"/>
  <c r="C98" i="7" s="1"/>
  <c r="O104" i="2"/>
  <c r="R104" i="2" s="1"/>
  <c r="L105" i="2" s="1"/>
  <c r="V110" i="2"/>
  <c r="Y110" i="2" s="1"/>
  <c r="AE129" i="2"/>
  <c r="AH129" i="2" s="1"/>
  <c r="F98" i="2" l="1"/>
  <c r="G98" i="2"/>
  <c r="D98" i="7"/>
  <c r="G98" i="7"/>
  <c r="M105" i="2"/>
  <c r="P105" i="2" s="1"/>
  <c r="AG129" i="2"/>
  <c r="AJ129" i="2" s="1"/>
  <c r="AD130" i="2" s="1"/>
  <c r="X110" i="2"/>
  <c r="I98" i="2" l="1"/>
  <c r="C99" i="2" s="1"/>
  <c r="D99" i="2" s="1"/>
  <c r="F99" i="2" s="1"/>
  <c r="D10" i="3" s="1"/>
  <c r="F98" i="7"/>
  <c r="I98" i="7" s="1"/>
  <c r="C99" i="7" s="1"/>
  <c r="G99" i="7" s="1"/>
  <c r="O105" i="2"/>
  <c r="R105" i="2" s="1"/>
  <c r="L106" i="2" s="1"/>
  <c r="AA110" i="2"/>
  <c r="U111" i="2" s="1"/>
  <c r="V111" i="2" s="1"/>
  <c r="Y111" i="2" s="1"/>
  <c r="AE130" i="2"/>
  <c r="AH130" i="2" s="1"/>
  <c r="F99" i="7" l="1"/>
  <c r="G99" i="2"/>
  <c r="D99" i="7"/>
  <c r="M106" i="2"/>
  <c r="P106" i="2" s="1"/>
  <c r="X111" i="2"/>
  <c r="AG130" i="2"/>
  <c r="AJ130" i="2" s="1"/>
  <c r="AD131" i="2" s="1"/>
  <c r="I99" i="2" l="1"/>
  <c r="C100" i="2" s="1"/>
  <c r="D100" i="2" s="1"/>
  <c r="E10" i="3"/>
  <c r="AA111" i="2"/>
  <c r="U112" i="2" s="1"/>
  <c r="I99" i="7"/>
  <c r="C100" i="7" s="1"/>
  <c r="O106" i="2"/>
  <c r="R106" i="2" s="1"/>
  <c r="L107" i="2" s="1"/>
  <c r="AE131" i="2"/>
  <c r="AH131" i="2" s="1"/>
  <c r="G100" i="7" l="1"/>
  <c r="F100" i="2"/>
  <c r="G100" i="2"/>
  <c r="D100" i="7"/>
  <c r="M107" i="2"/>
  <c r="P107" i="2" s="1"/>
  <c r="AG131" i="2"/>
  <c r="AJ131" i="2" s="1"/>
  <c r="AD132" i="2" s="1"/>
  <c r="V112" i="2"/>
  <c r="Y112" i="2" s="1"/>
  <c r="F100" i="7" l="1"/>
  <c r="I100" i="7" s="1"/>
  <c r="C101" i="7" s="1"/>
  <c r="I100" i="2"/>
  <c r="C101" i="2" s="1"/>
  <c r="O107" i="2"/>
  <c r="R107" i="2" s="1"/>
  <c r="L108" i="2" s="1"/>
  <c r="X112" i="2"/>
  <c r="AA112" i="2" s="1"/>
  <c r="AE132" i="2"/>
  <c r="AH132" i="2" s="1"/>
  <c r="G101" i="7" l="1"/>
  <c r="D101" i="2"/>
  <c r="G101" i="2" s="1"/>
  <c r="M108" i="2"/>
  <c r="P108" i="2" s="1"/>
  <c r="AG132" i="2"/>
  <c r="AJ132" i="2" s="1"/>
  <c r="U113" i="2"/>
  <c r="O108" i="2" l="1"/>
  <c r="R108" i="2" s="1"/>
  <c r="L109" i="2" s="1"/>
  <c r="F101" i="2"/>
  <c r="I101" i="2" s="1"/>
  <c r="C102" i="2" s="1"/>
  <c r="D102" i="2" s="1"/>
  <c r="D101" i="7"/>
  <c r="V113" i="2"/>
  <c r="Y113" i="2" s="1"/>
  <c r="AD133" i="2"/>
  <c r="F101" i="7" l="1"/>
  <c r="I101" i="7" s="1"/>
  <c r="C102" i="7" s="1"/>
  <c r="G102" i="7" s="1"/>
  <c r="F102" i="2"/>
  <c r="G102" i="2"/>
  <c r="D102" i="7"/>
  <c r="M109" i="2"/>
  <c r="P109" i="2" s="1"/>
  <c r="X113" i="2"/>
  <c r="AA113" i="2" s="1"/>
  <c r="AE133" i="2"/>
  <c r="AH133" i="2" s="1"/>
  <c r="F102" i="7" l="1"/>
  <c r="I102" i="7" s="1"/>
  <c r="C103" i="7" s="1"/>
  <c r="I102" i="2"/>
  <c r="C103" i="2" s="1"/>
  <c r="O109" i="2"/>
  <c r="R109" i="2" s="1"/>
  <c r="L110" i="2" s="1"/>
  <c r="AG133" i="2"/>
  <c r="AJ133" i="2" s="1"/>
  <c r="AD134" i="2" s="1"/>
  <c r="U114" i="2"/>
  <c r="G103" i="7" l="1"/>
  <c r="D103" i="2"/>
  <c r="M110" i="2"/>
  <c r="P110" i="2" s="1"/>
  <c r="V114" i="2"/>
  <c r="Y114" i="2" s="1"/>
  <c r="AE134" i="2"/>
  <c r="AH134" i="2" s="1"/>
  <c r="F103" i="2" l="1"/>
  <c r="G103" i="2"/>
  <c r="D103" i="7"/>
  <c r="O110" i="2"/>
  <c r="R110" i="2" s="1"/>
  <c r="L111" i="2" s="1"/>
  <c r="AG134" i="2"/>
  <c r="AJ134" i="2" s="1"/>
  <c r="AD135" i="2" s="1"/>
  <c r="X114" i="2"/>
  <c r="AA114" i="2" s="1"/>
  <c r="F103" i="7" l="1"/>
  <c r="I103" i="7" s="1"/>
  <c r="C104" i="7" s="1"/>
  <c r="I103" i="2"/>
  <c r="C104" i="2" s="1"/>
  <c r="M111" i="2"/>
  <c r="P111" i="2" s="1"/>
  <c r="U115" i="2"/>
  <c r="AE135" i="2"/>
  <c r="AH135" i="2" s="1"/>
  <c r="G104" i="7" l="1"/>
  <c r="D104" i="2"/>
  <c r="O111" i="2"/>
  <c r="R111" i="2" s="1"/>
  <c r="L112" i="2" s="1"/>
  <c r="AG135" i="2"/>
  <c r="AJ135" i="2" s="1"/>
  <c r="AD136" i="2" s="1"/>
  <c r="V115" i="2"/>
  <c r="Y115" i="2" s="1"/>
  <c r="F104" i="2" l="1"/>
  <c r="F104" i="7" s="1"/>
  <c r="G104" i="2"/>
  <c r="D104" i="7"/>
  <c r="M112" i="2"/>
  <c r="P112" i="2" s="1"/>
  <c r="X115" i="2"/>
  <c r="AA115" i="2" s="1"/>
  <c r="AE136" i="2"/>
  <c r="AH136" i="2" s="1"/>
  <c r="I104" i="2" l="1"/>
  <c r="C105" i="2" s="1"/>
  <c r="I104" i="7"/>
  <c r="C105" i="7" s="1"/>
  <c r="O112" i="2"/>
  <c r="R112" i="2" s="1"/>
  <c r="L113" i="2" s="1"/>
  <c r="AG136" i="2"/>
  <c r="AJ136" i="2" s="1"/>
  <c r="AD137" i="2" s="1"/>
  <c r="U116" i="2"/>
  <c r="D105" i="2" l="1"/>
  <c r="G105" i="7"/>
  <c r="M113" i="2"/>
  <c r="P113" i="2" s="1"/>
  <c r="V116" i="2"/>
  <c r="Y116" i="2" s="1"/>
  <c r="AE137" i="2"/>
  <c r="AH137" i="2" s="1"/>
  <c r="F105" i="2" l="1"/>
  <c r="F105" i="7" s="1"/>
  <c r="G105" i="2"/>
  <c r="D105" i="7"/>
  <c r="O113" i="2"/>
  <c r="R113" i="2" s="1"/>
  <c r="L114" i="2" s="1"/>
  <c r="X116" i="2"/>
  <c r="AA116" i="2" s="1"/>
  <c r="AG137" i="2"/>
  <c r="AJ137" i="2" s="1"/>
  <c r="AD138" i="2" s="1"/>
  <c r="I105" i="2" l="1"/>
  <c r="C106" i="2" s="1"/>
  <c r="I105" i="7"/>
  <c r="C106" i="7" s="1"/>
  <c r="M114" i="2"/>
  <c r="P114" i="2" s="1"/>
  <c r="U117" i="2"/>
  <c r="AE138" i="2"/>
  <c r="AH138" i="2" s="1"/>
  <c r="D106" i="2" l="1"/>
  <c r="G106" i="7"/>
  <c r="F106" i="2"/>
  <c r="O114" i="2"/>
  <c r="R114" i="2" s="1"/>
  <c r="L115" i="2" s="1"/>
  <c r="AG138" i="2"/>
  <c r="AJ138" i="2" s="1"/>
  <c r="V117" i="2"/>
  <c r="Y117" i="2" s="1"/>
  <c r="F106" i="7" l="1"/>
  <c r="G106" i="2"/>
  <c r="I106" i="2" s="1"/>
  <c r="C107" i="2" s="1"/>
  <c r="D106" i="7"/>
  <c r="M115" i="2"/>
  <c r="P115" i="2" s="1"/>
  <c r="X117" i="2"/>
  <c r="AA117" i="2" s="1"/>
  <c r="AD139" i="2"/>
  <c r="I106" i="7" l="1"/>
  <c r="C107" i="7" s="1"/>
  <c r="G107" i="7" s="1"/>
  <c r="D107" i="2"/>
  <c r="O115" i="2"/>
  <c r="R115" i="2" s="1"/>
  <c r="L116" i="2" s="1"/>
  <c r="U118" i="2"/>
  <c r="AE139" i="2"/>
  <c r="AH139" i="2" s="1"/>
  <c r="F107" i="2" l="1"/>
  <c r="G107" i="2"/>
  <c r="D107" i="7"/>
  <c r="M116" i="2"/>
  <c r="P116" i="2" s="1"/>
  <c r="V118" i="2"/>
  <c r="Y118" i="2" s="1"/>
  <c r="AG139" i="2"/>
  <c r="AJ139" i="2" s="1"/>
  <c r="F107" i="7" l="1"/>
  <c r="I107" i="7" s="1"/>
  <c r="C108" i="7" s="1"/>
  <c r="I107" i="2"/>
  <c r="C108" i="2" s="1"/>
  <c r="O116" i="2"/>
  <c r="R116" i="2" s="1"/>
  <c r="X118" i="2"/>
  <c r="AA118" i="2" s="1"/>
  <c r="AD140" i="2"/>
  <c r="G108" i="7" l="1"/>
  <c r="D108" i="2"/>
  <c r="L117" i="2"/>
  <c r="U119" i="2"/>
  <c r="AE140" i="2"/>
  <c r="AH140" i="2" s="1"/>
  <c r="F108" i="2" l="1"/>
  <c r="G108" i="2"/>
  <c r="D108" i="7"/>
  <c r="M117" i="2"/>
  <c r="P117" i="2" s="1"/>
  <c r="AG140" i="2"/>
  <c r="AJ140" i="2" s="1"/>
  <c r="AD141" i="2" s="1"/>
  <c r="V119" i="2"/>
  <c r="Y119" i="2" s="1"/>
  <c r="O117" i="2" l="1"/>
  <c r="R117" i="2" s="1"/>
  <c r="L118" i="2" s="1"/>
  <c r="F108" i="7"/>
  <c r="I108" i="7" s="1"/>
  <c r="C109" i="7" s="1"/>
  <c r="I108" i="2"/>
  <c r="C109" i="2" s="1"/>
  <c r="X119" i="2"/>
  <c r="AA119" i="2" s="1"/>
  <c r="AE141" i="2"/>
  <c r="AH141" i="2" s="1"/>
  <c r="D109" i="2" l="1"/>
  <c r="M118" i="2"/>
  <c r="P118" i="2" s="1"/>
  <c r="AG141" i="2"/>
  <c r="AJ141" i="2" s="1"/>
  <c r="AD142" i="2" s="1"/>
  <c r="U120" i="2"/>
  <c r="F109" i="2" l="1"/>
  <c r="I109" i="2" s="1"/>
  <c r="C110" i="2" s="1"/>
  <c r="G109" i="2"/>
  <c r="D109" i="7"/>
  <c r="G109" i="7"/>
  <c r="O118" i="2"/>
  <c r="R118" i="2" s="1"/>
  <c r="V120" i="2"/>
  <c r="Y120" i="2" s="1"/>
  <c r="AE142" i="2"/>
  <c r="AH142" i="2" s="1"/>
  <c r="D110" i="2" l="1"/>
  <c r="F109" i="7"/>
  <c r="I109" i="7" s="1"/>
  <c r="C110" i="7" s="1"/>
  <c r="L119" i="2"/>
  <c r="AG142" i="2"/>
  <c r="AJ142" i="2" s="1"/>
  <c r="AD143" i="2" s="1"/>
  <c r="X120" i="2"/>
  <c r="AA120" i="2" s="1"/>
  <c r="F110" i="2" l="1"/>
  <c r="G110" i="2"/>
  <c r="D110" i="7"/>
  <c r="G110" i="7"/>
  <c r="M119" i="2"/>
  <c r="P119" i="2" s="1"/>
  <c r="U121" i="2"/>
  <c r="AE143" i="2"/>
  <c r="AH143" i="2" s="1"/>
  <c r="I110" i="2" l="1"/>
  <c r="C111" i="2" s="1"/>
  <c r="D111" i="2" s="1"/>
  <c r="F110" i="7"/>
  <c r="I110" i="7" s="1"/>
  <c r="C111" i="7" s="1"/>
  <c r="O119" i="2"/>
  <c r="R119" i="2" s="1"/>
  <c r="L120" i="2" s="1"/>
  <c r="V121" i="2"/>
  <c r="Y121" i="2" s="1"/>
  <c r="AG143" i="2"/>
  <c r="AJ143" i="2" s="1"/>
  <c r="AD144" i="2" s="1"/>
  <c r="X121" i="2" l="1"/>
  <c r="AA121" i="2" s="1"/>
  <c r="U122" i="2" s="1"/>
  <c r="G111" i="2"/>
  <c r="D111" i="7"/>
  <c r="G111" i="7"/>
  <c r="F111" i="2"/>
  <c r="D11" i="3" s="1"/>
  <c r="M120" i="2"/>
  <c r="P120" i="2" s="1"/>
  <c r="AE144" i="2"/>
  <c r="AH144" i="2" s="1"/>
  <c r="I111" i="2" l="1"/>
  <c r="C112" i="2" s="1"/>
  <c r="D112" i="2" s="1"/>
  <c r="E11" i="3"/>
  <c r="F111" i="7"/>
  <c r="I111" i="7" s="1"/>
  <c r="C112" i="7" s="1"/>
  <c r="O120" i="2"/>
  <c r="R120" i="2" s="1"/>
  <c r="L121" i="2" s="1"/>
  <c r="AG144" i="2"/>
  <c r="AJ144" i="2" s="1"/>
  <c r="AD145" i="2" s="1"/>
  <c r="V122" i="2"/>
  <c r="Y122" i="2" s="1"/>
  <c r="G112" i="7" l="1"/>
  <c r="F112" i="2"/>
  <c r="F112" i="7" s="1"/>
  <c r="G112" i="2"/>
  <c r="D112" i="7"/>
  <c r="M121" i="2"/>
  <c r="P121" i="2" s="1"/>
  <c r="X122" i="2"/>
  <c r="AA122" i="2" s="1"/>
  <c r="AE145" i="2"/>
  <c r="AH145" i="2" s="1"/>
  <c r="O121" i="2" l="1"/>
  <c r="R121" i="2" s="1"/>
  <c r="L122" i="2" s="1"/>
  <c r="I112" i="2"/>
  <c r="C113" i="2" s="1"/>
  <c r="I112" i="7"/>
  <c r="C113" i="7" s="1"/>
  <c r="AG145" i="2"/>
  <c r="AJ145" i="2" s="1"/>
  <c r="AD146" i="2" s="1"/>
  <c r="U123" i="2"/>
  <c r="D113" i="2" l="1"/>
  <c r="F113" i="2" s="1"/>
  <c r="F113" i="7" s="1"/>
  <c r="M122" i="2"/>
  <c r="P122" i="2" s="1"/>
  <c r="V123" i="2"/>
  <c r="Y123" i="2" s="1"/>
  <c r="AE146" i="2"/>
  <c r="AH146" i="2" s="1"/>
  <c r="G113" i="2" l="1"/>
  <c r="I113" i="2" s="1"/>
  <c r="C114" i="2" s="1"/>
  <c r="D113" i="7"/>
  <c r="I113" i="7" s="1"/>
  <c r="C114" i="7" s="1"/>
  <c r="G113" i="7"/>
  <c r="O122" i="2"/>
  <c r="R122" i="2" s="1"/>
  <c r="L123" i="2" s="1"/>
  <c r="AG146" i="2"/>
  <c r="AJ146" i="2" s="1"/>
  <c r="AD147" i="2" s="1"/>
  <c r="X123" i="2"/>
  <c r="D114" i="2" l="1"/>
  <c r="G114" i="7"/>
  <c r="AA123" i="2"/>
  <c r="U124" i="2" s="1"/>
  <c r="V124" i="2" s="1"/>
  <c r="Y124" i="2" s="1"/>
  <c r="M123" i="2"/>
  <c r="P123" i="2" s="1"/>
  <c r="AE147" i="2"/>
  <c r="AH147" i="2" s="1"/>
  <c r="F114" i="2" l="1"/>
  <c r="G114" i="2"/>
  <c r="D114" i="7"/>
  <c r="O123" i="2"/>
  <c r="R123" i="2" s="1"/>
  <c r="L124" i="2" s="1"/>
  <c r="AG147" i="2"/>
  <c r="AJ147" i="2" s="1"/>
  <c r="AD148" i="2" s="1"/>
  <c r="X124" i="2"/>
  <c r="F114" i="7" l="1"/>
  <c r="I114" i="7" s="1"/>
  <c r="C115" i="7" s="1"/>
  <c r="I114" i="2"/>
  <c r="C115" i="2" s="1"/>
  <c r="AA124" i="2"/>
  <c r="U125" i="2" s="1"/>
  <c r="M124" i="2"/>
  <c r="P124" i="2" s="1"/>
  <c r="AE148" i="2"/>
  <c r="AH148" i="2" s="1"/>
  <c r="D115" i="2" l="1"/>
  <c r="G115" i="7"/>
  <c r="O124" i="2"/>
  <c r="R124" i="2" s="1"/>
  <c r="L125" i="2" s="1"/>
  <c r="AG148" i="2"/>
  <c r="AJ148" i="2" s="1"/>
  <c r="AD149" i="2" s="1"/>
  <c r="V125" i="2"/>
  <c r="Y125" i="2" s="1"/>
  <c r="F115" i="2" l="1"/>
  <c r="G115" i="2"/>
  <c r="D115" i="7"/>
  <c r="M125" i="2"/>
  <c r="P125" i="2" s="1"/>
  <c r="X125" i="2"/>
  <c r="AE149" i="2"/>
  <c r="AH149" i="2" s="1"/>
  <c r="F115" i="7" l="1"/>
  <c r="I115" i="7" s="1"/>
  <c r="C116" i="7" s="1"/>
  <c r="I115" i="2"/>
  <c r="C116" i="2" s="1"/>
  <c r="AA125" i="2"/>
  <c r="U126" i="2" s="1"/>
  <c r="O125" i="2"/>
  <c r="R125" i="2" s="1"/>
  <c r="L126" i="2" s="1"/>
  <c r="AG149" i="2"/>
  <c r="AJ149" i="2" s="1"/>
  <c r="AD150" i="2" s="1"/>
  <c r="D116" i="2" l="1"/>
  <c r="G116" i="7"/>
  <c r="M126" i="2"/>
  <c r="P126" i="2" s="1"/>
  <c r="V126" i="2"/>
  <c r="Y126" i="2" s="1"/>
  <c r="AE150" i="2"/>
  <c r="AH150" i="2" s="1"/>
  <c r="O126" i="2" l="1"/>
  <c r="R126" i="2" s="1"/>
  <c r="L127" i="2" s="1"/>
  <c r="F116" i="2"/>
  <c r="G116" i="2"/>
  <c r="D116" i="7"/>
  <c r="AG150" i="2"/>
  <c r="AJ150" i="2" s="1"/>
  <c r="AD151" i="2" s="1"/>
  <c r="X126" i="2"/>
  <c r="F116" i="7" l="1"/>
  <c r="I116" i="7" s="1"/>
  <c r="C117" i="7" s="1"/>
  <c r="I116" i="2"/>
  <c r="C117" i="2" s="1"/>
  <c r="AA126" i="2"/>
  <c r="U127" i="2" s="1"/>
  <c r="M127" i="2"/>
  <c r="P127" i="2" s="1"/>
  <c r="AE151" i="2"/>
  <c r="AH151" i="2" s="1"/>
  <c r="G117" i="7" l="1"/>
  <c r="D117" i="2"/>
  <c r="O127" i="2"/>
  <c r="R127" i="2" s="1"/>
  <c r="L128" i="2" s="1"/>
  <c r="V127" i="2"/>
  <c r="Y127" i="2" s="1"/>
  <c r="AG151" i="2"/>
  <c r="AJ151" i="2" s="1"/>
  <c r="AD152" i="2" s="1"/>
  <c r="F117" i="2" l="1"/>
  <c r="G117" i="2"/>
  <c r="D117" i="7"/>
  <c r="X127" i="2"/>
  <c r="AA127" i="2" s="1"/>
  <c r="U128" i="2" s="1"/>
  <c r="M128" i="2"/>
  <c r="P128" i="2" s="1"/>
  <c r="AE152" i="2"/>
  <c r="AH152" i="2" s="1"/>
  <c r="F117" i="7" l="1"/>
  <c r="I117" i="7" s="1"/>
  <c r="C118" i="7" s="1"/>
  <c r="I117" i="2"/>
  <c r="C118" i="2" s="1"/>
  <c r="O128" i="2"/>
  <c r="R128" i="2" s="1"/>
  <c r="L129" i="2" s="1"/>
  <c r="V128" i="2"/>
  <c r="Y128" i="2" s="1"/>
  <c r="AG152" i="2"/>
  <c r="AJ152" i="2" s="1"/>
  <c r="AD153" i="2" s="1"/>
  <c r="D118" i="2" l="1"/>
  <c r="F118" i="2" s="1"/>
  <c r="X128" i="2"/>
  <c r="AA128" i="2" s="1"/>
  <c r="U129" i="2" s="1"/>
  <c r="M129" i="2"/>
  <c r="P129" i="2" s="1"/>
  <c r="AE153" i="2"/>
  <c r="AH153" i="2" s="1"/>
  <c r="F118" i="7" l="1"/>
  <c r="G118" i="7"/>
  <c r="G118" i="2"/>
  <c r="I118" i="2" s="1"/>
  <c r="C119" i="2" s="1"/>
  <c r="D118" i="7"/>
  <c r="O129" i="2"/>
  <c r="R129" i="2" s="1"/>
  <c r="L130" i="2" s="1"/>
  <c r="V129" i="2"/>
  <c r="Y129" i="2" s="1"/>
  <c r="AG153" i="2"/>
  <c r="AJ153" i="2" s="1"/>
  <c r="AD154" i="2" s="1"/>
  <c r="I118" i="7" l="1"/>
  <c r="C119" i="7" s="1"/>
  <c r="D119" i="2"/>
  <c r="F119" i="2" s="1"/>
  <c r="X129" i="2"/>
  <c r="M130" i="2"/>
  <c r="P130" i="2" s="1"/>
  <c r="AE154" i="2"/>
  <c r="AH154" i="2" s="1"/>
  <c r="O130" i="2" l="1"/>
  <c r="R130" i="2" s="1"/>
  <c r="F119" i="7"/>
  <c r="G119" i="2"/>
  <c r="I119" i="2" s="1"/>
  <c r="C120" i="2" s="1"/>
  <c r="D119" i="7"/>
  <c r="G119" i="7"/>
  <c r="AA129" i="2"/>
  <c r="U130" i="2" s="1"/>
  <c r="AG154" i="2"/>
  <c r="AJ154" i="2" s="1"/>
  <c r="AD155" i="2" s="1"/>
  <c r="I119" i="7" l="1"/>
  <c r="C120" i="7" s="1"/>
  <c r="G120" i="7" s="1"/>
  <c r="D120" i="2"/>
  <c r="F120" i="2" s="1"/>
  <c r="V130" i="2"/>
  <c r="Y130" i="2" s="1"/>
  <c r="AE155" i="2"/>
  <c r="AH155" i="2" s="1"/>
  <c r="F120" i="7" l="1"/>
  <c r="G120" i="2"/>
  <c r="I120" i="2" s="1"/>
  <c r="C121" i="2" s="1"/>
  <c r="D120" i="7"/>
  <c r="X130" i="2"/>
  <c r="AA130" i="2" s="1"/>
  <c r="U131" i="2" s="1"/>
  <c r="AG155" i="2"/>
  <c r="AJ155" i="2" s="1"/>
  <c r="AD156" i="2" s="1"/>
  <c r="I120" i="7" l="1"/>
  <c r="C121" i="7" s="1"/>
  <c r="D121" i="2"/>
  <c r="V131" i="2"/>
  <c r="Y131" i="2" s="1"/>
  <c r="L131" i="2"/>
  <c r="AE156" i="2"/>
  <c r="AH156" i="2" s="1"/>
  <c r="G121" i="7" l="1"/>
  <c r="F121" i="2"/>
  <c r="I121" i="2" s="1"/>
  <c r="C122" i="2" s="1"/>
  <c r="G121" i="2"/>
  <c r="D121" i="7"/>
  <c r="X131" i="2"/>
  <c r="AA131" i="2" s="1"/>
  <c r="U132" i="2" s="1"/>
  <c r="V132" i="2" s="1"/>
  <c r="Y132" i="2" s="1"/>
  <c r="AG156" i="2"/>
  <c r="AJ156" i="2" s="1"/>
  <c r="AD157" i="2" s="1"/>
  <c r="M131" i="2"/>
  <c r="P131" i="2" s="1"/>
  <c r="D122" i="2" l="1"/>
  <c r="F121" i="7"/>
  <c r="I121" i="7" s="1"/>
  <c r="C122" i="7" s="1"/>
  <c r="O131" i="2"/>
  <c r="R131" i="2" s="1"/>
  <c r="X132" i="2"/>
  <c r="AA132" i="2" s="1"/>
  <c r="AE157" i="2"/>
  <c r="AH157" i="2" s="1"/>
  <c r="F122" i="2" l="1"/>
  <c r="F122" i="7" s="1"/>
  <c r="G122" i="2"/>
  <c r="D122" i="7"/>
  <c r="G122" i="7"/>
  <c r="AG157" i="2"/>
  <c r="AJ157" i="2" s="1"/>
  <c r="AD158" i="2" s="1"/>
  <c r="L132" i="2"/>
  <c r="U133" i="2"/>
  <c r="I122" i="7" l="1"/>
  <c r="C123" i="7" s="1"/>
  <c r="I122" i="2"/>
  <c r="C123" i="2" s="1"/>
  <c r="M132" i="2"/>
  <c r="P132" i="2" s="1"/>
  <c r="V133" i="2"/>
  <c r="Y133" i="2" s="1"/>
  <c r="AE158" i="2"/>
  <c r="AH158" i="2" s="1"/>
  <c r="D123" i="2" l="1"/>
  <c r="AG158" i="2"/>
  <c r="AJ158" i="2" s="1"/>
  <c r="AD159" i="2" s="1"/>
  <c r="X133" i="2"/>
  <c r="O132" i="2"/>
  <c r="F123" i="2" l="1"/>
  <c r="D12" i="3" s="1"/>
  <c r="G123" i="2"/>
  <c r="E12" i="3" s="1"/>
  <c r="D123" i="7"/>
  <c r="G123" i="7"/>
  <c r="AA133" i="2"/>
  <c r="U134" i="2" s="1"/>
  <c r="V134" i="2" s="1"/>
  <c r="Y134" i="2" s="1"/>
  <c r="R132" i="2"/>
  <c r="L133" i="2" s="1"/>
  <c r="AE159" i="2"/>
  <c r="AH159" i="2" s="1"/>
  <c r="F123" i="7" l="1"/>
  <c r="I123" i="7" s="1"/>
  <c r="C124" i="7" s="1"/>
  <c r="I123" i="2"/>
  <c r="C124" i="2" s="1"/>
  <c r="M133" i="2"/>
  <c r="P133" i="2" s="1"/>
  <c r="X134" i="2"/>
  <c r="AA134" i="2" s="1"/>
  <c r="AG159" i="2"/>
  <c r="AJ159" i="2" s="1"/>
  <c r="D124" i="2" l="1"/>
  <c r="G124" i="7"/>
  <c r="O133" i="2"/>
  <c r="U135" i="2"/>
  <c r="AD160" i="2"/>
  <c r="F124" i="2" l="1"/>
  <c r="F124" i="7" s="1"/>
  <c r="G124" i="2"/>
  <c r="D124" i="7"/>
  <c r="R133" i="2"/>
  <c r="L134" i="2" s="1"/>
  <c r="V135" i="2"/>
  <c r="Y135" i="2" s="1"/>
  <c r="AE160" i="2"/>
  <c r="AH160" i="2" s="1"/>
  <c r="I124" i="2" l="1"/>
  <c r="C125" i="2" s="1"/>
  <c r="I124" i="7"/>
  <c r="C125" i="7" s="1"/>
  <c r="M134" i="2"/>
  <c r="P134" i="2" s="1"/>
  <c r="AG160" i="2"/>
  <c r="AJ160" i="2" s="1"/>
  <c r="AD161" i="2" s="1"/>
  <c r="X135" i="2"/>
  <c r="AA135" i="2" s="1"/>
  <c r="G125" i="7" l="1"/>
  <c r="D125" i="2"/>
  <c r="O134" i="2"/>
  <c r="R134" i="2" s="1"/>
  <c r="L135" i="2" s="1"/>
  <c r="U136" i="2"/>
  <c r="AE161" i="2"/>
  <c r="AH161" i="2" s="1"/>
  <c r="F125" i="2" l="1"/>
  <c r="F125" i="7" s="1"/>
  <c r="G125" i="2"/>
  <c r="D125" i="7"/>
  <c r="M135" i="2"/>
  <c r="P135" i="2" s="1"/>
  <c r="AG161" i="2"/>
  <c r="AJ161" i="2" s="1"/>
  <c r="AD162" i="2" s="1"/>
  <c r="V136" i="2"/>
  <c r="Y136" i="2" s="1"/>
  <c r="I125" i="2" l="1"/>
  <c r="C126" i="2" s="1"/>
  <c r="I125" i="7"/>
  <c r="C126" i="7" s="1"/>
  <c r="O135" i="2"/>
  <c r="R135" i="2" s="1"/>
  <c r="L136" i="2" s="1"/>
  <c r="X136" i="2"/>
  <c r="AA136" i="2" s="1"/>
  <c r="AE162" i="2"/>
  <c r="AH162" i="2" s="1"/>
  <c r="D126" i="2" l="1"/>
  <c r="G126" i="7"/>
  <c r="M136" i="2"/>
  <c r="P136" i="2" s="1"/>
  <c r="AG162" i="2"/>
  <c r="AJ162" i="2" s="1"/>
  <c r="AD163" i="2" s="1"/>
  <c r="U137" i="2"/>
  <c r="F126" i="2" l="1"/>
  <c r="F126" i="7" s="1"/>
  <c r="G126" i="2"/>
  <c r="D126" i="7"/>
  <c r="O136" i="2"/>
  <c r="R136" i="2" s="1"/>
  <c r="L137" i="2" s="1"/>
  <c r="V137" i="2"/>
  <c r="Y137" i="2" s="1"/>
  <c r="AE163" i="2"/>
  <c r="AH163" i="2" s="1"/>
  <c r="I126" i="2" l="1"/>
  <c r="C127" i="2" s="1"/>
  <c r="I126" i="7"/>
  <c r="C127" i="7" s="1"/>
  <c r="M137" i="2"/>
  <c r="P137" i="2" s="1"/>
  <c r="AG163" i="2"/>
  <c r="AJ163" i="2" s="1"/>
  <c r="AD164" i="2" s="1"/>
  <c r="X137" i="2"/>
  <c r="AA137" i="2" s="1"/>
  <c r="D127" i="2" l="1"/>
  <c r="G127" i="7"/>
  <c r="O137" i="2"/>
  <c r="R137" i="2" s="1"/>
  <c r="L138" i="2" s="1"/>
  <c r="U138" i="2"/>
  <c r="AE164" i="2"/>
  <c r="AH164" i="2" s="1"/>
  <c r="F127" i="2" l="1"/>
  <c r="F127" i="7" s="1"/>
  <c r="G127" i="2"/>
  <c r="D127" i="7"/>
  <c r="M138" i="2"/>
  <c r="P138" i="2" s="1"/>
  <c r="O138" i="2"/>
  <c r="AG164" i="2"/>
  <c r="AJ164" i="2" s="1"/>
  <c r="AD165" i="2" s="1"/>
  <c r="V138" i="2"/>
  <c r="Y138" i="2" s="1"/>
  <c r="I127" i="7" l="1"/>
  <c r="C128" i="7" s="1"/>
  <c r="I127" i="2"/>
  <c r="C128" i="2" s="1"/>
  <c r="R138" i="2"/>
  <c r="L139" i="2" s="1"/>
  <c r="X138" i="2"/>
  <c r="AA138" i="2" s="1"/>
  <c r="AE165" i="2"/>
  <c r="AH165" i="2" s="1"/>
  <c r="D128" i="2" l="1"/>
  <c r="G128" i="7"/>
  <c r="M139" i="2"/>
  <c r="P139" i="2" s="1"/>
  <c r="AG165" i="2"/>
  <c r="AJ165" i="2" s="1"/>
  <c r="U139" i="2"/>
  <c r="O139" i="2" l="1"/>
  <c r="R139" i="2" s="1"/>
  <c r="L140" i="2" s="1"/>
  <c r="F128" i="2"/>
  <c r="F128" i="7" s="1"/>
  <c r="G128" i="2"/>
  <c r="D128" i="7"/>
  <c r="V139" i="2"/>
  <c r="Y139" i="2" s="1"/>
  <c r="AD166" i="2"/>
  <c r="I128" i="2" l="1"/>
  <c r="C129" i="2" s="1"/>
  <c r="I128" i="7"/>
  <c r="C129" i="7" s="1"/>
  <c r="M140" i="2"/>
  <c r="P140" i="2" s="1"/>
  <c r="X139" i="2"/>
  <c r="AA139" i="2" s="1"/>
  <c r="AE166" i="2"/>
  <c r="AH166" i="2" s="1"/>
  <c r="D129" i="2" l="1"/>
  <c r="G129" i="7"/>
  <c r="O140" i="2"/>
  <c r="R140" i="2" s="1"/>
  <c r="L141" i="2" s="1"/>
  <c r="U140" i="2"/>
  <c r="AG166" i="2"/>
  <c r="AJ166" i="2" s="1"/>
  <c r="F129" i="2" l="1"/>
  <c r="F129" i="7" s="1"/>
  <c r="G129" i="2"/>
  <c r="D129" i="7"/>
  <c r="M141" i="2"/>
  <c r="P141" i="2" s="1"/>
  <c r="V140" i="2"/>
  <c r="Y140" i="2" s="1"/>
  <c r="AD167" i="2"/>
  <c r="O141" i="2" l="1"/>
  <c r="R141" i="2" s="1"/>
  <c r="L142" i="2" s="1"/>
  <c r="I129" i="2"/>
  <c r="C130" i="2" s="1"/>
  <c r="I129" i="7"/>
  <c r="C130" i="7" s="1"/>
  <c r="X140" i="2"/>
  <c r="AA140" i="2" s="1"/>
  <c r="AE167" i="2"/>
  <c r="AH167" i="2" s="1"/>
  <c r="G130" i="7" l="1"/>
  <c r="D130" i="2"/>
  <c r="M142" i="2"/>
  <c r="P142" i="2" s="1"/>
  <c r="AG167" i="2"/>
  <c r="AJ167" i="2" s="1"/>
  <c r="AD168" i="2" s="1"/>
  <c r="U141" i="2"/>
  <c r="F130" i="2" l="1"/>
  <c r="F130" i="7" s="1"/>
  <c r="G130" i="2"/>
  <c r="D130" i="7"/>
  <c r="O142" i="2"/>
  <c r="R142" i="2" s="1"/>
  <c r="L143" i="2" s="1"/>
  <c r="V141" i="2"/>
  <c r="Y141" i="2" s="1"/>
  <c r="AE168" i="2"/>
  <c r="AH168" i="2" s="1"/>
  <c r="I130" i="2" l="1"/>
  <c r="C131" i="2" s="1"/>
  <c r="I130" i="7"/>
  <c r="C131" i="7" s="1"/>
  <c r="M143" i="2"/>
  <c r="P143" i="2" s="1"/>
  <c r="AG168" i="2"/>
  <c r="AJ168" i="2" s="1"/>
  <c r="AD169" i="2" s="1"/>
  <c r="X141" i="2"/>
  <c r="AA141" i="2" s="1"/>
  <c r="D131" i="2" l="1"/>
  <c r="F131" i="2" s="1"/>
  <c r="F131" i="7" s="1"/>
  <c r="O143" i="2"/>
  <c r="R143" i="2" s="1"/>
  <c r="U142" i="2"/>
  <c r="AE169" i="2"/>
  <c r="AH169" i="2" s="1"/>
  <c r="G131" i="2" l="1"/>
  <c r="I131" i="2" s="1"/>
  <c r="C132" i="2" s="1"/>
  <c r="D131" i="7"/>
  <c r="I131" i="7" s="1"/>
  <c r="C132" i="7" s="1"/>
  <c r="G131" i="7"/>
  <c r="L144" i="2"/>
  <c r="AG169" i="2"/>
  <c r="AJ169" i="2" s="1"/>
  <c r="AD170" i="2" s="1"/>
  <c r="V142" i="2"/>
  <c r="Y142" i="2" s="1"/>
  <c r="D132" i="2" l="1"/>
  <c r="F132" i="2" s="1"/>
  <c r="F132" i="7" s="1"/>
  <c r="G132" i="7"/>
  <c r="M144" i="2"/>
  <c r="P144" i="2" s="1"/>
  <c r="X142" i="2"/>
  <c r="AA142" i="2" s="1"/>
  <c r="AE170" i="2"/>
  <c r="AH170" i="2" s="1"/>
  <c r="O144" i="2" l="1"/>
  <c r="R144" i="2" s="1"/>
  <c r="L145" i="2" s="1"/>
  <c r="G132" i="2"/>
  <c r="I132" i="2" s="1"/>
  <c r="C133" i="2" s="1"/>
  <c r="D132" i="7"/>
  <c r="I132" i="7" s="1"/>
  <c r="C133" i="7" s="1"/>
  <c r="AG170" i="2"/>
  <c r="AJ170" i="2" s="1"/>
  <c r="AD171" i="2" s="1"/>
  <c r="U143" i="2"/>
  <c r="G133" i="7" l="1"/>
  <c r="D133" i="2"/>
  <c r="M145" i="2"/>
  <c r="P145" i="2" s="1"/>
  <c r="V143" i="2"/>
  <c r="Y143" i="2" s="1"/>
  <c r="AE171" i="2"/>
  <c r="AH171" i="2" s="1"/>
  <c r="G133" i="2" l="1"/>
  <c r="D133" i="7"/>
  <c r="F133" i="2"/>
  <c r="F133" i="7" s="1"/>
  <c r="O145" i="2"/>
  <c r="R145" i="2" s="1"/>
  <c r="AG171" i="2"/>
  <c r="AJ171" i="2" s="1"/>
  <c r="AD172" i="2" s="1"/>
  <c r="X143" i="2"/>
  <c r="I133" i="7" l="1"/>
  <c r="C134" i="7" s="1"/>
  <c r="I133" i="2"/>
  <c r="C134" i="2" s="1"/>
  <c r="AA143" i="2"/>
  <c r="U144" i="2" s="1"/>
  <c r="V144" i="2" s="1"/>
  <c r="Y144" i="2" s="1"/>
  <c r="L146" i="2"/>
  <c r="AE172" i="2"/>
  <c r="AH172" i="2" s="1"/>
  <c r="G134" i="7" l="1"/>
  <c r="D134" i="2"/>
  <c r="M146" i="2"/>
  <c r="P146" i="2" s="1"/>
  <c r="AG172" i="2"/>
  <c r="AJ172" i="2" s="1"/>
  <c r="AD173" i="2" s="1"/>
  <c r="X144" i="2"/>
  <c r="AA144" i="2" s="1"/>
  <c r="F134" i="2" l="1"/>
  <c r="F134" i="7" s="1"/>
  <c r="G134" i="2"/>
  <c r="D134" i="7"/>
  <c r="O146" i="2"/>
  <c r="R146" i="2" s="1"/>
  <c r="L147" i="2" s="1"/>
  <c r="U145" i="2"/>
  <c r="AE173" i="2"/>
  <c r="AH173" i="2" s="1"/>
  <c r="I134" i="7" l="1"/>
  <c r="C135" i="7" s="1"/>
  <c r="I134" i="2"/>
  <c r="C135" i="2" s="1"/>
  <c r="M147" i="2"/>
  <c r="P147" i="2" s="1"/>
  <c r="AG173" i="2"/>
  <c r="AJ173" i="2" s="1"/>
  <c r="AD174" i="2" s="1"/>
  <c r="V145" i="2"/>
  <c r="Y145" i="2" s="1"/>
  <c r="G135" i="7" l="1"/>
  <c r="D135" i="2"/>
  <c r="F135" i="2" s="1"/>
  <c r="F135" i="7" s="1"/>
  <c r="O147" i="2"/>
  <c r="R147" i="2" s="1"/>
  <c r="L148" i="2" s="1"/>
  <c r="X145" i="2"/>
  <c r="AA145" i="2" s="1"/>
  <c r="AE174" i="2"/>
  <c r="AH174" i="2" s="1"/>
  <c r="G135" i="2" l="1"/>
  <c r="I135" i="2" s="1"/>
  <c r="C136" i="2" s="1"/>
  <c r="D135" i="7"/>
  <c r="I135" i="7" s="1"/>
  <c r="C136" i="7" s="1"/>
  <c r="M148" i="2"/>
  <c r="P148" i="2" s="1"/>
  <c r="U146" i="2"/>
  <c r="AG174" i="2"/>
  <c r="AJ174" i="2" s="1"/>
  <c r="D136" i="2" l="1"/>
  <c r="F136" i="2" s="1"/>
  <c r="F136" i="7" s="1"/>
  <c r="O148" i="2"/>
  <c r="R148" i="2" s="1"/>
  <c r="L149" i="2" s="1"/>
  <c r="V146" i="2"/>
  <c r="Y146" i="2" s="1"/>
  <c r="AD175" i="2"/>
  <c r="G136" i="7" l="1"/>
  <c r="G136" i="2"/>
  <c r="I136" i="2" s="1"/>
  <c r="C137" i="2" s="1"/>
  <c r="D136" i="7"/>
  <c r="I136" i="7" s="1"/>
  <c r="C137" i="7" s="1"/>
  <c r="M149" i="2"/>
  <c r="P149" i="2" s="1"/>
  <c r="X146" i="2"/>
  <c r="AA146" i="2" s="1"/>
  <c r="AE175" i="2"/>
  <c r="AH175" i="2" s="1"/>
  <c r="O149" i="2" l="1"/>
  <c r="R149" i="2" s="1"/>
  <c r="L150" i="2" s="1"/>
  <c r="D137" i="2"/>
  <c r="AG175" i="2"/>
  <c r="AJ175" i="2" s="1"/>
  <c r="AD176" i="2" s="1"/>
  <c r="U147" i="2"/>
  <c r="G137" i="2" l="1"/>
  <c r="D137" i="7"/>
  <c r="G137" i="7"/>
  <c r="F137" i="2"/>
  <c r="F137" i="7" s="1"/>
  <c r="M150" i="2"/>
  <c r="P150" i="2" s="1"/>
  <c r="O150" i="2"/>
  <c r="V147" i="2"/>
  <c r="Y147" i="2" s="1"/>
  <c r="AE176" i="2"/>
  <c r="AH176" i="2" s="1"/>
  <c r="I137" i="7" l="1"/>
  <c r="C138" i="7" s="1"/>
  <c r="I137" i="2"/>
  <c r="C138" i="2" s="1"/>
  <c r="R150" i="2"/>
  <c r="L151" i="2" s="1"/>
  <c r="AG176" i="2"/>
  <c r="AJ176" i="2" s="1"/>
  <c r="AD177" i="2" s="1"/>
  <c r="X147" i="2"/>
  <c r="D138" i="2" l="1"/>
  <c r="F138" i="2" s="1"/>
  <c r="F138" i="7" s="1"/>
  <c r="AA147" i="2"/>
  <c r="U148" i="2" s="1"/>
  <c r="V148" i="2" s="1"/>
  <c r="Y148" i="2" s="1"/>
  <c r="M151" i="2"/>
  <c r="P151" i="2" s="1"/>
  <c r="AE177" i="2"/>
  <c r="AH177" i="2" s="1"/>
  <c r="G138" i="2" l="1"/>
  <c r="I138" i="2" s="1"/>
  <c r="C139" i="2" s="1"/>
  <c r="D138" i="7"/>
  <c r="I138" i="7" s="1"/>
  <c r="C139" i="7" s="1"/>
  <c r="G138" i="7"/>
  <c r="O151" i="2"/>
  <c r="R151" i="2" s="1"/>
  <c r="L152" i="2" s="1"/>
  <c r="AG177" i="2"/>
  <c r="AJ177" i="2" s="1"/>
  <c r="AD178" i="2" s="1"/>
  <c r="X148" i="2"/>
  <c r="AA148" i="2" s="1"/>
  <c r="D139" i="2" l="1"/>
  <c r="F139" i="2" s="1"/>
  <c r="F139" i="7" s="1"/>
  <c r="M152" i="2"/>
  <c r="P152" i="2" s="1"/>
  <c r="U149" i="2"/>
  <c r="AE178" i="2"/>
  <c r="AH178" i="2" s="1"/>
  <c r="G139" i="7" l="1"/>
  <c r="G139" i="2"/>
  <c r="I139" i="2" s="1"/>
  <c r="C140" i="2" s="1"/>
  <c r="D139" i="7"/>
  <c r="I139" i="7" s="1"/>
  <c r="C140" i="7" s="1"/>
  <c r="O152" i="2"/>
  <c r="R152" i="2" s="1"/>
  <c r="V149" i="2"/>
  <c r="Y149" i="2" s="1"/>
  <c r="AG178" i="2"/>
  <c r="AJ178" i="2" s="1"/>
  <c r="D140" i="2" l="1"/>
  <c r="F140" i="2" s="1"/>
  <c r="F140" i="7" s="1"/>
  <c r="L153" i="2"/>
  <c r="X149" i="2"/>
  <c r="AA149" i="2" s="1"/>
  <c r="AD179" i="2"/>
  <c r="G140" i="7" l="1"/>
  <c r="G140" i="2"/>
  <c r="I140" i="2" s="1"/>
  <c r="C141" i="2" s="1"/>
  <c r="D140" i="7"/>
  <c r="I140" i="7" s="1"/>
  <c r="C141" i="7" s="1"/>
  <c r="M153" i="2"/>
  <c r="P153" i="2" s="1"/>
  <c r="U150" i="2"/>
  <c r="AE179" i="2"/>
  <c r="AH179" i="2" s="1"/>
  <c r="D141" i="2" l="1"/>
  <c r="F141" i="2" s="1"/>
  <c r="F141" i="7" s="1"/>
  <c r="O153" i="2"/>
  <c r="R153" i="2" s="1"/>
  <c r="L154" i="2" s="1"/>
  <c r="V150" i="2"/>
  <c r="Y150" i="2" s="1"/>
  <c r="AG179" i="2"/>
  <c r="AJ179" i="2" s="1"/>
  <c r="AD180" i="2" s="1"/>
  <c r="G141" i="7" l="1"/>
  <c r="G141" i="2"/>
  <c r="I141" i="2" s="1"/>
  <c r="C142" i="2" s="1"/>
  <c r="D141" i="7"/>
  <c r="I141" i="7" s="1"/>
  <c r="C142" i="7" s="1"/>
  <c r="M154" i="2"/>
  <c r="P154" i="2" s="1"/>
  <c r="O154" i="2"/>
  <c r="X150" i="2"/>
  <c r="AA150" i="2" s="1"/>
  <c r="AE180" i="2"/>
  <c r="AH180" i="2" s="1"/>
  <c r="D142" i="2" l="1"/>
  <c r="F142" i="2" s="1"/>
  <c r="F142" i="7" s="1"/>
  <c r="L155" i="2"/>
  <c r="R154" i="2"/>
  <c r="AG180" i="2"/>
  <c r="AJ180" i="2" s="1"/>
  <c r="AD181" i="2" s="1"/>
  <c r="U151" i="2"/>
  <c r="G142" i="2" l="1"/>
  <c r="I142" i="2" s="1"/>
  <c r="C143" i="2" s="1"/>
  <c r="D142" i="7"/>
  <c r="I142" i="7" s="1"/>
  <c r="C143" i="7" s="1"/>
  <c r="G142" i="7"/>
  <c r="M155" i="2"/>
  <c r="P155" i="2" s="1"/>
  <c r="V151" i="2"/>
  <c r="Y151" i="2" s="1"/>
  <c r="AE181" i="2"/>
  <c r="AH181" i="2" s="1"/>
  <c r="O155" i="2" l="1"/>
  <c r="R155" i="2" s="1"/>
  <c r="L156" i="2" s="1"/>
  <c r="D143" i="2"/>
  <c r="F143" i="2" s="1"/>
  <c r="AG181" i="2"/>
  <c r="AJ181" i="2" s="1"/>
  <c r="AD182" i="2" s="1"/>
  <c r="X151" i="2"/>
  <c r="AA151" i="2" s="1"/>
  <c r="F143" i="7" l="1"/>
  <c r="G143" i="2"/>
  <c r="I143" i="2" s="1"/>
  <c r="C144" i="2" s="1"/>
  <c r="D143" i="7"/>
  <c r="G143" i="7"/>
  <c r="M156" i="2"/>
  <c r="P156" i="2" s="1"/>
  <c r="U152" i="2"/>
  <c r="AE182" i="2"/>
  <c r="AH182" i="2" s="1"/>
  <c r="I143" i="7" l="1"/>
  <c r="C144" i="7" s="1"/>
  <c r="D144" i="2"/>
  <c r="F144" i="2" s="1"/>
  <c r="F144" i="7" s="1"/>
  <c r="O156" i="2"/>
  <c r="R156" i="2" s="1"/>
  <c r="L157" i="2" s="1"/>
  <c r="AG182" i="2"/>
  <c r="AJ182" i="2" s="1"/>
  <c r="AD183" i="2" s="1"/>
  <c r="V152" i="2"/>
  <c r="Y152" i="2" s="1"/>
  <c r="G144" i="2" l="1"/>
  <c r="I144" i="2" s="1"/>
  <c r="C145" i="2" s="1"/>
  <c r="D144" i="7"/>
  <c r="I144" i="7" s="1"/>
  <c r="C145" i="7" s="1"/>
  <c r="G144" i="7"/>
  <c r="M157" i="2"/>
  <c r="P157" i="2" s="1"/>
  <c r="X152" i="2"/>
  <c r="AA152" i="2" s="1"/>
  <c r="AE183" i="2"/>
  <c r="AH183" i="2" s="1"/>
  <c r="D145" i="2" l="1"/>
  <c r="F145" i="2"/>
  <c r="F145" i="7" s="1"/>
  <c r="O157" i="2"/>
  <c r="R157" i="2" s="1"/>
  <c r="L158" i="2" s="1"/>
  <c r="AG183" i="2"/>
  <c r="AJ183" i="2" s="1"/>
  <c r="AD184" i="2" s="1"/>
  <c r="U153" i="2"/>
  <c r="G145" i="7" l="1"/>
  <c r="G145" i="2"/>
  <c r="I145" i="2" s="1"/>
  <c r="C146" i="2" s="1"/>
  <c r="D145" i="7"/>
  <c r="I145" i="7" s="1"/>
  <c r="C146" i="7" s="1"/>
  <c r="M158" i="2"/>
  <c r="P158" i="2" s="1"/>
  <c r="V153" i="2"/>
  <c r="Y153" i="2" s="1"/>
  <c r="AE184" i="2"/>
  <c r="AH184" i="2" s="1"/>
  <c r="D146" i="2" l="1"/>
  <c r="O158" i="2"/>
  <c r="R158" i="2" s="1"/>
  <c r="L159" i="2" s="1"/>
  <c r="M159" i="2" s="1"/>
  <c r="P159" i="2" s="1"/>
  <c r="X153" i="2"/>
  <c r="AG184" i="2"/>
  <c r="AJ184" i="2" s="1"/>
  <c r="G146" i="2" l="1"/>
  <c r="D146" i="7"/>
  <c r="G146" i="7"/>
  <c r="F146" i="2"/>
  <c r="F146" i="7" s="1"/>
  <c r="O159" i="2"/>
  <c r="R159" i="2" s="1"/>
  <c r="L160" i="2" s="1"/>
  <c r="AA153" i="2"/>
  <c r="U154" i="2" s="1"/>
  <c r="V154" i="2" s="1"/>
  <c r="Y154" i="2" s="1"/>
  <c r="AD185" i="2"/>
  <c r="I146" i="7" l="1"/>
  <c r="C147" i="7" s="1"/>
  <c r="I146" i="2"/>
  <c r="C147" i="2" s="1"/>
  <c r="M160" i="2"/>
  <c r="P160" i="2" s="1"/>
  <c r="X154" i="2"/>
  <c r="AE185" i="2"/>
  <c r="AH185" i="2" s="1"/>
  <c r="D147" i="2" l="1"/>
  <c r="O160" i="2"/>
  <c r="R160" i="2" s="1"/>
  <c r="L161" i="2" s="1"/>
  <c r="AA154" i="2"/>
  <c r="U155" i="2" s="1"/>
  <c r="V155" i="2" s="1"/>
  <c r="Y155" i="2" s="1"/>
  <c r="AG185" i="2"/>
  <c r="AJ185" i="2" s="1"/>
  <c r="G147" i="2" l="1"/>
  <c r="D147" i="7"/>
  <c r="G147" i="7"/>
  <c r="F147" i="2"/>
  <c r="F147" i="7" s="1"/>
  <c r="M161" i="2"/>
  <c r="P161" i="2" s="1"/>
  <c r="X155" i="2"/>
  <c r="AA155" i="2" s="1"/>
  <c r="AD186" i="2"/>
  <c r="I147" i="7" l="1"/>
  <c r="C148" i="7" s="1"/>
  <c r="I147" i="2"/>
  <c r="C148" i="2" s="1"/>
  <c r="O161" i="2"/>
  <c r="R161" i="2" s="1"/>
  <c r="L162" i="2" s="1"/>
  <c r="U156" i="2"/>
  <c r="AE186" i="2"/>
  <c r="AH186" i="2" s="1"/>
  <c r="D148" i="2" l="1"/>
  <c r="F148" i="2" s="1"/>
  <c r="F148" i="7" s="1"/>
  <c r="M162" i="2"/>
  <c r="P162" i="2" s="1"/>
  <c r="AG186" i="2"/>
  <c r="AJ186" i="2" s="1"/>
  <c r="AD187" i="2" s="1"/>
  <c r="V156" i="2"/>
  <c r="Y156" i="2" s="1"/>
  <c r="G148" i="2" l="1"/>
  <c r="I148" i="2" s="1"/>
  <c r="C149" i="2" s="1"/>
  <c r="D148" i="7"/>
  <c r="I148" i="7" s="1"/>
  <c r="C149" i="7" s="1"/>
  <c r="G148" i="7"/>
  <c r="O162" i="2"/>
  <c r="R162" i="2" s="1"/>
  <c r="X156" i="2"/>
  <c r="AA156" i="2" s="1"/>
  <c r="AE187" i="2"/>
  <c r="AH187" i="2" s="1"/>
  <c r="D149" i="2" l="1"/>
  <c r="F149" i="2" s="1"/>
  <c r="F149" i="7" s="1"/>
  <c r="L163" i="2"/>
  <c r="AG187" i="2"/>
  <c r="AJ187" i="2" s="1"/>
  <c r="AD188" i="2" s="1"/>
  <c r="U157" i="2"/>
  <c r="G149" i="7" l="1"/>
  <c r="G149" i="2"/>
  <c r="I149" i="2" s="1"/>
  <c r="C150" i="2" s="1"/>
  <c r="D149" i="7"/>
  <c r="I149" i="7" s="1"/>
  <c r="C150" i="7" s="1"/>
  <c r="M163" i="2"/>
  <c r="P163" i="2" s="1"/>
  <c r="V157" i="2"/>
  <c r="Y157" i="2" s="1"/>
  <c r="AE188" i="2"/>
  <c r="AH188" i="2" s="1"/>
  <c r="G150" i="7" l="1"/>
  <c r="D150" i="2"/>
  <c r="F150" i="2" s="1"/>
  <c r="F150" i="7" s="1"/>
  <c r="O163" i="2"/>
  <c r="R163" i="2" s="1"/>
  <c r="L164" i="2" s="1"/>
  <c r="AG188" i="2"/>
  <c r="AJ188" i="2" s="1"/>
  <c r="AD189" i="2" s="1"/>
  <c r="X157" i="2"/>
  <c r="AA157" i="2" s="1"/>
  <c r="G150" i="2" l="1"/>
  <c r="I150" i="2" s="1"/>
  <c r="C151" i="2" s="1"/>
  <c r="D150" i="7"/>
  <c r="I150" i="7" s="1"/>
  <c r="C151" i="7" s="1"/>
  <c r="M164" i="2"/>
  <c r="P164" i="2" s="1"/>
  <c r="U158" i="2"/>
  <c r="AE189" i="2"/>
  <c r="AH189" i="2" s="1"/>
  <c r="D151" i="2" l="1"/>
  <c r="F151" i="2" s="1"/>
  <c r="F151" i="7" s="1"/>
  <c r="O164" i="2"/>
  <c r="R164" i="2" s="1"/>
  <c r="L165" i="2" s="1"/>
  <c r="AG189" i="2"/>
  <c r="AJ189" i="2" s="1"/>
  <c r="AD190" i="2" s="1"/>
  <c r="V158" i="2"/>
  <c r="Y158" i="2" s="1"/>
  <c r="G151" i="7" l="1"/>
  <c r="G151" i="2"/>
  <c r="I151" i="2" s="1"/>
  <c r="C152" i="2" s="1"/>
  <c r="D151" i="7"/>
  <c r="I151" i="7" s="1"/>
  <c r="C152" i="7" s="1"/>
  <c r="M165" i="2"/>
  <c r="P165" i="2" s="1"/>
  <c r="X158" i="2"/>
  <c r="AA158" i="2" s="1"/>
  <c r="AE190" i="2"/>
  <c r="AH190" i="2" s="1"/>
  <c r="D152" i="2" l="1"/>
  <c r="F152" i="2" s="1"/>
  <c r="F152" i="7" s="1"/>
  <c r="O165" i="2"/>
  <c r="R165" i="2" s="1"/>
  <c r="L166" i="2" s="1"/>
  <c r="AG190" i="2"/>
  <c r="AJ190" i="2" s="1"/>
  <c r="AD191" i="2" s="1"/>
  <c r="U159" i="2"/>
  <c r="G152" i="2" l="1"/>
  <c r="I152" i="2" s="1"/>
  <c r="C153" i="2" s="1"/>
  <c r="D152" i="7"/>
  <c r="I152" i="7" s="1"/>
  <c r="C153" i="7" s="1"/>
  <c r="G152" i="7"/>
  <c r="M166" i="2"/>
  <c r="P166" i="2" s="1"/>
  <c r="V159" i="2"/>
  <c r="Y159" i="2" s="1"/>
  <c r="AE191" i="2"/>
  <c r="AH191" i="2" s="1"/>
  <c r="G153" i="7" l="1"/>
  <c r="D153" i="2"/>
  <c r="O166" i="2"/>
  <c r="R166" i="2" s="1"/>
  <c r="L167" i="2" s="1"/>
  <c r="AG191" i="2"/>
  <c r="AJ191" i="2" s="1"/>
  <c r="AD192" i="2" s="1"/>
  <c r="X159" i="2"/>
  <c r="AA159" i="2" s="1"/>
  <c r="F153" i="2" l="1"/>
  <c r="F153" i="7" s="1"/>
  <c r="G153" i="2"/>
  <c r="D153" i="7"/>
  <c r="M167" i="2"/>
  <c r="P167" i="2" s="1"/>
  <c r="U160" i="2"/>
  <c r="AE192" i="2"/>
  <c r="AH192" i="2" s="1"/>
  <c r="I153" i="7" l="1"/>
  <c r="C154" i="7" s="1"/>
  <c r="I153" i="2"/>
  <c r="C154" i="2" s="1"/>
  <c r="O167" i="2"/>
  <c r="R167" i="2" s="1"/>
  <c r="L168" i="2" s="1"/>
  <c r="AG192" i="2"/>
  <c r="AJ192" i="2" s="1"/>
  <c r="AD193" i="2" s="1"/>
  <c r="V160" i="2"/>
  <c r="Y160" i="2" s="1"/>
  <c r="D154" i="2" l="1"/>
  <c r="F154" i="2" s="1"/>
  <c r="F154" i="7" s="1"/>
  <c r="M168" i="2"/>
  <c r="P168" i="2" s="1"/>
  <c r="X160" i="2"/>
  <c r="AA160" i="2" s="1"/>
  <c r="AE193" i="2"/>
  <c r="AH193" i="2" s="1"/>
  <c r="O168" i="2" l="1"/>
  <c r="R168" i="2" s="1"/>
  <c r="L169" i="2" s="1"/>
  <c r="G154" i="2"/>
  <c r="I154" i="2" s="1"/>
  <c r="C155" i="2" s="1"/>
  <c r="D154" i="7"/>
  <c r="I154" i="7" s="1"/>
  <c r="C155" i="7" s="1"/>
  <c r="G154" i="7"/>
  <c r="AG193" i="2"/>
  <c r="AJ193" i="2" s="1"/>
  <c r="AD194" i="2" s="1"/>
  <c r="U161" i="2"/>
  <c r="D155" i="2" l="1"/>
  <c r="F155" i="2" s="1"/>
  <c r="F155" i="7" s="1"/>
  <c r="M169" i="2"/>
  <c r="P169" i="2" s="1"/>
  <c r="V161" i="2"/>
  <c r="Y161" i="2" s="1"/>
  <c r="AE194" i="2"/>
  <c r="AH194" i="2" s="1"/>
  <c r="G155" i="2" l="1"/>
  <c r="I155" i="2" s="1"/>
  <c r="C156" i="2" s="1"/>
  <c r="D155" i="7"/>
  <c r="I155" i="7" s="1"/>
  <c r="C156" i="7" s="1"/>
  <c r="G155" i="7"/>
  <c r="O169" i="2"/>
  <c r="R169" i="2" s="1"/>
  <c r="L170" i="2" s="1"/>
  <c r="AG194" i="2"/>
  <c r="AJ194" i="2" s="1"/>
  <c r="AD195" i="2" s="1"/>
  <c r="X161" i="2"/>
  <c r="AA161" i="2" s="1"/>
  <c r="D156" i="2" l="1"/>
  <c r="F156" i="2" s="1"/>
  <c r="F156" i="7" s="1"/>
  <c r="M170" i="2"/>
  <c r="P170" i="2" s="1"/>
  <c r="U162" i="2"/>
  <c r="AE195" i="2"/>
  <c r="AH195" i="2" s="1"/>
  <c r="O170" i="2" l="1"/>
  <c r="R170" i="2" s="1"/>
  <c r="L171" i="2" s="1"/>
  <c r="G156" i="2"/>
  <c r="I156" i="2" s="1"/>
  <c r="C157" i="2" s="1"/>
  <c r="D156" i="7"/>
  <c r="I156" i="7" s="1"/>
  <c r="C157" i="7" s="1"/>
  <c r="G156" i="7"/>
  <c r="AG195" i="2"/>
  <c r="AJ195" i="2" s="1"/>
  <c r="AD196" i="2" s="1"/>
  <c r="V162" i="2"/>
  <c r="Y162" i="2" s="1"/>
  <c r="D157" i="2" l="1"/>
  <c r="F157" i="2" s="1"/>
  <c r="F157" i="7" s="1"/>
  <c r="M171" i="2"/>
  <c r="P171" i="2" s="1"/>
  <c r="X162" i="2"/>
  <c r="AA162" i="2" s="1"/>
  <c r="AE196" i="2"/>
  <c r="AH196" i="2" s="1"/>
  <c r="O171" i="2" l="1"/>
  <c r="R171" i="2" s="1"/>
  <c r="L172" i="2" s="1"/>
  <c r="G157" i="7"/>
  <c r="G157" i="2"/>
  <c r="I157" i="2" s="1"/>
  <c r="C158" i="2" s="1"/>
  <c r="D157" i="7"/>
  <c r="I157" i="7" s="1"/>
  <c r="C158" i="7" s="1"/>
  <c r="AG196" i="2"/>
  <c r="AJ196" i="2" s="1"/>
  <c r="AD197" i="2" s="1"/>
  <c r="U163" i="2"/>
  <c r="D158" i="2" l="1"/>
  <c r="F158" i="2" s="1"/>
  <c r="F158" i="7" s="1"/>
  <c r="M172" i="2"/>
  <c r="P172" i="2" s="1"/>
  <c r="V163" i="2"/>
  <c r="Y163" i="2" s="1"/>
  <c r="AE197" i="2"/>
  <c r="AH197" i="2" s="1"/>
  <c r="G158" i="2" l="1"/>
  <c r="I158" i="2" s="1"/>
  <c r="C159" i="2" s="1"/>
  <c r="D158" i="7"/>
  <c r="I158" i="7" s="1"/>
  <c r="C159" i="7" s="1"/>
  <c r="G158" i="7"/>
  <c r="O172" i="2"/>
  <c r="R172" i="2" s="1"/>
  <c r="L173" i="2" s="1"/>
  <c r="AG197" i="2"/>
  <c r="AJ197" i="2" s="1"/>
  <c r="AD198" i="2" s="1"/>
  <c r="X163" i="2"/>
  <c r="AA163" i="2" s="1"/>
  <c r="D159" i="2" l="1"/>
  <c r="F159" i="2" s="1"/>
  <c r="F159" i="7" s="1"/>
  <c r="M173" i="2"/>
  <c r="P173" i="2" s="1"/>
  <c r="U164" i="2"/>
  <c r="AE198" i="2"/>
  <c r="AH198" i="2" s="1"/>
  <c r="G159" i="7" l="1"/>
  <c r="G159" i="2"/>
  <c r="I159" i="2" s="1"/>
  <c r="C160" i="2" s="1"/>
  <c r="D159" i="7"/>
  <c r="I159" i="7" s="1"/>
  <c r="C160" i="7" s="1"/>
  <c r="O173" i="2"/>
  <c r="R173" i="2" s="1"/>
  <c r="L174" i="2" s="1"/>
  <c r="AG198" i="2"/>
  <c r="AJ198" i="2" s="1"/>
  <c r="AD199" i="2" s="1"/>
  <c r="V164" i="2"/>
  <c r="Y164" i="2" s="1"/>
  <c r="D160" i="2" l="1"/>
  <c r="F160" i="2" s="1"/>
  <c r="F160" i="7" s="1"/>
  <c r="M174" i="2"/>
  <c r="P174" i="2" s="1"/>
  <c r="O174" i="2"/>
  <c r="X164" i="2"/>
  <c r="AA164" i="2" s="1"/>
  <c r="AE199" i="2"/>
  <c r="AH199" i="2" s="1"/>
  <c r="G160" i="2" l="1"/>
  <c r="I160" i="2" s="1"/>
  <c r="C161" i="2" s="1"/>
  <c r="D160" i="7"/>
  <c r="I160" i="7" s="1"/>
  <c r="C161" i="7" s="1"/>
  <c r="G160" i="7"/>
  <c r="R174" i="2"/>
  <c r="L175" i="2" s="1"/>
  <c r="M175" i="2" s="1"/>
  <c r="P175" i="2" s="1"/>
  <c r="AG199" i="2"/>
  <c r="AJ199" i="2" s="1"/>
  <c r="AD200" i="2" s="1"/>
  <c r="U165" i="2"/>
  <c r="D161" i="2" l="1"/>
  <c r="F161" i="2"/>
  <c r="F161" i="7" s="1"/>
  <c r="O175" i="2"/>
  <c r="R175" i="2" s="1"/>
  <c r="V165" i="2"/>
  <c r="Y165" i="2" s="1"/>
  <c r="AE200" i="2"/>
  <c r="AH200" i="2" s="1"/>
  <c r="G161" i="7" l="1"/>
  <c r="G161" i="2"/>
  <c r="I161" i="2" s="1"/>
  <c r="C162" i="2" s="1"/>
  <c r="D161" i="7"/>
  <c r="I161" i="7" s="1"/>
  <c r="C162" i="7" s="1"/>
  <c r="AG200" i="2"/>
  <c r="AJ200" i="2" s="1"/>
  <c r="AD201" i="2" s="1"/>
  <c r="X165" i="2"/>
  <c r="L176" i="2"/>
  <c r="D162" i="2" l="1"/>
  <c r="F162" i="2" s="1"/>
  <c r="F162" i="7" s="1"/>
  <c r="AA165" i="2"/>
  <c r="U166" i="2" s="1"/>
  <c r="V166" i="2" s="1"/>
  <c r="Y166" i="2" s="1"/>
  <c r="AE201" i="2"/>
  <c r="AH201" i="2" s="1"/>
  <c r="M176" i="2"/>
  <c r="P176" i="2" s="1"/>
  <c r="G162" i="2" l="1"/>
  <c r="I162" i="2" s="1"/>
  <c r="C163" i="2" s="1"/>
  <c r="D162" i="7"/>
  <c r="I162" i="7" s="1"/>
  <c r="C163" i="7" s="1"/>
  <c r="G162" i="7"/>
  <c r="AG201" i="2"/>
  <c r="AJ201" i="2" s="1"/>
  <c r="AD202" i="2" s="1"/>
  <c r="O176" i="2"/>
  <c r="R176" i="2" s="1"/>
  <c r="X166" i="2"/>
  <c r="AA166" i="2" s="1"/>
  <c r="D163" i="2" l="1"/>
  <c r="F163" i="2" s="1"/>
  <c r="F163" i="7" s="1"/>
  <c r="U167" i="2"/>
  <c r="AE202" i="2"/>
  <c r="AH202" i="2" s="1"/>
  <c r="L177" i="2"/>
  <c r="G163" i="7" l="1"/>
  <c r="G163" i="2"/>
  <c r="I163" i="2" s="1"/>
  <c r="C164" i="2" s="1"/>
  <c r="D163" i="7"/>
  <c r="I163" i="7" s="1"/>
  <c r="C164" i="7" s="1"/>
  <c r="AG202" i="2"/>
  <c r="AJ202" i="2" s="1"/>
  <c r="AD203" i="2" s="1"/>
  <c r="V167" i="2"/>
  <c r="Y167" i="2" s="1"/>
  <c r="M177" i="2"/>
  <c r="P177" i="2" s="1"/>
  <c r="D164" i="2" l="1"/>
  <c r="O177" i="2"/>
  <c r="X167" i="2"/>
  <c r="AA167" i="2" s="1"/>
  <c r="AE203" i="2"/>
  <c r="AH203" i="2" s="1"/>
  <c r="G164" i="2" l="1"/>
  <c r="D164" i="7"/>
  <c r="G164" i="7"/>
  <c r="F164" i="2"/>
  <c r="F164" i="7" s="1"/>
  <c r="R177" i="2"/>
  <c r="L178" i="2" s="1"/>
  <c r="AG203" i="2"/>
  <c r="AJ203" i="2" s="1"/>
  <c r="AD204" i="2" s="1"/>
  <c r="U168" i="2"/>
  <c r="I164" i="7" l="1"/>
  <c r="C165" i="7" s="1"/>
  <c r="I164" i="2"/>
  <c r="C165" i="2" s="1"/>
  <c r="V168" i="2"/>
  <c r="Y168" i="2" s="1"/>
  <c r="AE204" i="2"/>
  <c r="AH204" i="2" s="1"/>
  <c r="M178" i="2"/>
  <c r="P178" i="2" s="1"/>
  <c r="D165" i="2" l="1"/>
  <c r="F165" i="2" s="1"/>
  <c r="F165" i="7" s="1"/>
  <c r="O178" i="2"/>
  <c r="R178" i="2" s="1"/>
  <c r="X168" i="2"/>
  <c r="AA168" i="2" s="1"/>
  <c r="AG204" i="2"/>
  <c r="AJ204" i="2" s="1"/>
  <c r="AD205" i="2" s="1"/>
  <c r="G165" i="7" l="1"/>
  <c r="G165" i="2"/>
  <c r="I165" i="2" s="1"/>
  <c r="C166" i="2" s="1"/>
  <c r="D165" i="7"/>
  <c r="I165" i="7" s="1"/>
  <c r="C166" i="7" s="1"/>
  <c r="U169" i="2"/>
  <c r="AE205" i="2"/>
  <c r="AH205" i="2" s="1"/>
  <c r="L179" i="2"/>
  <c r="D166" i="2" l="1"/>
  <c r="F166" i="2"/>
  <c r="F166" i="7" s="1"/>
  <c r="AG205" i="2"/>
  <c r="AJ205" i="2" s="1"/>
  <c r="AD206" i="2" s="1"/>
  <c r="V169" i="2"/>
  <c r="Y169" i="2" s="1"/>
  <c r="M179" i="2"/>
  <c r="P179" i="2" s="1"/>
  <c r="G166" i="2" l="1"/>
  <c r="I166" i="2" s="1"/>
  <c r="C167" i="2" s="1"/>
  <c r="D166" i="7"/>
  <c r="I166" i="7" s="1"/>
  <c r="C167" i="7" s="1"/>
  <c r="G166" i="7"/>
  <c r="X169" i="2"/>
  <c r="O179" i="2"/>
  <c r="R179" i="2" s="1"/>
  <c r="AE206" i="2"/>
  <c r="AH206" i="2" s="1"/>
  <c r="D167" i="2" l="1"/>
  <c r="F167" i="2" s="1"/>
  <c r="F167" i="7" s="1"/>
  <c r="G167" i="7"/>
  <c r="AA169" i="2"/>
  <c r="U170" i="2" s="1"/>
  <c r="V170" i="2" s="1"/>
  <c r="Y170" i="2" s="1"/>
  <c r="AG206" i="2"/>
  <c r="AJ206" i="2" s="1"/>
  <c r="AD207" i="2" s="1"/>
  <c r="L180" i="2"/>
  <c r="G167" i="2" l="1"/>
  <c r="I167" i="2" s="1"/>
  <c r="C168" i="2" s="1"/>
  <c r="D167" i="7"/>
  <c r="I167" i="7" s="1"/>
  <c r="C168" i="7" s="1"/>
  <c r="X170" i="2"/>
  <c r="AA170" i="2" s="1"/>
  <c r="AE207" i="2"/>
  <c r="AH207" i="2" s="1"/>
  <c r="M180" i="2"/>
  <c r="P180" i="2" s="1"/>
  <c r="G168" i="7" l="1"/>
  <c r="D168" i="2"/>
  <c r="G168" i="2" s="1"/>
  <c r="O180" i="2"/>
  <c r="R180" i="2" s="1"/>
  <c r="U171" i="2"/>
  <c r="AG207" i="2"/>
  <c r="AJ207" i="2" s="1"/>
  <c r="F168" i="2" l="1"/>
  <c r="F168" i="7" s="1"/>
  <c r="D168" i="7"/>
  <c r="V171" i="2"/>
  <c r="Y171" i="2" s="1"/>
  <c r="AD208" i="2"/>
  <c r="L181" i="2"/>
  <c r="I168" i="2" l="1"/>
  <c r="C169" i="2" s="1"/>
  <c r="I168" i="7"/>
  <c r="C169" i="7" s="1"/>
  <c r="X171" i="2"/>
  <c r="AA171" i="2" s="1"/>
  <c r="AE208" i="2"/>
  <c r="AH208" i="2" s="1"/>
  <c r="M181" i="2"/>
  <c r="P181" i="2" s="1"/>
  <c r="G169" i="7" l="1"/>
  <c r="D169" i="2"/>
  <c r="G169" i="2" s="1"/>
  <c r="AG208" i="2"/>
  <c r="AJ208" i="2" s="1"/>
  <c r="O181" i="2"/>
  <c r="R181" i="2" s="1"/>
  <c r="U172" i="2"/>
  <c r="F169" i="2"/>
  <c r="F169" i="7" s="1"/>
  <c r="D169" i="7" l="1"/>
  <c r="I169" i="7" s="1"/>
  <c r="C170" i="7" s="1"/>
  <c r="I169" i="2"/>
  <c r="V172" i="2"/>
  <c r="Y172" i="2" s="1"/>
  <c r="C170" i="2"/>
  <c r="AD209" i="2"/>
  <c r="L182" i="2"/>
  <c r="X172" i="2" l="1"/>
  <c r="AA172" i="2" s="1"/>
  <c r="U173" i="2" s="1"/>
  <c r="G170" i="7"/>
  <c r="D170" i="2"/>
  <c r="G170" i="2" s="1"/>
  <c r="AE209" i="2"/>
  <c r="AH209" i="2" s="1"/>
  <c r="M182" i="2"/>
  <c r="P182" i="2" s="1"/>
  <c r="AG209" i="2" l="1"/>
  <c r="AJ209" i="2" s="1"/>
  <c r="AD210" i="2" s="1"/>
  <c r="O182" i="2"/>
  <c r="R182" i="2" s="1"/>
  <c r="D170" i="7"/>
  <c r="V173" i="2"/>
  <c r="Y173" i="2" s="1"/>
  <c r="F170" i="2"/>
  <c r="F170" i="7" s="1"/>
  <c r="I170" i="2" l="1"/>
  <c r="X173" i="2"/>
  <c r="C171" i="2"/>
  <c r="I170" i="7"/>
  <c r="C171" i="7" s="1"/>
  <c r="AE210" i="2"/>
  <c r="AH210" i="2" s="1"/>
  <c r="L183" i="2"/>
  <c r="AA173" i="2" l="1"/>
  <c r="U174" i="2" s="1"/>
  <c r="V174" i="2" s="1"/>
  <c r="Y174" i="2" s="1"/>
  <c r="G171" i="7"/>
  <c r="AG210" i="2"/>
  <c r="AJ210" i="2" s="1"/>
  <c r="AD211" i="2" s="1"/>
  <c r="D171" i="2"/>
  <c r="G171" i="2" s="1"/>
  <c r="M183" i="2"/>
  <c r="P183" i="2" s="1"/>
  <c r="O183" i="2" l="1"/>
  <c r="R183" i="2" s="1"/>
  <c r="D171" i="7"/>
  <c r="X174" i="2"/>
  <c r="AA174" i="2" s="1"/>
  <c r="F171" i="2"/>
  <c r="F171" i="7" s="1"/>
  <c r="AE211" i="2"/>
  <c r="AH211" i="2" s="1"/>
  <c r="I171" i="2" l="1"/>
  <c r="U175" i="2"/>
  <c r="I171" i="7"/>
  <c r="C172" i="7" s="1"/>
  <c r="C172" i="2"/>
  <c r="AG211" i="2"/>
  <c r="AJ211" i="2" s="1"/>
  <c r="AD212" i="2" s="1"/>
  <c r="L184" i="2"/>
  <c r="G172" i="7" l="1"/>
  <c r="V175" i="2"/>
  <c r="Y175" i="2" s="1"/>
  <c r="D172" i="2"/>
  <c r="G172" i="2" s="1"/>
  <c r="AE212" i="2"/>
  <c r="AH212" i="2" s="1"/>
  <c r="M184" i="2"/>
  <c r="P184" i="2" s="1"/>
  <c r="AG212" i="2" l="1"/>
  <c r="AJ212" i="2" s="1"/>
  <c r="AD213" i="2" s="1"/>
  <c r="O184" i="2"/>
  <c r="R184" i="2" s="1"/>
  <c r="D172" i="7"/>
  <c r="X175" i="2"/>
  <c r="AA175" i="2" s="1"/>
  <c r="F172" i="2"/>
  <c r="F172" i="7" s="1"/>
  <c r="I172" i="2" l="1"/>
  <c r="U176" i="2"/>
  <c r="C173" i="2"/>
  <c r="I172" i="7"/>
  <c r="C173" i="7" s="1"/>
  <c r="AE213" i="2"/>
  <c r="AH213" i="2" s="1"/>
  <c r="L185" i="2"/>
  <c r="G173" i="7" l="1"/>
  <c r="AG213" i="2"/>
  <c r="AJ213" i="2" s="1"/>
  <c r="AD214" i="2" s="1"/>
  <c r="V176" i="2"/>
  <c r="Y176" i="2" s="1"/>
  <c r="D173" i="2"/>
  <c r="G173" i="2" s="1"/>
  <c r="M185" i="2"/>
  <c r="P185" i="2" s="1"/>
  <c r="O185" i="2" l="1"/>
  <c r="R185" i="2" s="1"/>
  <c r="D173" i="7"/>
  <c r="X176" i="2"/>
  <c r="AA176" i="2" s="1"/>
  <c r="F173" i="2"/>
  <c r="F173" i="7" s="1"/>
  <c r="AE214" i="2"/>
  <c r="AH214" i="2" s="1"/>
  <c r="I173" i="2" l="1"/>
  <c r="AG214" i="2"/>
  <c r="AJ214" i="2" s="1"/>
  <c r="AD215" i="2" s="1"/>
  <c r="U177" i="2"/>
  <c r="I173" i="7"/>
  <c r="C174" i="7" s="1"/>
  <c r="C174" i="2"/>
  <c r="L186" i="2"/>
  <c r="G174" i="7" l="1"/>
  <c r="V177" i="2"/>
  <c r="Y177" i="2" s="1"/>
  <c r="D174" i="2"/>
  <c r="G174" i="2" s="1"/>
  <c r="AE215" i="2"/>
  <c r="AH215" i="2" s="1"/>
  <c r="M186" i="2"/>
  <c r="P186" i="2" s="1"/>
  <c r="AG215" i="2" l="1"/>
  <c r="AJ215" i="2" s="1"/>
  <c r="AD216" i="2" s="1"/>
  <c r="O186" i="2"/>
  <c r="R186" i="2" s="1"/>
  <c r="D174" i="7"/>
  <c r="X177" i="2"/>
  <c r="AA177" i="2" s="1"/>
  <c r="F174" i="2"/>
  <c r="F174" i="7" s="1"/>
  <c r="I174" i="2" l="1"/>
  <c r="U178" i="2"/>
  <c r="I174" i="7"/>
  <c r="C175" i="7" s="1"/>
  <c r="C175" i="2"/>
  <c r="AE216" i="2"/>
  <c r="AH216" i="2" s="1"/>
  <c r="L187" i="2"/>
  <c r="G175" i="7" l="1"/>
  <c r="AG216" i="2"/>
  <c r="AJ216" i="2" s="1"/>
  <c r="AD217" i="2" s="1"/>
  <c r="V178" i="2"/>
  <c r="Y178" i="2" s="1"/>
  <c r="D175" i="2"/>
  <c r="G175" i="2" s="1"/>
  <c r="M187" i="2"/>
  <c r="P187" i="2" s="1"/>
  <c r="O187" i="2" l="1"/>
  <c r="R187" i="2" s="1"/>
  <c r="D175" i="7"/>
  <c r="X178" i="2"/>
  <c r="AA178" i="2" s="1"/>
  <c r="F175" i="2"/>
  <c r="F175" i="7" s="1"/>
  <c r="AE217" i="2"/>
  <c r="AH217" i="2" s="1"/>
  <c r="I175" i="2" l="1"/>
  <c r="AG217" i="2"/>
  <c r="AJ217" i="2" s="1"/>
  <c r="AD218" i="2" s="1"/>
  <c r="U179" i="2"/>
  <c r="C176" i="2"/>
  <c r="I175" i="7"/>
  <c r="C176" i="7" s="1"/>
  <c r="L188" i="2"/>
  <c r="G176" i="7" l="1"/>
  <c r="V179" i="2"/>
  <c r="Y179" i="2" s="1"/>
  <c r="D176" i="2"/>
  <c r="G176" i="2" s="1"/>
  <c r="AE218" i="2"/>
  <c r="AH218" i="2" s="1"/>
  <c r="M188" i="2"/>
  <c r="P188" i="2" s="1"/>
  <c r="AG218" i="2" l="1"/>
  <c r="AJ218" i="2" s="1"/>
  <c r="AD219" i="2" s="1"/>
  <c r="O188" i="2"/>
  <c r="R188" i="2" s="1"/>
  <c r="D176" i="7"/>
  <c r="X179" i="2"/>
  <c r="AA179" i="2" s="1"/>
  <c r="F176" i="2"/>
  <c r="F176" i="7" s="1"/>
  <c r="I176" i="2" l="1"/>
  <c r="U180" i="2"/>
  <c r="C177" i="2"/>
  <c r="I176" i="7"/>
  <c r="C177" i="7" s="1"/>
  <c r="AE219" i="2"/>
  <c r="AH219" i="2" s="1"/>
  <c r="L189" i="2"/>
  <c r="G177" i="7" l="1"/>
  <c r="AG219" i="2"/>
  <c r="AJ219" i="2" s="1"/>
  <c r="AD220" i="2" s="1"/>
  <c r="V180" i="2"/>
  <c r="Y180" i="2" s="1"/>
  <c r="D177" i="2"/>
  <c r="G177" i="2" s="1"/>
  <c r="M189" i="2"/>
  <c r="P189" i="2" s="1"/>
  <c r="X180" i="2" l="1"/>
  <c r="O189" i="2"/>
  <c r="R189" i="2" s="1"/>
  <c r="D177" i="7"/>
  <c r="F177" i="2"/>
  <c r="F177" i="7" s="1"/>
  <c r="AE220" i="2"/>
  <c r="AH220" i="2" s="1"/>
  <c r="AA180" i="2" l="1"/>
  <c r="U181" i="2" s="1"/>
  <c r="V181" i="2" s="1"/>
  <c r="Y181" i="2" s="1"/>
  <c r="I177" i="2"/>
  <c r="AG220" i="2"/>
  <c r="AJ220" i="2" s="1"/>
  <c r="AD221" i="2" s="1"/>
  <c r="I177" i="7"/>
  <c r="C178" i="7" s="1"/>
  <c r="C178" i="2"/>
  <c r="L190" i="2"/>
  <c r="G178" i="7" l="1"/>
  <c r="X181" i="2"/>
  <c r="D178" i="2"/>
  <c r="G178" i="2" s="1"/>
  <c r="AE221" i="2"/>
  <c r="AH221" i="2" s="1"/>
  <c r="M190" i="2"/>
  <c r="P190" i="2" s="1"/>
  <c r="AA181" i="2" l="1"/>
  <c r="U182" i="2" s="1"/>
  <c r="V182" i="2" s="1"/>
  <c r="Y182" i="2" s="1"/>
  <c r="AG221" i="2"/>
  <c r="AJ221" i="2" s="1"/>
  <c r="AD222" i="2" s="1"/>
  <c r="O190" i="2"/>
  <c r="R190" i="2" s="1"/>
  <c r="D178" i="7"/>
  <c r="F178" i="2"/>
  <c r="F178" i="7" s="1"/>
  <c r="I178" i="2" l="1"/>
  <c r="C179" i="2" s="1"/>
  <c r="X182" i="2"/>
  <c r="AA182" i="2" s="1"/>
  <c r="I178" i="7"/>
  <c r="C179" i="7" s="1"/>
  <c r="AE222" i="2"/>
  <c r="AH222" i="2" s="1"/>
  <c r="L191" i="2"/>
  <c r="G179" i="7" l="1"/>
  <c r="AG222" i="2"/>
  <c r="AJ222" i="2" s="1"/>
  <c r="AD223" i="2" s="1"/>
  <c r="U183" i="2"/>
  <c r="D179" i="2"/>
  <c r="G179" i="2" s="1"/>
  <c r="M191" i="2"/>
  <c r="P191" i="2" s="1"/>
  <c r="O191" i="2" l="1"/>
  <c r="R191" i="2" s="1"/>
  <c r="D179" i="7"/>
  <c r="V183" i="2"/>
  <c r="Y183" i="2" s="1"/>
  <c r="F179" i="2"/>
  <c r="F179" i="7" s="1"/>
  <c r="AE223" i="2"/>
  <c r="AH223" i="2" s="1"/>
  <c r="I179" i="2" l="1"/>
  <c r="AG223" i="2"/>
  <c r="AJ223" i="2" s="1"/>
  <c r="AD224" i="2" s="1"/>
  <c r="X183" i="2"/>
  <c r="AA183" i="2" s="1"/>
  <c r="C180" i="2"/>
  <c r="I179" i="7"/>
  <c r="C180" i="7" s="1"/>
  <c r="L192" i="2"/>
  <c r="G180" i="7" l="1"/>
  <c r="U184" i="2"/>
  <c r="D180" i="2"/>
  <c r="G180" i="2" s="1"/>
  <c r="AE224" i="2"/>
  <c r="AH224" i="2" s="1"/>
  <c r="M192" i="2"/>
  <c r="P192" i="2" s="1"/>
  <c r="AG224" i="2" l="1"/>
  <c r="AJ224" i="2" s="1"/>
  <c r="AD225" i="2" s="1"/>
  <c r="AE225" i="2" s="1"/>
  <c r="AH225" i="2" s="1"/>
  <c r="O192" i="2"/>
  <c r="R192" i="2" s="1"/>
  <c r="D180" i="7"/>
  <c r="V184" i="2"/>
  <c r="Y184" i="2" s="1"/>
  <c r="F180" i="2"/>
  <c r="F180" i="7" s="1"/>
  <c r="I180" i="2" l="1"/>
  <c r="X184" i="2"/>
  <c r="AA184" i="2" s="1"/>
  <c r="C181" i="2"/>
  <c r="I180" i="7"/>
  <c r="C181" i="7" s="1"/>
  <c r="AG225" i="2"/>
  <c r="AJ225" i="2" s="1"/>
  <c r="L193" i="2"/>
  <c r="G181" i="7" l="1"/>
  <c r="U185" i="2"/>
  <c r="D181" i="2"/>
  <c r="G181" i="2" s="1"/>
  <c r="AD226" i="2"/>
  <c r="AE226" i="2" s="1"/>
  <c r="AH226" i="2" s="1"/>
  <c r="M193" i="2"/>
  <c r="P193" i="2" s="1"/>
  <c r="AG226" i="2" l="1"/>
  <c r="AJ226" i="2" s="1"/>
  <c r="O193" i="2"/>
  <c r="R193" i="2" s="1"/>
  <c r="D181" i="7"/>
  <c r="V185" i="2"/>
  <c r="Y185" i="2" s="1"/>
  <c r="F181" i="2"/>
  <c r="F181" i="7" s="1"/>
  <c r="I181" i="2" l="1"/>
  <c r="X185" i="2"/>
  <c r="AA185" i="2" s="1"/>
  <c r="C182" i="2"/>
  <c r="I181" i="7"/>
  <c r="C182" i="7" s="1"/>
  <c r="AD227" i="2"/>
  <c r="AE227" i="2" s="1"/>
  <c r="AH227" i="2" s="1"/>
  <c r="L194" i="2"/>
  <c r="G182" i="7" l="1"/>
  <c r="U186" i="2"/>
  <c r="D182" i="2"/>
  <c r="G182" i="2" s="1"/>
  <c r="AG227" i="2"/>
  <c r="M194" i="2"/>
  <c r="P194" i="2" s="1"/>
  <c r="O194" i="2" l="1"/>
  <c r="R194" i="2" s="1"/>
  <c r="D182" i="7"/>
  <c r="V186" i="2"/>
  <c r="Y186" i="2" s="1"/>
  <c r="F182" i="2"/>
  <c r="F182" i="7" s="1"/>
  <c r="AJ227" i="2"/>
  <c r="I182" i="2" l="1"/>
  <c r="C183" i="2" s="1"/>
  <c r="X186" i="2"/>
  <c r="I182" i="7"/>
  <c r="C183" i="7" s="1"/>
  <c r="AD228" i="2"/>
  <c r="AE228" i="2" s="1"/>
  <c r="AH228" i="2" s="1"/>
  <c r="L195" i="2"/>
  <c r="AA186" i="2" l="1"/>
  <c r="U187" i="2" s="1"/>
  <c r="V187" i="2" s="1"/>
  <c r="Y187" i="2" s="1"/>
  <c r="G183" i="7"/>
  <c r="AG228" i="2"/>
  <c r="AJ228" i="2" s="1"/>
  <c r="D183" i="2"/>
  <c r="G183" i="2" s="1"/>
  <c r="M195" i="2"/>
  <c r="P195" i="2" s="1"/>
  <c r="X187" i="2" l="1"/>
  <c r="O195" i="2"/>
  <c r="R195" i="2" s="1"/>
  <c r="D183" i="7"/>
  <c r="F183" i="2"/>
  <c r="F183" i="7" s="1"/>
  <c r="AD229" i="2"/>
  <c r="AE229" i="2" s="1"/>
  <c r="AH229" i="2" s="1"/>
  <c r="AA187" i="2" l="1"/>
  <c r="U188" i="2" s="1"/>
  <c r="V188" i="2" s="1"/>
  <c r="Y188" i="2" s="1"/>
  <c r="I183" i="2"/>
  <c r="I183" i="7"/>
  <c r="C184" i="7" s="1"/>
  <c r="C184" i="2"/>
  <c r="AG229" i="2"/>
  <c r="AJ229" i="2" s="1"/>
  <c r="L196" i="2"/>
  <c r="G184" i="7" l="1"/>
  <c r="X188" i="2"/>
  <c r="AA188" i="2" s="1"/>
  <c r="D184" i="2"/>
  <c r="G184" i="2" s="1"/>
  <c r="AD230" i="2"/>
  <c r="AE230" i="2" s="1"/>
  <c r="AH230" i="2" s="1"/>
  <c r="M196" i="2"/>
  <c r="P196" i="2" s="1"/>
  <c r="O196" i="2" l="1"/>
  <c r="D184" i="7"/>
  <c r="U189" i="2"/>
  <c r="F184" i="2"/>
  <c r="F184" i="7" s="1"/>
  <c r="AG230" i="2"/>
  <c r="R196" i="2" l="1"/>
  <c r="I184" i="2"/>
  <c r="V189" i="2"/>
  <c r="Y189" i="2" s="1"/>
  <c r="I184" i="7"/>
  <c r="C185" i="7" s="1"/>
  <c r="C185" i="2"/>
  <c r="L197" i="2"/>
  <c r="AJ230" i="2"/>
  <c r="G185" i="7" l="1"/>
  <c r="X189" i="2"/>
  <c r="AA189" i="2" s="1"/>
  <c r="D185" i="2"/>
  <c r="G185" i="2" s="1"/>
  <c r="AD231" i="2"/>
  <c r="AE231" i="2" s="1"/>
  <c r="AH231" i="2" s="1"/>
  <c r="M197" i="2"/>
  <c r="P197" i="2" s="1"/>
  <c r="O197" i="2" l="1"/>
  <c r="D185" i="7"/>
  <c r="U190" i="2"/>
  <c r="F185" i="2"/>
  <c r="F185" i="7" s="1"/>
  <c r="AG231" i="2"/>
  <c r="AJ231" i="2" s="1"/>
  <c r="R197" i="2" l="1"/>
  <c r="I185" i="2"/>
  <c r="C186" i="2" s="1"/>
  <c r="V190" i="2"/>
  <c r="Y190" i="2" s="1"/>
  <c r="I185" i="7"/>
  <c r="C186" i="7" s="1"/>
  <c r="AD232" i="2"/>
  <c r="AE232" i="2" s="1"/>
  <c r="AH232" i="2" s="1"/>
  <c r="L198" i="2"/>
  <c r="G186" i="7" l="1"/>
  <c r="AG232" i="2"/>
  <c r="X190" i="2"/>
  <c r="AA190" i="2" s="1"/>
  <c r="D186" i="2"/>
  <c r="G186" i="2" s="1"/>
  <c r="M198" i="2"/>
  <c r="P198" i="2" s="1"/>
  <c r="O198" i="2" l="1"/>
  <c r="R198" i="2" s="1"/>
  <c r="D186" i="7"/>
  <c r="U191" i="2"/>
  <c r="F186" i="2"/>
  <c r="F186" i="7" s="1"/>
  <c r="AJ232" i="2"/>
  <c r="I186" i="2" l="1"/>
  <c r="V191" i="2"/>
  <c r="Y191" i="2" s="1"/>
  <c r="I186" i="7"/>
  <c r="C187" i="7" s="1"/>
  <c r="C187" i="2"/>
  <c r="AD233" i="2"/>
  <c r="AE233" i="2" s="1"/>
  <c r="AH233" i="2" s="1"/>
  <c r="L199" i="2"/>
  <c r="G187" i="7" l="1"/>
  <c r="X191" i="2"/>
  <c r="AA191" i="2" s="1"/>
  <c r="D187" i="2"/>
  <c r="G187" i="2" s="1"/>
  <c r="AG233" i="2"/>
  <c r="AJ233" i="2" s="1"/>
  <c r="M199" i="2"/>
  <c r="P199" i="2" s="1"/>
  <c r="O199" i="2" l="1"/>
  <c r="R199" i="2" s="1"/>
  <c r="D187" i="7"/>
  <c r="U192" i="2"/>
  <c r="F187" i="2"/>
  <c r="F187" i="7" s="1"/>
  <c r="AD234" i="2"/>
  <c r="AE234" i="2" s="1"/>
  <c r="AH234" i="2" s="1"/>
  <c r="I187" i="2" l="1"/>
  <c r="V192" i="2"/>
  <c r="Y192" i="2" s="1"/>
  <c r="I187" i="7"/>
  <c r="C188" i="7" s="1"/>
  <c r="C188" i="2"/>
  <c r="AG234" i="2"/>
  <c r="AJ234" i="2" s="1"/>
  <c r="L200" i="2"/>
  <c r="G188" i="7" l="1"/>
  <c r="X192" i="2"/>
  <c r="AA192" i="2" s="1"/>
  <c r="D188" i="2"/>
  <c r="G188" i="2" s="1"/>
  <c r="AD235" i="2"/>
  <c r="AE235" i="2" s="1"/>
  <c r="AH235" i="2" s="1"/>
  <c r="M200" i="2"/>
  <c r="P200" i="2" s="1"/>
  <c r="O200" i="2" l="1"/>
  <c r="R200" i="2" s="1"/>
  <c r="D188" i="7"/>
  <c r="U193" i="2"/>
  <c r="F188" i="2"/>
  <c r="F188" i="7" s="1"/>
  <c r="AG235" i="2"/>
  <c r="I188" i="2" l="1"/>
  <c r="V193" i="2"/>
  <c r="Y193" i="2" s="1"/>
  <c r="I188" i="7"/>
  <c r="C189" i="7" s="1"/>
  <c r="C189" i="2"/>
  <c r="L201" i="2"/>
  <c r="AJ235" i="2"/>
  <c r="G189" i="7" l="1"/>
  <c r="X193" i="2"/>
  <c r="AA193" i="2" s="1"/>
  <c r="D189" i="2"/>
  <c r="G189" i="2" s="1"/>
  <c r="AD236" i="2"/>
  <c r="AE236" i="2" s="1"/>
  <c r="AH236" i="2" s="1"/>
  <c r="M201" i="2"/>
  <c r="P201" i="2" s="1"/>
  <c r="O201" i="2" l="1"/>
  <c r="R201" i="2" s="1"/>
  <c r="D189" i="7"/>
  <c r="U194" i="2"/>
  <c r="F189" i="2"/>
  <c r="F189" i="7" s="1"/>
  <c r="AG236" i="2"/>
  <c r="AJ236" i="2" s="1"/>
  <c r="I189" i="2" l="1"/>
  <c r="V194" i="2"/>
  <c r="Y194" i="2" s="1"/>
  <c r="I189" i="7"/>
  <c r="C190" i="7" s="1"/>
  <c r="C190" i="2"/>
  <c r="AD237" i="2"/>
  <c r="AE237" i="2" s="1"/>
  <c r="AH237" i="2" s="1"/>
  <c r="L202" i="2"/>
  <c r="G190" i="7" l="1"/>
  <c r="X194" i="2"/>
  <c r="D190" i="2"/>
  <c r="G190" i="2" s="1"/>
  <c r="AG237" i="2"/>
  <c r="AJ237" i="2" s="1"/>
  <c r="M202" i="2"/>
  <c r="P202" i="2" s="1"/>
  <c r="AA194" i="2" l="1"/>
  <c r="U195" i="2" s="1"/>
  <c r="V195" i="2" s="1"/>
  <c r="Y195" i="2" s="1"/>
  <c r="O202" i="2"/>
  <c r="R202" i="2" s="1"/>
  <c r="D190" i="7"/>
  <c r="F190" i="2"/>
  <c r="F190" i="7" s="1"/>
  <c r="AD238" i="2"/>
  <c r="AE238" i="2" s="1"/>
  <c r="AH238" i="2" s="1"/>
  <c r="I190" i="2" l="1"/>
  <c r="X195" i="2"/>
  <c r="C191" i="2"/>
  <c r="I190" i="7"/>
  <c r="C191" i="7" s="1"/>
  <c r="AG238" i="2"/>
  <c r="AJ238" i="2" s="1"/>
  <c r="L203" i="2"/>
  <c r="AA195" i="2" l="1"/>
  <c r="U196" i="2" s="1"/>
  <c r="G191" i="7"/>
  <c r="D191" i="2"/>
  <c r="G191" i="2" s="1"/>
  <c r="AD239" i="2"/>
  <c r="AE239" i="2" s="1"/>
  <c r="AH239" i="2" s="1"/>
  <c r="M203" i="2"/>
  <c r="P203" i="2" s="1"/>
  <c r="V196" i="2" l="1"/>
  <c r="Y196" i="2" s="1"/>
  <c r="AG239" i="2"/>
  <c r="AJ239" i="2" s="1"/>
  <c r="O203" i="2"/>
  <c r="R203" i="2" s="1"/>
  <c r="D191" i="7"/>
  <c r="F191" i="2"/>
  <c r="F191" i="7" s="1"/>
  <c r="X196" i="2" l="1"/>
  <c r="AA196" i="2" s="1"/>
  <c r="U197" i="2" s="1"/>
  <c r="I191" i="2"/>
  <c r="I191" i="7"/>
  <c r="C192" i="7" s="1"/>
  <c r="C192" i="2"/>
  <c r="AD240" i="2"/>
  <c r="AE240" i="2" s="1"/>
  <c r="AH240" i="2" s="1"/>
  <c r="L204" i="2"/>
  <c r="G192" i="7" l="1"/>
  <c r="V197" i="2"/>
  <c r="Y197" i="2" s="1"/>
  <c r="D192" i="2"/>
  <c r="G192" i="2" s="1"/>
  <c r="AG240" i="2"/>
  <c r="AJ240" i="2" s="1"/>
  <c r="M204" i="2"/>
  <c r="P204" i="2" s="1"/>
  <c r="O204" i="2" l="1"/>
  <c r="R204" i="2" s="1"/>
  <c r="D192" i="7"/>
  <c r="X197" i="2"/>
  <c r="AA197" i="2" s="1"/>
  <c r="F192" i="2"/>
  <c r="F192" i="7" s="1"/>
  <c r="AD241" i="2"/>
  <c r="AE241" i="2" s="1"/>
  <c r="AH241" i="2" s="1"/>
  <c r="I192" i="2" l="1"/>
  <c r="AG241" i="2"/>
  <c r="AJ241" i="2" s="1"/>
  <c r="U198" i="2"/>
  <c r="C193" i="2"/>
  <c r="I192" i="7"/>
  <c r="C193" i="7" s="1"/>
  <c r="L205" i="2"/>
  <c r="G193" i="7" l="1"/>
  <c r="V198" i="2"/>
  <c r="Y198" i="2" s="1"/>
  <c r="D193" i="2"/>
  <c r="G193" i="2" s="1"/>
  <c r="AD242" i="2"/>
  <c r="AE242" i="2" s="1"/>
  <c r="AH242" i="2" s="1"/>
  <c r="M205" i="2"/>
  <c r="P205" i="2" s="1"/>
  <c r="O205" i="2" l="1"/>
  <c r="D193" i="7"/>
  <c r="X198" i="2"/>
  <c r="AA198" i="2" s="1"/>
  <c r="F193" i="2"/>
  <c r="F193" i="7" s="1"/>
  <c r="AG242" i="2"/>
  <c r="R205" i="2" l="1"/>
  <c r="I193" i="2"/>
  <c r="U199" i="2"/>
  <c r="C194" i="2"/>
  <c r="I193" i="7"/>
  <c r="C194" i="7" s="1"/>
  <c r="L206" i="2"/>
  <c r="AJ242" i="2"/>
  <c r="G194" i="7" l="1"/>
  <c r="V199" i="2"/>
  <c r="Y199" i="2" s="1"/>
  <c r="D194" i="2"/>
  <c r="G194" i="2" s="1"/>
  <c r="AD243" i="2"/>
  <c r="AE243" i="2" s="1"/>
  <c r="AH243" i="2" s="1"/>
  <c r="M206" i="2"/>
  <c r="P206" i="2" s="1"/>
  <c r="X199" i="2" l="1"/>
  <c r="O206" i="2"/>
  <c r="R206" i="2" s="1"/>
  <c r="D194" i="7"/>
  <c r="F194" i="2"/>
  <c r="F194" i="7" s="1"/>
  <c r="AG243" i="2"/>
  <c r="AJ243" i="2" s="1"/>
  <c r="AA199" i="2" l="1"/>
  <c r="U200" i="2" s="1"/>
  <c r="V200" i="2" s="1"/>
  <c r="Y200" i="2" s="1"/>
  <c r="I194" i="2"/>
  <c r="C195" i="2" s="1"/>
  <c r="I194" i="7"/>
  <c r="C195" i="7" s="1"/>
  <c r="AD244" i="2"/>
  <c r="AE244" i="2" s="1"/>
  <c r="AH244" i="2" s="1"/>
  <c r="L207" i="2"/>
  <c r="G195" i="7" l="1"/>
  <c r="X200" i="2"/>
  <c r="D195" i="2"/>
  <c r="G195" i="2" s="1"/>
  <c r="AG244" i="2"/>
  <c r="AJ244" i="2" s="1"/>
  <c r="M207" i="2"/>
  <c r="P207" i="2" s="1"/>
  <c r="AA200" i="2" l="1"/>
  <c r="U201" i="2" s="1"/>
  <c r="V201" i="2" s="1"/>
  <c r="Y201" i="2" s="1"/>
  <c r="O207" i="2"/>
  <c r="D195" i="7"/>
  <c r="F195" i="2"/>
  <c r="F195" i="7" s="1"/>
  <c r="AD245" i="2"/>
  <c r="R207" i="2" l="1"/>
  <c r="I195" i="2"/>
  <c r="C196" i="2" s="1"/>
  <c r="X201" i="2"/>
  <c r="I195" i="7"/>
  <c r="C196" i="7" s="1"/>
  <c r="AE245" i="2"/>
  <c r="AH245" i="2" s="1"/>
  <c r="L208" i="2"/>
  <c r="AA201" i="2" l="1"/>
  <c r="U202" i="2" s="1"/>
  <c r="V202" i="2" s="1"/>
  <c r="Y202" i="2" s="1"/>
  <c r="G196" i="7"/>
  <c r="AG245" i="2"/>
  <c r="AJ245" i="2" s="1"/>
  <c r="AD246" i="2" s="1"/>
  <c r="AE246" i="2" s="1"/>
  <c r="AH246" i="2" s="1"/>
  <c r="D196" i="2"/>
  <c r="G196" i="2" s="1"/>
  <c r="M208" i="2"/>
  <c r="P208" i="2" s="1"/>
  <c r="X202" i="2" l="1"/>
  <c r="O208" i="2"/>
  <c r="R208" i="2" s="1"/>
  <c r="D196" i="7"/>
  <c r="F196" i="2"/>
  <c r="F196" i="7" s="1"/>
  <c r="AG246" i="2"/>
  <c r="AJ246" i="2" s="1"/>
  <c r="AA202" i="2" l="1"/>
  <c r="U203" i="2" s="1"/>
  <c r="V203" i="2" s="1"/>
  <c r="Y203" i="2" s="1"/>
  <c r="I196" i="2"/>
  <c r="C197" i="2"/>
  <c r="I196" i="7"/>
  <c r="C197" i="7" s="1"/>
  <c r="AD247" i="2"/>
  <c r="AE247" i="2" s="1"/>
  <c r="AH247" i="2" s="1"/>
  <c r="L209" i="2"/>
  <c r="G197" i="7" l="1"/>
  <c r="X203" i="2"/>
  <c r="D197" i="2"/>
  <c r="G197" i="2" s="1"/>
  <c r="AG247" i="2"/>
  <c r="AJ247" i="2" s="1"/>
  <c r="M209" i="2"/>
  <c r="P209" i="2" s="1"/>
  <c r="AA203" i="2" l="1"/>
  <c r="U204" i="2" s="1"/>
  <c r="V204" i="2" s="1"/>
  <c r="Y204" i="2" s="1"/>
  <c r="O209" i="2"/>
  <c r="D197" i="7"/>
  <c r="F197" i="2"/>
  <c r="F197" i="7" s="1"/>
  <c r="AD248" i="2"/>
  <c r="AE248" i="2" s="1"/>
  <c r="AH248" i="2" s="1"/>
  <c r="R209" i="2" l="1"/>
  <c r="L210" i="2" s="1"/>
  <c r="I197" i="2"/>
  <c r="X204" i="2"/>
  <c r="AA204" i="2" s="1"/>
  <c r="I197" i="7"/>
  <c r="C198" i="7" s="1"/>
  <c r="C198" i="2"/>
  <c r="AG248" i="2"/>
  <c r="AJ248" i="2" s="1"/>
  <c r="G198" i="7" l="1"/>
  <c r="U205" i="2"/>
  <c r="D198" i="2"/>
  <c r="G198" i="2" s="1"/>
  <c r="AD249" i="2"/>
  <c r="M210" i="2"/>
  <c r="P210" i="2" s="1"/>
  <c r="O210" i="2" l="1"/>
  <c r="R210" i="2" s="1"/>
  <c r="D198" i="7"/>
  <c r="V205" i="2"/>
  <c r="Y205" i="2" s="1"/>
  <c r="F198" i="2"/>
  <c r="F198" i="7" s="1"/>
  <c r="AE249" i="2"/>
  <c r="AH249" i="2" s="1"/>
  <c r="I198" i="2" l="1"/>
  <c r="C199" i="2" s="1"/>
  <c r="AG249" i="2"/>
  <c r="AJ249" i="2" s="1"/>
  <c r="AD250" i="2" s="1"/>
  <c r="AE250" i="2" s="1"/>
  <c r="AH250" i="2" s="1"/>
  <c r="X205" i="2"/>
  <c r="AA205" i="2" s="1"/>
  <c r="I198" i="7"/>
  <c r="C199" i="7" s="1"/>
  <c r="L211" i="2"/>
  <c r="G199" i="7" l="1"/>
  <c r="U206" i="2"/>
  <c r="D199" i="2"/>
  <c r="G199" i="2" s="1"/>
  <c r="AG250" i="2"/>
  <c r="AJ250" i="2" s="1"/>
  <c r="M211" i="2"/>
  <c r="P211" i="2" s="1"/>
  <c r="O211" i="2" l="1"/>
  <c r="R211" i="2" s="1"/>
  <c r="D199" i="7"/>
  <c r="V206" i="2"/>
  <c r="Y206" i="2" s="1"/>
  <c r="F199" i="2"/>
  <c r="F199" i="7" s="1"/>
  <c r="AD251" i="2"/>
  <c r="AE251" i="2" s="1"/>
  <c r="AH251" i="2" s="1"/>
  <c r="X206" i="2" l="1"/>
  <c r="I199" i="2"/>
  <c r="I199" i="7"/>
  <c r="C200" i="7" s="1"/>
  <c r="C200" i="2"/>
  <c r="AG251" i="2"/>
  <c r="AJ251" i="2" s="1"/>
  <c r="L212" i="2"/>
  <c r="AA206" i="2" l="1"/>
  <c r="U207" i="2" s="1"/>
  <c r="V207" i="2" s="1"/>
  <c r="Y207" i="2" s="1"/>
  <c r="G200" i="7"/>
  <c r="D200" i="2"/>
  <c r="G200" i="2" s="1"/>
  <c r="AD252" i="2"/>
  <c r="AE252" i="2" s="1"/>
  <c r="AH252" i="2" s="1"/>
  <c r="M212" i="2"/>
  <c r="P212" i="2" s="1"/>
  <c r="AG252" i="2" l="1"/>
  <c r="AJ252" i="2" s="1"/>
  <c r="AD253" i="2" s="1"/>
  <c r="AE253" i="2" s="1"/>
  <c r="AH253" i="2" s="1"/>
  <c r="O212" i="2"/>
  <c r="R212" i="2" s="1"/>
  <c r="D200" i="7"/>
  <c r="X207" i="2"/>
  <c r="AA207" i="2" s="1"/>
  <c r="F200" i="2"/>
  <c r="F200" i="7" s="1"/>
  <c r="I200" i="2" l="1"/>
  <c r="AG253" i="2"/>
  <c r="U208" i="2"/>
  <c r="C201" i="2"/>
  <c r="I200" i="7"/>
  <c r="C201" i="7" s="1"/>
  <c r="L213" i="2"/>
  <c r="G201" i="7" l="1"/>
  <c r="V208" i="2"/>
  <c r="Y208" i="2" s="1"/>
  <c r="D201" i="2"/>
  <c r="G201" i="2" s="1"/>
  <c r="M213" i="2"/>
  <c r="P213" i="2" s="1"/>
  <c r="AJ253" i="2"/>
  <c r="X208" i="2" l="1"/>
  <c r="O213" i="2"/>
  <c r="R213" i="2" s="1"/>
  <c r="D201" i="7"/>
  <c r="F201" i="2"/>
  <c r="F201" i="7" s="1"/>
  <c r="AD254" i="2"/>
  <c r="AE254" i="2" s="1"/>
  <c r="AH254" i="2" s="1"/>
  <c r="AA208" i="2" l="1"/>
  <c r="U209" i="2" s="1"/>
  <c r="V209" i="2" s="1"/>
  <c r="Y209" i="2" s="1"/>
  <c r="I201" i="2"/>
  <c r="C202" i="2"/>
  <c r="I201" i="7"/>
  <c r="C202" i="7" s="1"/>
  <c r="AG254" i="2"/>
  <c r="AJ254" i="2" s="1"/>
  <c r="L214" i="2"/>
  <c r="G202" i="7" l="1"/>
  <c r="X209" i="2"/>
  <c r="AA209" i="2" s="1"/>
  <c r="D202" i="2"/>
  <c r="G202" i="2" s="1"/>
  <c r="AD255" i="2"/>
  <c r="AE255" i="2" s="1"/>
  <c r="AH255" i="2" s="1"/>
  <c r="M214" i="2"/>
  <c r="P214" i="2" s="1"/>
  <c r="O214" i="2" l="1"/>
  <c r="D202" i="7"/>
  <c r="U210" i="2"/>
  <c r="F202" i="2"/>
  <c r="F202" i="7" s="1"/>
  <c r="AG255" i="2"/>
  <c r="AJ255" i="2" s="1"/>
  <c r="R214" i="2" l="1"/>
  <c r="I202" i="2"/>
  <c r="V210" i="2"/>
  <c r="Y210" i="2" s="1"/>
  <c r="I202" i="7"/>
  <c r="C203" i="7" s="1"/>
  <c r="C203" i="2"/>
  <c r="AD256" i="2"/>
  <c r="AE256" i="2" s="1"/>
  <c r="AH256" i="2" s="1"/>
  <c r="L215" i="2"/>
  <c r="G203" i="7" l="1"/>
  <c r="X210" i="2"/>
  <c r="AA210" i="2" s="1"/>
  <c r="D203" i="2"/>
  <c r="G203" i="2" s="1"/>
  <c r="AG256" i="2"/>
  <c r="M215" i="2"/>
  <c r="P215" i="2" s="1"/>
  <c r="O215" i="2" l="1"/>
  <c r="D203" i="7"/>
  <c r="U211" i="2"/>
  <c r="F203" i="2"/>
  <c r="F203" i="7" s="1"/>
  <c r="AJ256" i="2"/>
  <c r="R215" i="2" l="1"/>
  <c r="I203" i="2"/>
  <c r="V211" i="2"/>
  <c r="Y211" i="2" s="1"/>
  <c r="I203" i="7"/>
  <c r="C204" i="7" s="1"/>
  <c r="C204" i="2"/>
  <c r="AD257" i="2"/>
  <c r="AE257" i="2" s="1"/>
  <c r="AH257" i="2" s="1"/>
  <c r="L216" i="2"/>
  <c r="X211" i="2" l="1"/>
  <c r="AA211" i="2" s="1"/>
  <c r="U212" i="2" s="1"/>
  <c r="G204" i="7"/>
  <c r="D204" i="2"/>
  <c r="G204" i="2" s="1"/>
  <c r="AG257" i="2"/>
  <c r="AJ257" i="2" s="1"/>
  <c r="M216" i="2"/>
  <c r="P216" i="2" s="1"/>
  <c r="O216" i="2" l="1"/>
  <c r="D204" i="7"/>
  <c r="V212" i="2"/>
  <c r="Y212" i="2" s="1"/>
  <c r="F204" i="2"/>
  <c r="F204" i="7" s="1"/>
  <c r="AD258" i="2"/>
  <c r="AE258" i="2" s="1"/>
  <c r="AH258" i="2" s="1"/>
  <c r="R216" i="2" l="1"/>
  <c r="I204" i="2"/>
  <c r="C205" i="2" s="1"/>
  <c r="X212" i="2"/>
  <c r="AA212" i="2" s="1"/>
  <c r="I204" i="7"/>
  <c r="C205" i="7" s="1"/>
  <c r="AG258" i="2"/>
  <c r="AJ258" i="2" s="1"/>
  <c r="L217" i="2"/>
  <c r="G205" i="7" l="1"/>
  <c r="U213" i="2"/>
  <c r="D205" i="2"/>
  <c r="G205" i="2" s="1"/>
  <c r="AD259" i="2"/>
  <c r="AE259" i="2" s="1"/>
  <c r="AH259" i="2" s="1"/>
  <c r="M217" i="2"/>
  <c r="P217" i="2" s="1"/>
  <c r="AG259" i="2" l="1"/>
  <c r="O217" i="2"/>
  <c r="R217" i="2" s="1"/>
  <c r="D205" i="7"/>
  <c r="V213" i="2"/>
  <c r="Y213" i="2" s="1"/>
  <c r="F205" i="2"/>
  <c r="F205" i="7" s="1"/>
  <c r="I205" i="2" l="1"/>
  <c r="X213" i="2"/>
  <c r="C206" i="2"/>
  <c r="I205" i="7"/>
  <c r="C206" i="7" s="1"/>
  <c r="L218" i="2"/>
  <c r="AJ259" i="2"/>
  <c r="AA213" i="2" l="1"/>
  <c r="U214" i="2" s="1"/>
  <c r="V214" i="2" s="1"/>
  <c r="Y214" i="2" s="1"/>
  <c r="G206" i="7"/>
  <c r="D206" i="2"/>
  <c r="G206" i="2" s="1"/>
  <c r="AD260" i="2"/>
  <c r="AE260" i="2" s="1"/>
  <c r="AH260" i="2" s="1"/>
  <c r="M218" i="2"/>
  <c r="P218" i="2" s="1"/>
  <c r="X214" i="2" l="1"/>
  <c r="O218" i="2"/>
  <c r="R218" i="2" s="1"/>
  <c r="D206" i="7"/>
  <c r="F206" i="2"/>
  <c r="F206" i="7" s="1"/>
  <c r="AG260" i="2"/>
  <c r="AJ260" i="2" s="1"/>
  <c r="AA214" i="2" l="1"/>
  <c r="U215" i="2" s="1"/>
  <c r="V215" i="2" s="1"/>
  <c r="Y215" i="2" s="1"/>
  <c r="I206" i="2"/>
  <c r="C207" i="2" s="1"/>
  <c r="I206" i="7"/>
  <c r="C207" i="7" s="1"/>
  <c r="AD261" i="2"/>
  <c r="AE261" i="2" s="1"/>
  <c r="AH261" i="2" s="1"/>
  <c r="L219" i="2"/>
  <c r="X215" i="2" l="1"/>
  <c r="G207" i="7"/>
  <c r="D207" i="2"/>
  <c r="G207" i="2" s="1"/>
  <c r="AG261" i="2"/>
  <c r="AJ261" i="2" s="1"/>
  <c r="M219" i="2"/>
  <c r="P219" i="2" s="1"/>
  <c r="AA215" i="2" l="1"/>
  <c r="U216" i="2" s="1"/>
  <c r="V216" i="2" s="1"/>
  <c r="Y216" i="2" s="1"/>
  <c r="O219" i="2"/>
  <c r="R219" i="2" s="1"/>
  <c r="D207" i="7"/>
  <c r="F207" i="2"/>
  <c r="F207" i="7" s="1"/>
  <c r="AD262" i="2"/>
  <c r="AE262" i="2" s="1"/>
  <c r="AH262" i="2" s="1"/>
  <c r="I207" i="2" l="1"/>
  <c r="X216" i="2"/>
  <c r="AA216" i="2" s="1"/>
  <c r="I207" i="7"/>
  <c r="C208" i="7" s="1"/>
  <c r="C208" i="2"/>
  <c r="AG262" i="2"/>
  <c r="AJ262" i="2" s="1"/>
  <c r="L220" i="2"/>
  <c r="G208" i="7" l="1"/>
  <c r="U217" i="2"/>
  <c r="D208" i="2"/>
  <c r="G208" i="2" s="1"/>
  <c r="AD263" i="2"/>
  <c r="AE263" i="2" s="1"/>
  <c r="AH263" i="2" s="1"/>
  <c r="M220" i="2"/>
  <c r="P220" i="2" s="1"/>
  <c r="AG263" i="2" l="1"/>
  <c r="AJ263" i="2" s="1"/>
  <c r="O220" i="2"/>
  <c r="R220" i="2" s="1"/>
  <c r="D208" i="7"/>
  <c r="V217" i="2"/>
  <c r="Y217" i="2" s="1"/>
  <c r="F208" i="2"/>
  <c r="F208" i="7" s="1"/>
  <c r="I208" i="2" l="1"/>
  <c r="C209" i="2" s="1"/>
  <c r="X217" i="2"/>
  <c r="AA217" i="2" s="1"/>
  <c r="I208" i="7"/>
  <c r="C209" i="7" s="1"/>
  <c r="AD264" i="2"/>
  <c r="AE264" i="2" s="1"/>
  <c r="AH264" i="2" s="1"/>
  <c r="L221" i="2"/>
  <c r="G209" i="7" l="1"/>
  <c r="U218" i="2"/>
  <c r="D209" i="2"/>
  <c r="G209" i="2" s="1"/>
  <c r="AG264" i="2"/>
  <c r="AJ264" i="2" s="1"/>
  <c r="M221" i="2"/>
  <c r="P221" i="2" s="1"/>
  <c r="O221" i="2" l="1"/>
  <c r="R221" i="2" s="1"/>
  <c r="D209" i="7"/>
  <c r="V218" i="2"/>
  <c r="Y218" i="2" s="1"/>
  <c r="F209" i="2"/>
  <c r="F209" i="7" s="1"/>
  <c r="AD265" i="2"/>
  <c r="AE265" i="2" s="1"/>
  <c r="AH265" i="2" s="1"/>
  <c r="I209" i="2" l="1"/>
  <c r="X218" i="2"/>
  <c r="AA218" i="2" s="1"/>
  <c r="I209" i="7"/>
  <c r="C210" i="7" s="1"/>
  <c r="C210" i="2"/>
  <c r="AG265" i="2"/>
  <c r="AJ265" i="2" s="1"/>
  <c r="L222" i="2"/>
  <c r="G210" i="7" l="1"/>
  <c r="U219" i="2"/>
  <c r="D210" i="2"/>
  <c r="G210" i="2" s="1"/>
  <c r="AD266" i="2"/>
  <c r="M222" i="2"/>
  <c r="P222" i="2" s="1"/>
  <c r="O222" i="2" l="1"/>
  <c r="R222" i="2" s="1"/>
  <c r="D210" i="7"/>
  <c r="V219" i="2"/>
  <c r="Y219" i="2" s="1"/>
  <c r="F210" i="2"/>
  <c r="F210" i="7" s="1"/>
  <c r="AE266" i="2"/>
  <c r="AH266" i="2" s="1"/>
  <c r="I210" i="2" l="1"/>
  <c r="C211" i="2" s="1"/>
  <c r="AG266" i="2"/>
  <c r="AJ266" i="2" s="1"/>
  <c r="AD267" i="2" s="1"/>
  <c r="AE267" i="2" s="1"/>
  <c r="AH267" i="2" s="1"/>
  <c r="X219" i="2"/>
  <c r="AA219" i="2" s="1"/>
  <c r="I210" i="7"/>
  <c r="C211" i="7" s="1"/>
  <c r="L223" i="2"/>
  <c r="G211" i="7" l="1"/>
  <c r="AG267" i="2"/>
  <c r="U220" i="2"/>
  <c r="D211" i="2"/>
  <c r="G211" i="2" s="1"/>
  <c r="M223" i="2"/>
  <c r="P223" i="2" s="1"/>
  <c r="O223" i="2" l="1"/>
  <c r="D211" i="7"/>
  <c r="V220" i="2"/>
  <c r="Y220" i="2" s="1"/>
  <c r="F211" i="2"/>
  <c r="F211" i="7" s="1"/>
  <c r="AJ267" i="2"/>
  <c r="R223" i="2" l="1"/>
  <c r="I211" i="2"/>
  <c r="X220" i="2"/>
  <c r="AA220" i="2" s="1"/>
  <c r="C212" i="2"/>
  <c r="I211" i="7"/>
  <c r="C212" i="7" s="1"/>
  <c r="AD268" i="2"/>
  <c r="AE268" i="2" s="1"/>
  <c r="AH268" i="2" s="1"/>
  <c r="L224" i="2"/>
  <c r="G212" i="7" l="1"/>
  <c r="AG268" i="2"/>
  <c r="AJ268" i="2" s="1"/>
  <c r="U221" i="2"/>
  <c r="D212" i="2"/>
  <c r="G212" i="2" s="1"/>
  <c r="M224" i="2"/>
  <c r="P224" i="2" s="1"/>
  <c r="O224" i="2" l="1"/>
  <c r="D212" i="7"/>
  <c r="V221" i="2"/>
  <c r="Y221" i="2" s="1"/>
  <c r="F212" i="2"/>
  <c r="F212" i="7" s="1"/>
  <c r="AD269" i="2"/>
  <c r="AE269" i="2" s="1"/>
  <c r="AH269" i="2" s="1"/>
  <c r="R224" i="2" l="1"/>
  <c r="I212" i="2"/>
  <c r="X221" i="2"/>
  <c r="AA221" i="2" s="1"/>
  <c r="C213" i="2"/>
  <c r="I212" i="7"/>
  <c r="C213" i="7" s="1"/>
  <c r="AG269" i="2"/>
  <c r="AJ269" i="2" s="1"/>
  <c r="L225" i="2"/>
  <c r="G213" i="7" l="1"/>
  <c r="U222" i="2"/>
  <c r="D213" i="2"/>
  <c r="G213" i="2" s="1"/>
  <c r="AD270" i="2"/>
  <c r="AE270" i="2" s="1"/>
  <c r="AH270" i="2" s="1"/>
  <c r="M225" i="2"/>
  <c r="P225" i="2" s="1"/>
  <c r="O225" i="2" l="1"/>
  <c r="R225" i="2" s="1"/>
  <c r="D213" i="7"/>
  <c r="V222" i="2"/>
  <c r="Y222" i="2" s="1"/>
  <c r="F213" i="2"/>
  <c r="F213" i="7" s="1"/>
  <c r="AG270" i="2"/>
  <c r="AJ270" i="2" s="1"/>
  <c r="I213" i="2" l="1"/>
  <c r="X222" i="2"/>
  <c r="AA222" i="2" s="1"/>
  <c r="C214" i="2"/>
  <c r="I213" i="7"/>
  <c r="C214" i="7" s="1"/>
  <c r="AD271" i="2"/>
  <c r="AE271" i="2" s="1"/>
  <c r="AH271" i="2" s="1"/>
  <c r="L226" i="2"/>
  <c r="G214" i="7" l="1"/>
  <c r="U223" i="2"/>
  <c r="D214" i="2"/>
  <c r="G214" i="2" s="1"/>
  <c r="AG271" i="2"/>
  <c r="AJ271" i="2" s="1"/>
  <c r="M226" i="2"/>
  <c r="P226" i="2" s="1"/>
  <c r="O226" i="2" l="1"/>
  <c r="R226" i="2" s="1"/>
  <c r="D214" i="7"/>
  <c r="V223" i="2"/>
  <c r="Y223" i="2" s="1"/>
  <c r="F214" i="2"/>
  <c r="F214" i="7" s="1"/>
  <c r="AD272" i="2"/>
  <c r="AE272" i="2" s="1"/>
  <c r="AH272" i="2" s="1"/>
  <c r="I214" i="2" l="1"/>
  <c r="X223" i="2"/>
  <c r="AA223" i="2" s="1"/>
  <c r="I214" i="7"/>
  <c r="C215" i="7" s="1"/>
  <c r="C215" i="2"/>
  <c r="AG272" i="2"/>
  <c r="AJ272" i="2" s="1"/>
  <c r="L227" i="2"/>
  <c r="G215" i="7" l="1"/>
  <c r="U224" i="2"/>
  <c r="D215" i="2"/>
  <c r="G215" i="2" s="1"/>
  <c r="AD273" i="2"/>
  <c r="AE273" i="2" s="1"/>
  <c r="AH273" i="2" s="1"/>
  <c r="M227" i="2"/>
  <c r="P227" i="2" s="1"/>
  <c r="O227" i="2" l="1"/>
  <c r="R227" i="2" s="1"/>
  <c r="D215" i="7"/>
  <c r="V224" i="2"/>
  <c r="Y224" i="2" s="1"/>
  <c r="F215" i="2"/>
  <c r="F215" i="7" s="1"/>
  <c r="AG273" i="2"/>
  <c r="I215" i="2" l="1"/>
  <c r="X224" i="2"/>
  <c r="AA224" i="2" s="1"/>
  <c r="I215" i="7"/>
  <c r="C216" i="7" s="1"/>
  <c r="C216" i="2"/>
  <c r="L228" i="2"/>
  <c r="AJ273" i="2"/>
  <c r="G216" i="7" l="1"/>
  <c r="U225" i="2"/>
  <c r="D216" i="2"/>
  <c r="G216" i="2" s="1"/>
  <c r="AD274" i="2"/>
  <c r="AE274" i="2" s="1"/>
  <c r="AH274" i="2" s="1"/>
  <c r="M228" i="2"/>
  <c r="P228" i="2" s="1"/>
  <c r="AG274" i="2" l="1"/>
  <c r="O228" i="2"/>
  <c r="R228" i="2" s="1"/>
  <c r="D216" i="7"/>
  <c r="V225" i="2"/>
  <c r="Y225" i="2" s="1"/>
  <c r="F216" i="2"/>
  <c r="F216" i="7" s="1"/>
  <c r="I216" i="2" l="1"/>
  <c r="X225" i="2"/>
  <c r="AA225" i="2" s="1"/>
  <c r="I216" i="7"/>
  <c r="C217" i="7" s="1"/>
  <c r="C217" i="2"/>
  <c r="L229" i="2"/>
  <c r="AJ274" i="2"/>
  <c r="G217" i="7" l="1"/>
  <c r="U226" i="2"/>
  <c r="D217" i="2"/>
  <c r="G217" i="2" s="1"/>
  <c r="AD275" i="2"/>
  <c r="AE275" i="2" s="1"/>
  <c r="AH275" i="2" s="1"/>
  <c r="M229" i="2"/>
  <c r="P229" i="2" s="1"/>
  <c r="O229" i="2" l="1"/>
  <c r="R229" i="2" s="1"/>
  <c r="D217" i="7"/>
  <c r="V226" i="2"/>
  <c r="Y226" i="2" s="1"/>
  <c r="F217" i="2"/>
  <c r="F217" i="7" s="1"/>
  <c r="AG275" i="2"/>
  <c r="AJ275" i="2" s="1"/>
  <c r="I217" i="2" l="1"/>
  <c r="C218" i="2" s="1"/>
  <c r="X226" i="2"/>
  <c r="AA226" i="2" s="1"/>
  <c r="I217" i="7"/>
  <c r="C218" i="7" s="1"/>
  <c r="AD276" i="2"/>
  <c r="AE276" i="2" s="1"/>
  <c r="AH276" i="2" s="1"/>
  <c r="L230" i="2"/>
  <c r="G218" i="7" l="1"/>
  <c r="U227" i="2"/>
  <c r="D218" i="2"/>
  <c r="G218" i="2" s="1"/>
  <c r="AG276" i="2"/>
  <c r="AJ276" i="2" s="1"/>
  <c r="M230" i="2"/>
  <c r="P230" i="2" s="1"/>
  <c r="O230" i="2" l="1"/>
  <c r="D218" i="7"/>
  <c r="V227" i="2"/>
  <c r="Y227" i="2" s="1"/>
  <c r="F218" i="2"/>
  <c r="F218" i="7" s="1"/>
  <c r="AD277" i="2"/>
  <c r="AE277" i="2" s="1"/>
  <c r="AH277" i="2" s="1"/>
  <c r="R230" i="2" l="1"/>
  <c r="I218" i="2"/>
  <c r="X227" i="2"/>
  <c r="AA227" i="2" s="1"/>
  <c r="C219" i="2"/>
  <c r="I218" i="7"/>
  <c r="C219" i="7" s="1"/>
  <c r="AG277" i="2"/>
  <c r="AJ277" i="2" s="1"/>
  <c r="L231" i="2"/>
  <c r="G219" i="7" l="1"/>
  <c r="U228" i="2"/>
  <c r="D219" i="2"/>
  <c r="G219" i="2" s="1"/>
  <c r="AD278" i="2"/>
  <c r="AE278" i="2" s="1"/>
  <c r="AH278" i="2" s="1"/>
  <c r="M231" i="2"/>
  <c r="P231" i="2" s="1"/>
  <c r="O231" i="2" l="1"/>
  <c r="R231" i="2" s="1"/>
  <c r="D219" i="7"/>
  <c r="V228" i="2"/>
  <c r="Y228" i="2" s="1"/>
  <c r="F219" i="2"/>
  <c r="F219" i="7" s="1"/>
  <c r="AG278" i="2"/>
  <c r="AJ278" i="2" s="1"/>
  <c r="I219" i="2" l="1"/>
  <c r="X228" i="2"/>
  <c r="AA228" i="2" s="1"/>
  <c r="I219" i="7"/>
  <c r="C220" i="7" s="1"/>
  <c r="C220" i="2"/>
  <c r="AD279" i="2"/>
  <c r="AE279" i="2" s="1"/>
  <c r="AH279" i="2" s="1"/>
  <c r="L232" i="2"/>
  <c r="G220" i="7" l="1"/>
  <c r="AG279" i="2"/>
  <c r="AJ279" i="2" s="1"/>
  <c r="U229" i="2"/>
  <c r="D220" i="2"/>
  <c r="G220" i="2" s="1"/>
  <c r="M232" i="2"/>
  <c r="P232" i="2" s="1"/>
  <c r="O232" i="2" l="1"/>
  <c r="R232" i="2" s="1"/>
  <c r="D220" i="7"/>
  <c r="V229" i="2"/>
  <c r="Y229" i="2" s="1"/>
  <c r="F220" i="2"/>
  <c r="F220" i="7" s="1"/>
  <c r="AD280" i="2"/>
  <c r="AE280" i="2" s="1"/>
  <c r="AH280" i="2" s="1"/>
  <c r="I220" i="2" l="1"/>
  <c r="X229" i="2"/>
  <c r="AA229" i="2" s="1"/>
  <c r="I220" i="7"/>
  <c r="C221" i="7" s="1"/>
  <c r="C221" i="2"/>
  <c r="AG280" i="2"/>
  <c r="AJ280" i="2" s="1"/>
  <c r="L233" i="2"/>
  <c r="G221" i="7" l="1"/>
  <c r="U230" i="2"/>
  <c r="D221" i="2"/>
  <c r="G221" i="2" s="1"/>
  <c r="AD281" i="2"/>
  <c r="AE281" i="2" s="1"/>
  <c r="AH281" i="2" s="1"/>
  <c r="M233" i="2"/>
  <c r="P233" i="2" s="1"/>
  <c r="AG281" i="2" l="1"/>
  <c r="AJ281" i="2" s="1"/>
  <c r="O233" i="2"/>
  <c r="R233" i="2" s="1"/>
  <c r="D221" i="7"/>
  <c r="V230" i="2"/>
  <c r="Y230" i="2" s="1"/>
  <c r="F221" i="2"/>
  <c r="F221" i="7" s="1"/>
  <c r="I221" i="2" l="1"/>
  <c r="X230" i="2"/>
  <c r="AA230" i="2" s="1"/>
  <c r="C222" i="2"/>
  <c r="I221" i="7"/>
  <c r="C222" i="7" s="1"/>
  <c r="AD282" i="2"/>
  <c r="AE282" i="2" s="1"/>
  <c r="AH282" i="2" s="1"/>
  <c r="L234" i="2"/>
  <c r="G222" i="7" l="1"/>
  <c r="U231" i="2"/>
  <c r="D222" i="2"/>
  <c r="G222" i="2" s="1"/>
  <c r="AG282" i="2"/>
  <c r="AJ282" i="2" s="1"/>
  <c r="M234" i="2"/>
  <c r="P234" i="2" s="1"/>
  <c r="O234" i="2" l="1"/>
  <c r="D222" i="7"/>
  <c r="V231" i="2"/>
  <c r="Y231" i="2" s="1"/>
  <c r="F222" i="2"/>
  <c r="F222" i="7" s="1"/>
  <c r="AD283" i="2"/>
  <c r="R234" i="2" l="1"/>
  <c r="I222" i="2"/>
  <c r="X231" i="2"/>
  <c r="AA231" i="2" s="1"/>
  <c r="C223" i="2"/>
  <c r="I222" i="7"/>
  <c r="C223" i="7" s="1"/>
  <c r="AE283" i="2"/>
  <c r="AH283" i="2" s="1"/>
  <c r="L235" i="2"/>
  <c r="G223" i="7" l="1"/>
  <c r="AG283" i="2"/>
  <c r="AJ283" i="2" s="1"/>
  <c r="AD284" i="2" s="1"/>
  <c r="AE284" i="2" s="1"/>
  <c r="AH284" i="2" s="1"/>
  <c r="U232" i="2"/>
  <c r="D223" i="2"/>
  <c r="G223" i="2" s="1"/>
  <c r="M235" i="2"/>
  <c r="P235" i="2" s="1"/>
  <c r="AG284" i="2" l="1"/>
  <c r="AJ284" i="2" s="1"/>
  <c r="O235" i="2"/>
  <c r="R235" i="2" s="1"/>
  <c r="D223" i="7"/>
  <c r="V232" i="2"/>
  <c r="Y232" i="2" s="1"/>
  <c r="F223" i="2"/>
  <c r="F223" i="7" s="1"/>
  <c r="I223" i="2" l="1"/>
  <c r="X232" i="2"/>
  <c r="AA232" i="2" s="1"/>
  <c r="C224" i="2"/>
  <c r="I223" i="7"/>
  <c r="C224" i="7" s="1"/>
  <c r="AD285" i="2"/>
  <c r="AE285" i="2" s="1"/>
  <c r="AH285" i="2" s="1"/>
  <c r="L236" i="2"/>
  <c r="G224" i="7" l="1"/>
  <c r="U233" i="2"/>
  <c r="D224" i="2"/>
  <c r="G224" i="2" s="1"/>
  <c r="AG285" i="2"/>
  <c r="AJ285" i="2" s="1"/>
  <c r="M236" i="2"/>
  <c r="P236" i="2" s="1"/>
  <c r="O236" i="2" l="1"/>
  <c r="R236" i="2" s="1"/>
  <c r="D224" i="7"/>
  <c r="V233" i="2"/>
  <c r="Y233" i="2" s="1"/>
  <c r="F224" i="2"/>
  <c r="F224" i="7" s="1"/>
  <c r="AD286" i="2"/>
  <c r="AE286" i="2" s="1"/>
  <c r="AH286" i="2" s="1"/>
  <c r="I224" i="2" l="1"/>
  <c r="X233" i="2"/>
  <c r="I224" i="7"/>
  <c r="C225" i="7" s="1"/>
  <c r="C225" i="2"/>
  <c r="AG286" i="2"/>
  <c r="AJ286" i="2" s="1"/>
  <c r="L237" i="2"/>
  <c r="AA233" i="2" l="1"/>
  <c r="U234" i="2" s="1"/>
  <c r="V234" i="2" s="1"/>
  <c r="Y234" i="2" s="1"/>
  <c r="G225" i="7"/>
  <c r="D225" i="2"/>
  <c r="G225" i="2" s="1"/>
  <c r="AD287" i="2"/>
  <c r="AE287" i="2" s="1"/>
  <c r="AH287" i="2" s="1"/>
  <c r="M237" i="2"/>
  <c r="P237" i="2" s="1"/>
  <c r="X234" i="2" l="1"/>
  <c r="O237" i="2"/>
  <c r="D225" i="7"/>
  <c r="F225" i="2"/>
  <c r="F225" i="7" s="1"/>
  <c r="AG287" i="2"/>
  <c r="AJ287" i="2" s="1"/>
  <c r="R237" i="2" l="1"/>
  <c r="AA234" i="2"/>
  <c r="U235" i="2" s="1"/>
  <c r="V235" i="2" s="1"/>
  <c r="Y235" i="2" s="1"/>
  <c r="I225" i="2"/>
  <c r="C226" i="2"/>
  <c r="I225" i="7"/>
  <c r="C226" i="7" s="1"/>
  <c r="AD288" i="2"/>
  <c r="AE288" i="2" s="1"/>
  <c r="AH288" i="2" s="1"/>
  <c r="L238" i="2"/>
  <c r="G226" i="7" l="1"/>
  <c r="AG288" i="2"/>
  <c r="AJ288" i="2" s="1"/>
  <c r="X235" i="2"/>
  <c r="D226" i="2"/>
  <c r="G226" i="2" s="1"/>
  <c r="M238" i="2"/>
  <c r="P238" i="2" s="1"/>
  <c r="AA235" i="2" l="1"/>
  <c r="U236" i="2" s="1"/>
  <c r="O238" i="2"/>
  <c r="R238" i="2" s="1"/>
  <c r="D226" i="7"/>
  <c r="F226" i="2"/>
  <c r="F226" i="7" s="1"/>
  <c r="AD289" i="2"/>
  <c r="AE289" i="2" s="1"/>
  <c r="AH289" i="2" s="1"/>
  <c r="V236" i="2" l="1"/>
  <c r="Y236" i="2" s="1"/>
  <c r="I226" i="2"/>
  <c r="C227" i="2" s="1"/>
  <c r="I226" i="7"/>
  <c r="C227" i="7" s="1"/>
  <c r="AG289" i="2"/>
  <c r="AJ289" i="2" s="1"/>
  <c r="L239" i="2"/>
  <c r="X236" i="2" l="1"/>
  <c r="AA236" i="2" s="1"/>
  <c r="U237" i="2" s="1"/>
  <c r="G227" i="7"/>
  <c r="D227" i="2"/>
  <c r="G227" i="2" s="1"/>
  <c r="AD290" i="2"/>
  <c r="AE290" i="2" s="1"/>
  <c r="AH290" i="2" s="1"/>
  <c r="M239" i="2"/>
  <c r="P239" i="2" s="1"/>
  <c r="O239" i="2" l="1"/>
  <c r="R239" i="2" s="1"/>
  <c r="D227" i="7"/>
  <c r="V237" i="2"/>
  <c r="Y237" i="2" s="1"/>
  <c r="F227" i="2"/>
  <c r="F227" i="7" s="1"/>
  <c r="AG290" i="2"/>
  <c r="AJ290" i="2" s="1"/>
  <c r="I227" i="2" l="1"/>
  <c r="X237" i="2"/>
  <c r="AA237" i="2" s="1"/>
  <c r="C228" i="2"/>
  <c r="I227" i="7"/>
  <c r="C228" i="7" s="1"/>
  <c r="AD291" i="2"/>
  <c r="L240" i="2"/>
  <c r="G228" i="7" l="1"/>
  <c r="U238" i="2"/>
  <c r="D228" i="2"/>
  <c r="G228" i="2" s="1"/>
  <c r="AE291" i="2"/>
  <c r="AH291" i="2" s="1"/>
  <c r="M240" i="2"/>
  <c r="P240" i="2" s="1"/>
  <c r="AG291" i="2" l="1"/>
  <c r="AJ291" i="2" s="1"/>
  <c r="AD292" i="2" s="1"/>
  <c r="AE292" i="2" s="1"/>
  <c r="AH292" i="2" s="1"/>
  <c r="O240" i="2"/>
  <c r="R240" i="2" s="1"/>
  <c r="D228" i="7"/>
  <c r="V238" i="2"/>
  <c r="Y238" i="2" s="1"/>
  <c r="F228" i="2"/>
  <c r="F228" i="7" s="1"/>
  <c r="I228" i="2" l="1"/>
  <c r="C229" i="2" s="1"/>
  <c r="X238" i="2"/>
  <c r="AA238" i="2" s="1"/>
  <c r="I228" i="7"/>
  <c r="C229" i="7" s="1"/>
  <c r="AG292" i="2"/>
  <c r="AJ292" i="2" s="1"/>
  <c r="L241" i="2"/>
  <c r="G229" i="7" l="1"/>
  <c r="U239" i="2"/>
  <c r="D229" i="2"/>
  <c r="G229" i="2" s="1"/>
  <c r="AD293" i="2"/>
  <c r="AE293" i="2" s="1"/>
  <c r="AH293" i="2" s="1"/>
  <c r="M241" i="2"/>
  <c r="P241" i="2" s="1"/>
  <c r="AG293" i="2" l="1"/>
  <c r="AJ293" i="2" s="1"/>
  <c r="O241" i="2"/>
  <c r="R241" i="2" s="1"/>
  <c r="D229" i="7"/>
  <c r="V239" i="2"/>
  <c r="Y239" i="2" s="1"/>
  <c r="F229" i="2"/>
  <c r="F229" i="7" s="1"/>
  <c r="I229" i="2" l="1"/>
  <c r="X239" i="2"/>
  <c r="AA239" i="2" s="1"/>
  <c r="C230" i="2"/>
  <c r="I229" i="7"/>
  <c r="C230" i="7" s="1"/>
  <c r="AD294" i="2"/>
  <c r="AE294" i="2" s="1"/>
  <c r="AH294" i="2" s="1"/>
  <c r="L242" i="2"/>
  <c r="G230" i="7" l="1"/>
  <c r="U240" i="2"/>
  <c r="D230" i="2"/>
  <c r="G230" i="2" s="1"/>
  <c r="AG294" i="2"/>
  <c r="AJ294" i="2" s="1"/>
  <c r="M242" i="2"/>
  <c r="P242" i="2" s="1"/>
  <c r="O242" i="2" l="1"/>
  <c r="D230" i="7"/>
  <c r="V240" i="2"/>
  <c r="Y240" i="2" s="1"/>
  <c r="F230" i="2"/>
  <c r="F230" i="7" s="1"/>
  <c r="AD295" i="2"/>
  <c r="AE295" i="2" s="1"/>
  <c r="AH295" i="2" s="1"/>
  <c r="R242" i="2" l="1"/>
  <c r="I230" i="2"/>
  <c r="C231" i="2" s="1"/>
  <c r="X240" i="2"/>
  <c r="AA240" i="2" s="1"/>
  <c r="I230" i="7"/>
  <c r="C231" i="7" s="1"/>
  <c r="AG295" i="2"/>
  <c r="AJ295" i="2" s="1"/>
  <c r="L243" i="2"/>
  <c r="G231" i="7" l="1"/>
  <c r="U241" i="2"/>
  <c r="D231" i="2"/>
  <c r="G231" i="2" s="1"/>
  <c r="AD296" i="2"/>
  <c r="M243" i="2"/>
  <c r="P243" i="2" s="1"/>
  <c r="O243" i="2" l="1"/>
  <c r="R243" i="2" s="1"/>
  <c r="D231" i="7"/>
  <c r="V241" i="2"/>
  <c r="Y241" i="2" s="1"/>
  <c r="F231" i="2"/>
  <c r="F231" i="7" s="1"/>
  <c r="AE296" i="2"/>
  <c r="AH296" i="2" s="1"/>
  <c r="I231" i="2" l="1"/>
  <c r="AG296" i="2"/>
  <c r="AJ296" i="2" s="1"/>
  <c r="X241" i="2"/>
  <c r="AA241" i="2" s="1"/>
  <c r="I231" i="7"/>
  <c r="C232" i="7" s="1"/>
  <c r="C232" i="2"/>
  <c r="L244" i="2"/>
  <c r="G232" i="7" l="1"/>
  <c r="U242" i="2"/>
  <c r="D232" i="2"/>
  <c r="G232" i="2" s="1"/>
  <c r="AD297" i="2"/>
  <c r="AE297" i="2" s="1"/>
  <c r="AH297" i="2" s="1"/>
  <c r="M244" i="2"/>
  <c r="P244" i="2" s="1"/>
  <c r="AG297" i="2" l="1"/>
  <c r="AJ297" i="2" s="1"/>
  <c r="O244" i="2"/>
  <c r="R244" i="2" s="1"/>
  <c r="D232" i="7"/>
  <c r="V242" i="2"/>
  <c r="Y242" i="2" s="1"/>
  <c r="F232" i="2"/>
  <c r="F232" i="7" s="1"/>
  <c r="I232" i="2" l="1"/>
  <c r="X242" i="2"/>
  <c r="AA242" i="2" s="1"/>
  <c r="I232" i="7"/>
  <c r="C233" i="7" s="1"/>
  <c r="C233" i="2"/>
  <c r="AD298" i="2"/>
  <c r="L245" i="2"/>
  <c r="G233" i="7" l="1"/>
  <c r="U243" i="2"/>
  <c r="D233" i="2"/>
  <c r="G233" i="2" s="1"/>
  <c r="AE298" i="2"/>
  <c r="AH298" i="2" s="1"/>
  <c r="M245" i="2"/>
  <c r="P245" i="2" s="1"/>
  <c r="AG298" i="2" l="1"/>
  <c r="AJ298" i="2" s="1"/>
  <c r="O245" i="2"/>
  <c r="R245" i="2" s="1"/>
  <c r="D233" i="7"/>
  <c r="V243" i="2"/>
  <c r="Y243" i="2" s="1"/>
  <c r="F233" i="2"/>
  <c r="F233" i="7" s="1"/>
  <c r="I233" i="2" l="1"/>
  <c r="X243" i="2"/>
  <c r="AA243" i="2" s="1"/>
  <c r="C234" i="2"/>
  <c r="I233" i="7"/>
  <c r="C234" i="7" s="1"/>
  <c r="AD299" i="2"/>
  <c r="AE299" i="2" s="1"/>
  <c r="AH299" i="2" s="1"/>
  <c r="L246" i="2"/>
  <c r="G234" i="7" l="1"/>
  <c r="U244" i="2"/>
  <c r="D234" i="2"/>
  <c r="G234" i="2" s="1"/>
  <c r="AG299" i="2"/>
  <c r="AJ299" i="2" s="1"/>
  <c r="M246" i="2"/>
  <c r="P246" i="2" s="1"/>
  <c r="O246" i="2" l="1"/>
  <c r="R246" i="2" s="1"/>
  <c r="D234" i="7"/>
  <c r="V244" i="2"/>
  <c r="Y244" i="2" s="1"/>
  <c r="F234" i="2"/>
  <c r="F234" i="7" s="1"/>
  <c r="AD300" i="2"/>
  <c r="AE300" i="2" s="1"/>
  <c r="AH300" i="2" s="1"/>
  <c r="I234" i="2" l="1"/>
  <c r="C235" i="2" s="1"/>
  <c r="X244" i="2"/>
  <c r="AA244" i="2" s="1"/>
  <c r="I234" i="7"/>
  <c r="C235" i="7" s="1"/>
  <c r="AG300" i="2"/>
  <c r="AJ300" i="2" s="1"/>
  <c r="L247" i="2"/>
  <c r="G235" i="7" l="1"/>
  <c r="U245" i="2"/>
  <c r="D235" i="2"/>
  <c r="G235" i="2" s="1"/>
  <c r="AD301" i="2"/>
  <c r="AE301" i="2" s="1"/>
  <c r="AH301" i="2" s="1"/>
  <c r="M247" i="2"/>
  <c r="P247" i="2" s="1"/>
  <c r="O247" i="2" l="1"/>
  <c r="R247" i="2" s="1"/>
  <c r="D235" i="7"/>
  <c r="V245" i="2"/>
  <c r="Y245" i="2" s="1"/>
  <c r="F235" i="2"/>
  <c r="F235" i="7" s="1"/>
  <c r="AG301" i="2"/>
  <c r="AJ301" i="2" s="1"/>
  <c r="I235" i="2" l="1"/>
  <c r="X245" i="2"/>
  <c r="AA245" i="2" s="1"/>
  <c r="C236" i="2"/>
  <c r="I235" i="7"/>
  <c r="C236" i="7" s="1"/>
  <c r="AD302" i="2"/>
  <c r="AE302" i="2" s="1"/>
  <c r="AH302" i="2" s="1"/>
  <c r="L248" i="2"/>
  <c r="G236" i="7" l="1"/>
  <c r="U246" i="2"/>
  <c r="D236" i="2"/>
  <c r="G236" i="2" s="1"/>
  <c r="AG302" i="2"/>
  <c r="AJ302" i="2" s="1"/>
  <c r="M248" i="2"/>
  <c r="P248" i="2" s="1"/>
  <c r="O248" i="2" l="1"/>
  <c r="R248" i="2" s="1"/>
  <c r="D236" i="7"/>
  <c r="V246" i="2"/>
  <c r="Y246" i="2" s="1"/>
  <c r="F236" i="2"/>
  <c r="F236" i="7" s="1"/>
  <c r="AD303" i="2"/>
  <c r="AE303" i="2" s="1"/>
  <c r="AH303" i="2" s="1"/>
  <c r="I236" i="2" l="1"/>
  <c r="X246" i="2"/>
  <c r="AA246" i="2" s="1"/>
  <c r="I236" i="7"/>
  <c r="C237" i="7" s="1"/>
  <c r="C237" i="2"/>
  <c r="AG303" i="2"/>
  <c r="L249" i="2"/>
  <c r="G237" i="7" l="1"/>
  <c r="U247" i="2"/>
  <c r="D237" i="2"/>
  <c r="G237" i="2" s="1"/>
  <c r="M249" i="2"/>
  <c r="P249" i="2" s="1"/>
  <c r="AJ303" i="2"/>
  <c r="O249" i="2" l="1"/>
  <c r="R249" i="2" s="1"/>
  <c r="D237" i="7"/>
  <c r="V247" i="2"/>
  <c r="Y247" i="2" s="1"/>
  <c r="F237" i="2"/>
  <c r="F237" i="7" s="1"/>
  <c r="AD304" i="2"/>
  <c r="AE304" i="2" s="1"/>
  <c r="AH304" i="2" s="1"/>
  <c r="I237" i="2" l="1"/>
  <c r="C238" i="2" s="1"/>
  <c r="X247" i="2"/>
  <c r="AA247" i="2" s="1"/>
  <c r="I237" i="7"/>
  <c r="C238" i="7" s="1"/>
  <c r="AG304" i="2"/>
  <c r="AJ304" i="2" s="1"/>
  <c r="L250" i="2"/>
  <c r="G238" i="7" l="1"/>
  <c r="U248" i="2"/>
  <c r="D238" i="2"/>
  <c r="G238" i="2" s="1"/>
  <c r="AD305" i="2"/>
  <c r="AE305" i="2" s="1"/>
  <c r="AH305" i="2" s="1"/>
  <c r="M250" i="2"/>
  <c r="P250" i="2" s="1"/>
  <c r="O250" i="2" l="1"/>
  <c r="R250" i="2" s="1"/>
  <c r="D238" i="7"/>
  <c r="V248" i="2"/>
  <c r="Y248" i="2" s="1"/>
  <c r="F238" i="2"/>
  <c r="F238" i="7" s="1"/>
  <c r="AG305" i="2"/>
  <c r="I238" i="2" l="1"/>
  <c r="C239" i="2" s="1"/>
  <c r="X248" i="2"/>
  <c r="AA248" i="2" s="1"/>
  <c r="I238" i="7"/>
  <c r="C239" i="7" s="1"/>
  <c r="L251" i="2"/>
  <c r="AJ305" i="2"/>
  <c r="G239" i="7" l="1"/>
  <c r="U249" i="2"/>
  <c r="D239" i="2"/>
  <c r="G239" i="2" s="1"/>
  <c r="AD306" i="2"/>
  <c r="AE306" i="2" s="1"/>
  <c r="AH306" i="2" s="1"/>
  <c r="M251" i="2"/>
  <c r="P251" i="2" s="1"/>
  <c r="O251" i="2" l="1"/>
  <c r="R251" i="2" s="1"/>
  <c r="D239" i="7"/>
  <c r="V249" i="2"/>
  <c r="Y249" i="2" s="1"/>
  <c r="F239" i="2"/>
  <c r="F239" i="7" s="1"/>
  <c r="AG306" i="2"/>
  <c r="AJ306" i="2" s="1"/>
  <c r="I239" i="2" l="1"/>
  <c r="X249" i="2"/>
  <c r="AA249" i="2" s="1"/>
  <c r="I239" i="7"/>
  <c r="C240" i="7" s="1"/>
  <c r="C240" i="2"/>
  <c r="AD307" i="2"/>
  <c r="AE307" i="2" s="1"/>
  <c r="AH307" i="2" s="1"/>
  <c r="L252" i="2"/>
  <c r="G240" i="7" l="1"/>
  <c r="AG307" i="2"/>
  <c r="AJ307" i="2" s="1"/>
  <c r="U250" i="2"/>
  <c r="D240" i="2"/>
  <c r="G240" i="2" s="1"/>
  <c r="M252" i="2"/>
  <c r="P252" i="2" s="1"/>
  <c r="O252" i="2"/>
  <c r="R252" i="2" l="1"/>
  <c r="D240" i="7"/>
  <c r="V250" i="2"/>
  <c r="Y250" i="2" s="1"/>
  <c r="F240" i="2"/>
  <c r="F240" i="7" s="1"/>
  <c r="AD308" i="2"/>
  <c r="AE308" i="2" s="1"/>
  <c r="AH308" i="2" s="1"/>
  <c r="X250" i="2" l="1"/>
  <c r="I240" i="2"/>
  <c r="C241" i="2" s="1"/>
  <c r="I240" i="7"/>
  <c r="C241" i="7" s="1"/>
  <c r="AG308" i="2"/>
  <c r="AJ308" i="2" s="1"/>
  <c r="L253" i="2"/>
  <c r="AA250" i="2" l="1"/>
  <c r="U251" i="2" s="1"/>
  <c r="V251" i="2" s="1"/>
  <c r="Y251" i="2" s="1"/>
  <c r="G241" i="7"/>
  <c r="D241" i="2"/>
  <c r="G241" i="2" s="1"/>
  <c r="AD309" i="2"/>
  <c r="AE309" i="2" s="1"/>
  <c r="AH309" i="2" s="1"/>
  <c r="M253" i="2"/>
  <c r="P253" i="2" s="1"/>
  <c r="X251" i="2" l="1"/>
  <c r="O253" i="2"/>
  <c r="R253" i="2" s="1"/>
  <c r="D241" i="7"/>
  <c r="F241" i="2"/>
  <c r="F241" i="7" s="1"/>
  <c r="AG309" i="2"/>
  <c r="AA251" i="2" l="1"/>
  <c r="U252" i="2" s="1"/>
  <c r="I241" i="2"/>
  <c r="C242" i="2" s="1"/>
  <c r="I241" i="7"/>
  <c r="C242" i="7" s="1"/>
  <c r="L254" i="2"/>
  <c r="AJ309" i="2"/>
  <c r="V252" i="2" l="1"/>
  <c r="Y252" i="2" s="1"/>
  <c r="G242" i="7"/>
  <c r="D242" i="2"/>
  <c r="G242" i="2" s="1"/>
  <c r="AD310" i="2"/>
  <c r="AE310" i="2" s="1"/>
  <c r="AH310" i="2" s="1"/>
  <c r="M254" i="2"/>
  <c r="P254" i="2" s="1"/>
  <c r="X252" i="2" l="1"/>
  <c r="AA252" i="2" s="1"/>
  <c r="U253" i="2" s="1"/>
  <c r="AG310" i="2"/>
  <c r="AJ310" i="2" s="1"/>
  <c r="O254" i="2"/>
  <c r="R254" i="2" s="1"/>
  <c r="D242" i="7"/>
  <c r="F242" i="2"/>
  <c r="F242" i="7" s="1"/>
  <c r="I242" i="2" l="1"/>
  <c r="V253" i="2"/>
  <c r="Y253" i="2" s="1"/>
  <c r="I242" i="7"/>
  <c r="C243" i="7" s="1"/>
  <c r="C243" i="2"/>
  <c r="AD311" i="2"/>
  <c r="AE311" i="2" s="1"/>
  <c r="AH311" i="2" s="1"/>
  <c r="L255" i="2"/>
  <c r="G243" i="7" l="1"/>
  <c r="X253" i="2"/>
  <c r="AA253" i="2" s="1"/>
  <c r="D243" i="2"/>
  <c r="G243" i="2" s="1"/>
  <c r="AG311" i="2"/>
  <c r="AJ311" i="2" s="1"/>
  <c r="M255" i="2"/>
  <c r="P255" i="2" s="1"/>
  <c r="O255" i="2" l="1"/>
  <c r="R255" i="2" s="1"/>
  <c r="D243" i="7"/>
  <c r="U254" i="2"/>
  <c r="F243" i="2"/>
  <c r="F243" i="7" s="1"/>
  <c r="AD312" i="2"/>
  <c r="AE312" i="2" s="1"/>
  <c r="AH312" i="2" s="1"/>
  <c r="I243" i="2" l="1"/>
  <c r="C244" i="2" s="1"/>
  <c r="AG312" i="2"/>
  <c r="AJ312" i="2" s="1"/>
  <c r="V254" i="2"/>
  <c r="Y254" i="2" s="1"/>
  <c r="I243" i="7"/>
  <c r="C244" i="7" s="1"/>
  <c r="L256" i="2"/>
  <c r="G244" i="7" l="1"/>
  <c r="X254" i="2"/>
  <c r="AA254" i="2" s="1"/>
  <c r="D244" i="2"/>
  <c r="G244" i="2" s="1"/>
  <c r="AD313" i="2"/>
  <c r="AE313" i="2" s="1"/>
  <c r="AH313" i="2" s="1"/>
  <c r="M256" i="2"/>
  <c r="P256" i="2" s="1"/>
  <c r="O256" i="2" l="1"/>
  <c r="R256" i="2" s="1"/>
  <c r="D244" i="7"/>
  <c r="U255" i="2"/>
  <c r="F244" i="2"/>
  <c r="F244" i="7" s="1"/>
  <c r="AG313" i="2"/>
  <c r="AJ313" i="2" s="1"/>
  <c r="I244" i="2" l="1"/>
  <c r="V255" i="2"/>
  <c r="Y255" i="2" s="1"/>
  <c r="I244" i="7"/>
  <c r="C245" i="7" s="1"/>
  <c r="C245" i="2"/>
  <c r="AD314" i="2"/>
  <c r="AE314" i="2" s="1"/>
  <c r="AH314" i="2" s="1"/>
  <c r="L257" i="2"/>
  <c r="G245" i="7" l="1"/>
  <c r="X255" i="2"/>
  <c r="D245" i="2"/>
  <c r="G245" i="2" s="1"/>
  <c r="AG314" i="2"/>
  <c r="AJ314" i="2" s="1"/>
  <c r="M257" i="2"/>
  <c r="P257" i="2" s="1"/>
  <c r="AA255" i="2" l="1"/>
  <c r="U256" i="2" s="1"/>
  <c r="V256" i="2" s="1"/>
  <c r="Y256" i="2" s="1"/>
  <c r="O257" i="2"/>
  <c r="R257" i="2" s="1"/>
  <c r="D245" i="7"/>
  <c r="F245" i="2"/>
  <c r="F245" i="7" s="1"/>
  <c r="AD315" i="2"/>
  <c r="I245" i="2" l="1"/>
  <c r="X256" i="2"/>
  <c r="C246" i="2"/>
  <c r="I245" i="7"/>
  <c r="C246" i="7" s="1"/>
  <c r="AE315" i="2"/>
  <c r="AH315" i="2" s="1"/>
  <c r="L258" i="2"/>
  <c r="AA256" i="2" l="1"/>
  <c r="U257" i="2" s="1"/>
  <c r="V257" i="2" s="1"/>
  <c r="Y257" i="2" s="1"/>
  <c r="G246" i="7"/>
  <c r="AG315" i="2"/>
  <c r="AJ315" i="2" s="1"/>
  <c r="AD316" i="2" s="1"/>
  <c r="AE316" i="2" s="1"/>
  <c r="AH316" i="2" s="1"/>
  <c r="D246" i="2"/>
  <c r="G246" i="2" s="1"/>
  <c r="M258" i="2"/>
  <c r="P258" i="2" s="1"/>
  <c r="O258" i="2" l="1"/>
  <c r="R258" i="2" s="1"/>
  <c r="D246" i="7"/>
  <c r="X257" i="2"/>
  <c r="AA257" i="2" s="1"/>
  <c r="F246" i="2"/>
  <c r="F246" i="7" s="1"/>
  <c r="AG316" i="2"/>
  <c r="AJ316" i="2" s="1"/>
  <c r="I246" i="2" l="1"/>
  <c r="C247" i="2" s="1"/>
  <c r="U258" i="2"/>
  <c r="I246" i="7"/>
  <c r="C247" i="7" s="1"/>
  <c r="AD317" i="2"/>
  <c r="AE317" i="2" s="1"/>
  <c r="AH317" i="2" s="1"/>
  <c r="L259" i="2"/>
  <c r="G247" i="7" l="1"/>
  <c r="V258" i="2"/>
  <c r="Y258" i="2" s="1"/>
  <c r="D247" i="2"/>
  <c r="G247" i="2" s="1"/>
  <c r="AG317" i="2"/>
  <c r="M259" i="2"/>
  <c r="P259" i="2" s="1"/>
  <c r="O259" i="2" l="1"/>
  <c r="R259" i="2" s="1"/>
  <c r="D247" i="7"/>
  <c r="X258" i="2"/>
  <c r="AA258" i="2" s="1"/>
  <c r="F247" i="2"/>
  <c r="F247" i="7" s="1"/>
  <c r="AJ317" i="2"/>
  <c r="I247" i="2" l="1"/>
  <c r="U259" i="2"/>
  <c r="C248" i="2"/>
  <c r="I247" i="7"/>
  <c r="C248" i="7" s="1"/>
  <c r="AD318" i="2"/>
  <c r="AE318" i="2" s="1"/>
  <c r="AH318" i="2" s="1"/>
  <c r="L260" i="2"/>
  <c r="G248" i="7" l="1"/>
  <c r="V259" i="2"/>
  <c r="Y259" i="2" s="1"/>
  <c r="D248" i="2"/>
  <c r="G248" i="2" s="1"/>
  <c r="AG318" i="2"/>
  <c r="AJ318" i="2" s="1"/>
  <c r="M260" i="2"/>
  <c r="P260" i="2" s="1"/>
  <c r="O260" i="2" l="1"/>
  <c r="R260" i="2" s="1"/>
  <c r="D248" i="7"/>
  <c r="X259" i="2"/>
  <c r="AA259" i="2" s="1"/>
  <c r="F248" i="2"/>
  <c r="F248" i="7" s="1"/>
  <c r="AD319" i="2"/>
  <c r="AE319" i="2" s="1"/>
  <c r="AH319" i="2" s="1"/>
  <c r="I248" i="2" l="1"/>
  <c r="AG319" i="2"/>
  <c r="AJ319" i="2" s="1"/>
  <c r="U260" i="2"/>
  <c r="I248" i="7"/>
  <c r="C249" i="7" s="1"/>
  <c r="C249" i="2"/>
  <c r="L261" i="2"/>
  <c r="G249" i="7" l="1"/>
  <c r="V260" i="2"/>
  <c r="Y260" i="2" s="1"/>
  <c r="D249" i="2"/>
  <c r="G249" i="2" s="1"/>
  <c r="AD320" i="2"/>
  <c r="AE320" i="2" s="1"/>
  <c r="AH320" i="2" s="1"/>
  <c r="M261" i="2"/>
  <c r="P261" i="2" s="1"/>
  <c r="AG320" i="2" l="1"/>
  <c r="AJ320" i="2" s="1"/>
  <c r="O261" i="2"/>
  <c r="R261" i="2" s="1"/>
  <c r="D249" i="7"/>
  <c r="X260" i="2"/>
  <c r="AA260" i="2" s="1"/>
  <c r="F249" i="2"/>
  <c r="F249" i="7" s="1"/>
  <c r="I249" i="2" l="1"/>
  <c r="C250" i="2" s="1"/>
  <c r="U261" i="2"/>
  <c r="I249" i="7"/>
  <c r="C250" i="7" s="1"/>
  <c r="AD321" i="2"/>
  <c r="AE321" i="2" s="1"/>
  <c r="AH321" i="2" s="1"/>
  <c r="L262" i="2"/>
  <c r="G250" i="7" l="1"/>
  <c r="V261" i="2"/>
  <c r="Y261" i="2" s="1"/>
  <c r="D250" i="2"/>
  <c r="G250" i="2" s="1"/>
  <c r="AG321" i="2"/>
  <c r="AJ321" i="2" s="1"/>
  <c r="M262" i="2"/>
  <c r="P262" i="2" s="1"/>
  <c r="O262" i="2" l="1"/>
  <c r="R262" i="2" s="1"/>
  <c r="D250" i="7"/>
  <c r="X261" i="2"/>
  <c r="AA261" i="2" s="1"/>
  <c r="F250" i="2"/>
  <c r="F250" i="7" s="1"/>
  <c r="AD322" i="2"/>
  <c r="I250" i="2" l="1"/>
  <c r="U262" i="2"/>
  <c r="C251" i="2"/>
  <c r="I250" i="7"/>
  <c r="C251" i="7" s="1"/>
  <c r="AE322" i="2"/>
  <c r="AH322" i="2" s="1"/>
  <c r="L263" i="2"/>
  <c r="G251" i="7" l="1"/>
  <c r="AG322" i="2"/>
  <c r="AJ322" i="2" s="1"/>
  <c r="AD323" i="2" s="1"/>
  <c r="AE323" i="2" s="1"/>
  <c r="AH323" i="2" s="1"/>
  <c r="V262" i="2"/>
  <c r="Y262" i="2" s="1"/>
  <c r="D251" i="2"/>
  <c r="G251" i="2" s="1"/>
  <c r="M263" i="2"/>
  <c r="P263" i="2" s="1"/>
  <c r="O263" i="2" l="1"/>
  <c r="R263" i="2" s="1"/>
  <c r="D251" i="7"/>
  <c r="X262" i="2"/>
  <c r="AA262" i="2" s="1"/>
  <c r="F251" i="2"/>
  <c r="F251" i="7" s="1"/>
  <c r="AG323" i="2"/>
  <c r="AJ323" i="2" s="1"/>
  <c r="I251" i="2" l="1"/>
  <c r="U263" i="2"/>
  <c r="I251" i="7"/>
  <c r="C252" i="7" s="1"/>
  <c r="C252" i="2"/>
  <c r="AD324" i="2"/>
  <c r="AE324" i="2" s="1"/>
  <c r="AH324" i="2" s="1"/>
  <c r="L264" i="2"/>
  <c r="G252" i="7" l="1"/>
  <c r="V263" i="2"/>
  <c r="Y263" i="2" s="1"/>
  <c r="D252" i="2"/>
  <c r="G252" i="2" s="1"/>
  <c r="AG324" i="2"/>
  <c r="AJ324" i="2" s="1"/>
  <c r="M264" i="2"/>
  <c r="P264" i="2" s="1"/>
  <c r="O264" i="2"/>
  <c r="R264" i="2" l="1"/>
  <c r="X263" i="2"/>
  <c r="D252" i="7"/>
  <c r="F252" i="2"/>
  <c r="F252" i="7" s="1"/>
  <c r="AD325" i="2"/>
  <c r="AE325" i="2" s="1"/>
  <c r="AH325" i="2" s="1"/>
  <c r="AA263" i="2" l="1"/>
  <c r="U264" i="2" s="1"/>
  <c r="V264" i="2" s="1"/>
  <c r="Y264" i="2" s="1"/>
  <c r="I252" i="2"/>
  <c r="C253" i="2" s="1"/>
  <c r="AG325" i="2"/>
  <c r="I252" i="7"/>
  <c r="C253" i="7" s="1"/>
  <c r="L265" i="2"/>
  <c r="G253" i="7" l="1"/>
  <c r="X264" i="2"/>
  <c r="AA264" i="2" s="1"/>
  <c r="D253" i="2"/>
  <c r="G253" i="2" s="1"/>
  <c r="M265" i="2"/>
  <c r="P265" i="2" s="1"/>
  <c r="AJ325" i="2"/>
  <c r="O265" i="2" l="1"/>
  <c r="R265" i="2" s="1"/>
  <c r="D253" i="7"/>
  <c r="U265" i="2"/>
  <c r="F253" i="2"/>
  <c r="F253" i="7" s="1"/>
  <c r="AD326" i="2"/>
  <c r="AE326" i="2" s="1"/>
  <c r="AH326" i="2" s="1"/>
  <c r="I253" i="2" l="1"/>
  <c r="C254" i="2" s="1"/>
  <c r="V265" i="2"/>
  <c r="Y265" i="2" s="1"/>
  <c r="I253" i="7"/>
  <c r="C254" i="7" s="1"/>
  <c r="AG326" i="2"/>
  <c r="AJ326" i="2" s="1"/>
  <c r="L266" i="2"/>
  <c r="G254" i="7" l="1"/>
  <c r="X265" i="2"/>
  <c r="AA265" i="2" s="1"/>
  <c r="D254" i="2"/>
  <c r="G254" i="2" s="1"/>
  <c r="AD327" i="2"/>
  <c r="M266" i="2"/>
  <c r="P266" i="2" s="1"/>
  <c r="O266" i="2" l="1"/>
  <c r="R266" i="2" s="1"/>
  <c r="D254" i="7"/>
  <c r="U266" i="2"/>
  <c r="F254" i="2"/>
  <c r="F254" i="7" s="1"/>
  <c r="AE327" i="2"/>
  <c r="AH327" i="2" s="1"/>
  <c r="I254" i="2" l="1"/>
  <c r="AG327" i="2"/>
  <c r="AJ327" i="2" s="1"/>
  <c r="AD328" i="2" s="1"/>
  <c r="AE328" i="2" s="1"/>
  <c r="AH328" i="2" s="1"/>
  <c r="V266" i="2"/>
  <c r="Y266" i="2" s="1"/>
  <c r="C255" i="2"/>
  <c r="I254" i="7"/>
  <c r="C255" i="7" s="1"/>
  <c r="L267" i="2"/>
  <c r="G255" i="7" l="1"/>
  <c r="X266" i="2"/>
  <c r="D255" i="2"/>
  <c r="G255" i="2" s="1"/>
  <c r="AG328" i="2"/>
  <c r="M267" i="2"/>
  <c r="P267" i="2" s="1"/>
  <c r="AA266" i="2" l="1"/>
  <c r="U267" i="2" s="1"/>
  <c r="O267" i="2"/>
  <c r="R267" i="2" s="1"/>
  <c r="D255" i="7"/>
  <c r="F255" i="2"/>
  <c r="F255" i="7" s="1"/>
  <c r="AJ328" i="2"/>
  <c r="V267" i="2" l="1"/>
  <c r="Y267" i="2" s="1"/>
  <c r="I255" i="2"/>
  <c r="C256" i="2"/>
  <c r="I255" i="7"/>
  <c r="C256" i="7" s="1"/>
  <c r="AD329" i="2"/>
  <c r="AE329" i="2" s="1"/>
  <c r="AH329" i="2" s="1"/>
  <c r="L268" i="2"/>
  <c r="X267" i="2" l="1"/>
  <c r="AA267" i="2" s="1"/>
  <c r="U268" i="2" s="1"/>
  <c r="V268" i="2" s="1"/>
  <c r="Y268" i="2" s="1"/>
  <c r="G256" i="7"/>
  <c r="D256" i="2"/>
  <c r="G256" i="2" s="1"/>
  <c r="AG329" i="2"/>
  <c r="AJ329" i="2" s="1"/>
  <c r="M268" i="2"/>
  <c r="P268" i="2" s="1"/>
  <c r="O268" i="2" l="1"/>
  <c r="R268" i="2" s="1"/>
  <c r="D256" i="7"/>
  <c r="X268" i="2"/>
  <c r="AA268" i="2" s="1"/>
  <c r="F256" i="2"/>
  <c r="F256" i="7" s="1"/>
  <c r="AD330" i="2"/>
  <c r="AE330" i="2" s="1"/>
  <c r="AH330" i="2" s="1"/>
  <c r="I256" i="2" l="1"/>
  <c r="U269" i="2"/>
  <c r="C257" i="2"/>
  <c r="I256" i="7"/>
  <c r="C257" i="7" s="1"/>
  <c r="AG330" i="2"/>
  <c r="AJ330" i="2" s="1"/>
  <c r="L269" i="2"/>
  <c r="G257" i="7" l="1"/>
  <c r="V269" i="2"/>
  <c r="Y269" i="2" s="1"/>
  <c r="D257" i="2"/>
  <c r="G257" i="2" s="1"/>
  <c r="AD331" i="2"/>
  <c r="AE331" i="2" s="1"/>
  <c r="AH331" i="2" s="1"/>
  <c r="M269" i="2"/>
  <c r="P269" i="2" s="1"/>
  <c r="AG331" i="2" l="1"/>
  <c r="O269" i="2"/>
  <c r="R269" i="2" s="1"/>
  <c r="D257" i="7"/>
  <c r="X269" i="2"/>
  <c r="AA269" i="2" s="1"/>
  <c r="F257" i="2"/>
  <c r="F257" i="7" s="1"/>
  <c r="I257" i="2" l="1"/>
  <c r="C258" i="2" s="1"/>
  <c r="U270" i="2"/>
  <c r="I257" i="7"/>
  <c r="C258" i="7" s="1"/>
  <c r="L270" i="2"/>
  <c r="AJ331" i="2"/>
  <c r="G258" i="7" l="1"/>
  <c r="V270" i="2"/>
  <c r="Y270" i="2" s="1"/>
  <c r="D258" i="2"/>
  <c r="G258" i="2" s="1"/>
  <c r="AD332" i="2"/>
  <c r="AE332" i="2" s="1"/>
  <c r="AH332" i="2" s="1"/>
  <c r="M270" i="2"/>
  <c r="P270" i="2" s="1"/>
  <c r="X270" i="2" l="1"/>
  <c r="AA270" i="2" s="1"/>
  <c r="U271" i="2" s="1"/>
  <c r="O270" i="2"/>
  <c r="R270" i="2" s="1"/>
  <c r="D258" i="7"/>
  <c r="F258" i="2"/>
  <c r="F258" i="7" s="1"/>
  <c r="AG332" i="2"/>
  <c r="AJ332" i="2" s="1"/>
  <c r="I258" i="2" l="1"/>
  <c r="V271" i="2"/>
  <c r="Y271" i="2" s="1"/>
  <c r="C259" i="2"/>
  <c r="I258" i="7"/>
  <c r="C259" i="7" s="1"/>
  <c r="AD333" i="2"/>
  <c r="AE333" i="2" s="1"/>
  <c r="AH333" i="2" s="1"/>
  <c r="L271" i="2"/>
  <c r="G259" i="7" l="1"/>
  <c r="X271" i="2"/>
  <c r="D259" i="2"/>
  <c r="G259" i="2" s="1"/>
  <c r="AG333" i="2"/>
  <c r="M271" i="2"/>
  <c r="P271" i="2" s="1"/>
  <c r="AA271" i="2" l="1"/>
  <c r="U272" i="2" s="1"/>
  <c r="V272" i="2" s="1"/>
  <c r="Y272" i="2" s="1"/>
  <c r="O271" i="2"/>
  <c r="R271" i="2" s="1"/>
  <c r="D259" i="7"/>
  <c r="F259" i="2"/>
  <c r="F259" i="7" s="1"/>
  <c r="AJ333" i="2"/>
  <c r="I259" i="2" l="1"/>
  <c r="C260" i="2" s="1"/>
  <c r="X272" i="2"/>
  <c r="AA272" i="2" s="1"/>
  <c r="I259" i="7"/>
  <c r="C260" i="7" s="1"/>
  <c r="AD334" i="2"/>
  <c r="AE334" i="2" s="1"/>
  <c r="AH334" i="2" s="1"/>
  <c r="L272" i="2"/>
  <c r="G260" i="7" l="1"/>
  <c r="U273" i="2"/>
  <c r="D260" i="2"/>
  <c r="G260" i="2" s="1"/>
  <c r="AG334" i="2"/>
  <c r="M272" i="2"/>
  <c r="P272" i="2" s="1"/>
  <c r="O272" i="2" l="1"/>
  <c r="R272" i="2" s="1"/>
  <c r="D260" i="7"/>
  <c r="V273" i="2"/>
  <c r="Y273" i="2" s="1"/>
  <c r="F260" i="2"/>
  <c r="F260" i="7" s="1"/>
  <c r="AJ334" i="2"/>
  <c r="I260" i="2" l="1"/>
  <c r="C261" i="2" s="1"/>
  <c r="X273" i="2"/>
  <c r="AA273" i="2" s="1"/>
  <c r="I260" i="7"/>
  <c r="C261" i="7" s="1"/>
  <c r="AD335" i="2"/>
  <c r="AE335" i="2" s="1"/>
  <c r="AH335" i="2" s="1"/>
  <c r="L273" i="2"/>
  <c r="G261" i="7" l="1"/>
  <c r="AG335" i="2"/>
  <c r="AJ335" i="2" s="1"/>
  <c r="U274" i="2"/>
  <c r="D261" i="2"/>
  <c r="G261" i="2" s="1"/>
  <c r="M273" i="2"/>
  <c r="P273" i="2" s="1"/>
  <c r="O273" i="2" l="1"/>
  <c r="R273" i="2" s="1"/>
  <c r="D261" i="7"/>
  <c r="V274" i="2"/>
  <c r="Y274" i="2" s="1"/>
  <c r="F261" i="2"/>
  <c r="F261" i="7" s="1"/>
  <c r="AD336" i="2"/>
  <c r="AE336" i="2" s="1"/>
  <c r="AH336" i="2" s="1"/>
  <c r="X274" i="2" l="1"/>
  <c r="AA274" i="2" s="1"/>
  <c r="U275" i="2" s="1"/>
  <c r="I261" i="2"/>
  <c r="C262" i="2"/>
  <c r="I261" i="7"/>
  <c r="C262" i="7" s="1"/>
  <c r="AG336" i="2"/>
  <c r="AJ336" i="2" s="1"/>
  <c r="L274" i="2"/>
  <c r="G262" i="7" l="1"/>
  <c r="V275" i="2"/>
  <c r="Y275" i="2" s="1"/>
  <c r="D262" i="2"/>
  <c r="G262" i="2" s="1"/>
  <c r="AD337" i="2"/>
  <c r="AE337" i="2" s="1"/>
  <c r="AH337" i="2" s="1"/>
  <c r="M274" i="2"/>
  <c r="P274" i="2" s="1"/>
  <c r="AG337" i="2" l="1"/>
  <c r="O274" i="2"/>
  <c r="R274" i="2" s="1"/>
  <c r="D262" i="7"/>
  <c r="X275" i="2"/>
  <c r="AA275" i="2" s="1"/>
  <c r="F262" i="2"/>
  <c r="F262" i="7" s="1"/>
  <c r="I262" i="2" l="1"/>
  <c r="U276" i="2"/>
  <c r="I262" i="7"/>
  <c r="C263" i="7" s="1"/>
  <c r="C263" i="2"/>
  <c r="L275" i="2"/>
  <c r="AJ337" i="2"/>
  <c r="G263" i="7" l="1"/>
  <c r="V276" i="2"/>
  <c r="Y276" i="2" s="1"/>
  <c r="D263" i="2"/>
  <c r="G263" i="2" s="1"/>
  <c r="AD338" i="2"/>
  <c r="AE338" i="2" s="1"/>
  <c r="AH338" i="2" s="1"/>
  <c r="M275" i="2"/>
  <c r="P275" i="2" s="1"/>
  <c r="X276" i="2" l="1"/>
  <c r="AA276" i="2" s="1"/>
  <c r="U277" i="2" s="1"/>
  <c r="AG338" i="2"/>
  <c r="AJ338" i="2" s="1"/>
  <c r="O275" i="2"/>
  <c r="R275" i="2" s="1"/>
  <c r="D263" i="7"/>
  <c r="F263" i="2"/>
  <c r="F263" i="7" s="1"/>
  <c r="I263" i="2" l="1"/>
  <c r="V277" i="2"/>
  <c r="Y277" i="2" s="1"/>
  <c r="I263" i="7"/>
  <c r="C264" i="7" s="1"/>
  <c r="C264" i="2"/>
  <c r="AD339" i="2"/>
  <c r="AE339" i="2" s="1"/>
  <c r="AH339" i="2" s="1"/>
  <c r="L276" i="2"/>
  <c r="G264" i="7" l="1"/>
  <c r="X277" i="2"/>
  <c r="AA277" i="2" s="1"/>
  <c r="D264" i="2"/>
  <c r="G264" i="2" s="1"/>
  <c r="AG339" i="2"/>
  <c r="AJ339" i="2" s="1"/>
  <c r="M276" i="2"/>
  <c r="P276" i="2" s="1"/>
  <c r="O276" i="2" l="1"/>
  <c r="R276" i="2" s="1"/>
  <c r="D264" i="7"/>
  <c r="U278" i="2"/>
  <c r="F264" i="2"/>
  <c r="F264" i="7" s="1"/>
  <c r="AD340" i="2"/>
  <c r="I264" i="2" l="1"/>
  <c r="V278" i="2"/>
  <c r="Y278" i="2" s="1"/>
  <c r="C265" i="2"/>
  <c r="I264" i="7"/>
  <c r="C265" i="7" s="1"/>
  <c r="AE340" i="2"/>
  <c r="AH340" i="2" s="1"/>
  <c r="L277" i="2"/>
  <c r="G265" i="7" l="1"/>
  <c r="AG340" i="2"/>
  <c r="AJ340" i="2" s="1"/>
  <c r="AD341" i="2" s="1"/>
  <c r="AE341" i="2" s="1"/>
  <c r="AH341" i="2" s="1"/>
  <c r="X278" i="2"/>
  <c r="AA278" i="2" s="1"/>
  <c r="D265" i="2"/>
  <c r="G265" i="2" s="1"/>
  <c r="M277" i="2"/>
  <c r="P277" i="2" s="1"/>
  <c r="O277" i="2" l="1"/>
  <c r="R277" i="2" s="1"/>
  <c r="D265" i="7"/>
  <c r="U279" i="2"/>
  <c r="F265" i="2"/>
  <c r="F265" i="7" s="1"/>
  <c r="AG341" i="2"/>
  <c r="AJ341" i="2" s="1"/>
  <c r="I265" i="2" l="1"/>
  <c r="C266" i="2" s="1"/>
  <c r="V279" i="2"/>
  <c r="Y279" i="2" s="1"/>
  <c r="I265" i="7"/>
  <c r="C266" i="7" s="1"/>
  <c r="AD342" i="2"/>
  <c r="AE342" i="2" s="1"/>
  <c r="AH342" i="2" s="1"/>
  <c r="L278" i="2"/>
  <c r="G266" i="7" l="1"/>
  <c r="X279" i="2"/>
  <c r="AA279" i="2" s="1"/>
  <c r="D266" i="2"/>
  <c r="G266" i="2" s="1"/>
  <c r="AG342" i="2"/>
  <c r="AJ342" i="2" s="1"/>
  <c r="M278" i="2"/>
  <c r="P278" i="2" s="1"/>
  <c r="O278" i="2" l="1"/>
  <c r="R278" i="2" s="1"/>
  <c r="D266" i="7"/>
  <c r="U280" i="2"/>
  <c r="F266" i="2"/>
  <c r="F266" i="7" s="1"/>
  <c r="AD343" i="2"/>
  <c r="AE343" i="2" s="1"/>
  <c r="AH343" i="2" s="1"/>
  <c r="I266" i="2" l="1"/>
  <c r="AG343" i="2"/>
  <c r="AJ343" i="2" s="1"/>
  <c r="V280" i="2"/>
  <c r="Y280" i="2" s="1"/>
  <c r="C267" i="2"/>
  <c r="I266" i="7"/>
  <c r="C267" i="7" s="1"/>
  <c r="L279" i="2"/>
  <c r="G267" i="7" l="1"/>
  <c r="X280" i="2"/>
  <c r="AA280" i="2" s="1"/>
  <c r="D267" i="2"/>
  <c r="G267" i="2" s="1"/>
  <c r="AD344" i="2"/>
  <c r="AE344" i="2" s="1"/>
  <c r="AH344" i="2" s="1"/>
  <c r="M279" i="2"/>
  <c r="P279" i="2" s="1"/>
  <c r="O279" i="2" l="1"/>
  <c r="R279" i="2" s="1"/>
  <c r="D267" i="7"/>
  <c r="U281" i="2"/>
  <c r="F267" i="2"/>
  <c r="F267" i="7" s="1"/>
  <c r="AG344" i="2"/>
  <c r="AJ344" i="2" s="1"/>
  <c r="I267" i="2" l="1"/>
  <c r="C268" i="2" s="1"/>
  <c r="V281" i="2"/>
  <c r="Y281" i="2" s="1"/>
  <c r="I267" i="7"/>
  <c r="C268" i="7" s="1"/>
  <c r="AD345" i="2"/>
  <c r="AE345" i="2" s="1"/>
  <c r="AH345" i="2" s="1"/>
  <c r="L280" i="2"/>
  <c r="G268" i="7" l="1"/>
  <c r="AG345" i="2"/>
  <c r="AJ345" i="2" s="1"/>
  <c r="X281" i="2"/>
  <c r="AA281" i="2" s="1"/>
  <c r="D268" i="2"/>
  <c r="G268" i="2" s="1"/>
  <c r="M280" i="2"/>
  <c r="P280" i="2" s="1"/>
  <c r="O280" i="2" l="1"/>
  <c r="R280" i="2" s="1"/>
  <c r="D268" i="7"/>
  <c r="U282" i="2"/>
  <c r="F268" i="2"/>
  <c r="F268" i="7" s="1"/>
  <c r="AD346" i="2"/>
  <c r="AE346" i="2" s="1"/>
  <c r="AH346" i="2" s="1"/>
  <c r="I268" i="2" l="1"/>
  <c r="V282" i="2"/>
  <c r="Y282" i="2" s="1"/>
  <c r="C269" i="2"/>
  <c r="I268" i="7"/>
  <c r="C269" i="7" s="1"/>
  <c r="AG346" i="2"/>
  <c r="AJ346" i="2" s="1"/>
  <c r="L281" i="2"/>
  <c r="G269" i="7" l="1"/>
  <c r="X282" i="2"/>
  <c r="AA282" i="2" s="1"/>
  <c r="D269" i="2"/>
  <c r="G269" i="2" s="1"/>
  <c r="AD347" i="2"/>
  <c r="AE347" i="2" s="1"/>
  <c r="AH347" i="2" s="1"/>
  <c r="M281" i="2"/>
  <c r="P281" i="2" s="1"/>
  <c r="AG347" i="2" l="1"/>
  <c r="AJ347" i="2" s="1"/>
  <c r="O281" i="2"/>
  <c r="R281" i="2" s="1"/>
  <c r="D269" i="7"/>
  <c r="U283" i="2"/>
  <c r="F269" i="2"/>
  <c r="F269" i="7" s="1"/>
  <c r="I269" i="2" l="1"/>
  <c r="V283" i="2"/>
  <c r="Y283" i="2" s="1"/>
  <c r="C270" i="2"/>
  <c r="I269" i="7"/>
  <c r="C270" i="7" s="1"/>
  <c r="AD348" i="2"/>
  <c r="AE348" i="2" s="1"/>
  <c r="AH348" i="2" s="1"/>
  <c r="L282" i="2"/>
  <c r="G270" i="7" l="1"/>
  <c r="X283" i="2"/>
  <c r="AA283" i="2" s="1"/>
  <c r="D270" i="2"/>
  <c r="G270" i="2" s="1"/>
  <c r="AG348" i="2"/>
  <c r="AJ348" i="2" s="1"/>
  <c r="M282" i="2"/>
  <c r="P282" i="2" s="1"/>
  <c r="O282" i="2" l="1"/>
  <c r="R282" i="2" s="1"/>
  <c r="D270" i="7"/>
  <c r="U284" i="2"/>
  <c r="F270" i="2"/>
  <c r="F270" i="7" s="1"/>
  <c r="AD349" i="2"/>
  <c r="AE349" i="2" s="1"/>
  <c r="AH349" i="2" s="1"/>
  <c r="I270" i="2" l="1"/>
  <c r="V284" i="2"/>
  <c r="Y284" i="2" s="1"/>
  <c r="I270" i="7"/>
  <c r="C271" i="7" s="1"/>
  <c r="C271" i="2"/>
  <c r="AG349" i="2"/>
  <c r="AJ349" i="2" s="1"/>
  <c r="L283" i="2"/>
  <c r="G271" i="7" l="1"/>
  <c r="X284" i="2"/>
  <c r="AA284" i="2" s="1"/>
  <c r="D271" i="2"/>
  <c r="G271" i="2" s="1"/>
  <c r="AD350" i="2"/>
  <c r="AE350" i="2" s="1"/>
  <c r="AH350" i="2" s="1"/>
  <c r="M283" i="2"/>
  <c r="P283" i="2" s="1"/>
  <c r="AG350" i="2" l="1"/>
  <c r="AJ350" i="2" s="1"/>
  <c r="O283" i="2"/>
  <c r="R283" i="2" s="1"/>
  <c r="D271" i="7"/>
  <c r="U285" i="2"/>
  <c r="F271" i="2"/>
  <c r="F271" i="7" s="1"/>
  <c r="I271" i="2" l="1"/>
  <c r="V285" i="2"/>
  <c r="Y285" i="2" s="1"/>
  <c r="I271" i="7"/>
  <c r="C272" i="7" s="1"/>
  <c r="C272" i="2"/>
  <c r="AD351" i="2"/>
  <c r="AE351" i="2" s="1"/>
  <c r="AH351" i="2" s="1"/>
  <c r="L284" i="2"/>
  <c r="G272" i="7" l="1"/>
  <c r="AG351" i="2"/>
  <c r="AJ351" i="2" s="1"/>
  <c r="X285" i="2"/>
  <c r="AA285" i="2" s="1"/>
  <c r="D272" i="2"/>
  <c r="G272" i="2" s="1"/>
  <c r="M284" i="2"/>
  <c r="P284" i="2" s="1"/>
  <c r="O284" i="2" l="1"/>
  <c r="R284" i="2" s="1"/>
  <c r="D272" i="7"/>
  <c r="U286" i="2"/>
  <c r="F272" i="2"/>
  <c r="F272" i="7" s="1"/>
  <c r="AD352" i="2"/>
  <c r="AE352" i="2" s="1"/>
  <c r="AH352" i="2" s="1"/>
  <c r="I272" i="2" l="1"/>
  <c r="AG352" i="2"/>
  <c r="AJ352" i="2" s="1"/>
  <c r="V286" i="2"/>
  <c r="Y286" i="2" s="1"/>
  <c r="C273" i="2"/>
  <c r="I272" i="7"/>
  <c r="C273" i="7" s="1"/>
  <c r="L285" i="2"/>
  <c r="G273" i="7" l="1"/>
  <c r="X286" i="2"/>
  <c r="AA286" i="2" s="1"/>
  <c r="D273" i="2"/>
  <c r="G273" i="2" s="1"/>
  <c r="AD353" i="2"/>
  <c r="AE353" i="2" s="1"/>
  <c r="AH353" i="2" s="1"/>
  <c r="M285" i="2"/>
  <c r="P285" i="2" s="1"/>
  <c r="O285" i="2" l="1"/>
  <c r="R285" i="2" s="1"/>
  <c r="D273" i="7"/>
  <c r="U287" i="2"/>
  <c r="F273" i="2"/>
  <c r="F273" i="7" s="1"/>
  <c r="AG353" i="2"/>
  <c r="AJ353" i="2" s="1"/>
  <c r="I273" i="2" l="1"/>
  <c r="C274" i="2" s="1"/>
  <c r="V287" i="2"/>
  <c r="Y287" i="2" s="1"/>
  <c r="I273" i="7"/>
  <c r="C274" i="7" s="1"/>
  <c r="AD354" i="2"/>
  <c r="L286" i="2"/>
  <c r="G274" i="7" l="1"/>
  <c r="X287" i="2"/>
  <c r="AA287" i="2" s="1"/>
  <c r="D274" i="2"/>
  <c r="G274" i="2" s="1"/>
  <c r="AE354" i="2"/>
  <c r="AH354" i="2" s="1"/>
  <c r="M286" i="2"/>
  <c r="P286" i="2" s="1"/>
  <c r="AG354" i="2" l="1"/>
  <c r="AJ354" i="2" s="1"/>
  <c r="AD355" i="2" s="1"/>
  <c r="AE355" i="2" s="1"/>
  <c r="AH355" i="2" s="1"/>
  <c r="O286" i="2"/>
  <c r="R286" i="2" s="1"/>
  <c r="D274" i="7"/>
  <c r="U288" i="2"/>
  <c r="F274" i="2"/>
  <c r="F274" i="7" s="1"/>
  <c r="I274" i="2" l="1"/>
  <c r="V288" i="2"/>
  <c r="Y288" i="2" s="1"/>
  <c r="C275" i="2"/>
  <c r="I274" i="7"/>
  <c r="C275" i="7" s="1"/>
  <c r="AG355" i="2"/>
  <c r="L287" i="2"/>
  <c r="G275" i="7" l="1"/>
  <c r="X288" i="2"/>
  <c r="AA288" i="2" s="1"/>
  <c r="D275" i="2"/>
  <c r="G275" i="2" s="1"/>
  <c r="M287" i="2"/>
  <c r="P287" i="2" s="1"/>
  <c r="AJ355" i="2"/>
  <c r="O287" i="2" l="1"/>
  <c r="R287" i="2" s="1"/>
  <c r="D275" i="7"/>
  <c r="U289" i="2"/>
  <c r="F275" i="2"/>
  <c r="F275" i="7" s="1"/>
  <c r="AD356" i="2"/>
  <c r="AE356" i="2" s="1"/>
  <c r="AH356" i="2" s="1"/>
  <c r="I275" i="2" l="1"/>
  <c r="AG356" i="2"/>
  <c r="AJ356" i="2" s="1"/>
  <c r="V289" i="2"/>
  <c r="Y289" i="2" s="1"/>
  <c r="I275" i="7"/>
  <c r="C276" i="7" s="1"/>
  <c r="C276" i="2"/>
  <c r="L288" i="2"/>
  <c r="G276" i="7" l="1"/>
  <c r="X289" i="2"/>
  <c r="AA289" i="2" s="1"/>
  <c r="D276" i="2"/>
  <c r="G276" i="2" s="1"/>
  <c r="AD357" i="2"/>
  <c r="AE357" i="2" s="1"/>
  <c r="AH357" i="2" s="1"/>
  <c r="M288" i="2"/>
  <c r="P288" i="2" s="1"/>
  <c r="O288" i="2" l="1"/>
  <c r="R288" i="2" s="1"/>
  <c r="D276" i="7"/>
  <c r="U290" i="2"/>
  <c r="F276" i="2"/>
  <c r="F276" i="7" s="1"/>
  <c r="AG357" i="2"/>
  <c r="I276" i="2" l="1"/>
  <c r="C277" i="2" s="1"/>
  <c r="V290" i="2"/>
  <c r="Y290" i="2" s="1"/>
  <c r="I276" i="7"/>
  <c r="C277" i="7" s="1"/>
  <c r="L289" i="2"/>
  <c r="AJ357" i="2"/>
  <c r="G277" i="7" l="1"/>
  <c r="X290" i="2"/>
  <c r="AA290" i="2" s="1"/>
  <c r="D277" i="2"/>
  <c r="G277" i="2" s="1"/>
  <c r="AD358" i="2"/>
  <c r="AE358" i="2" s="1"/>
  <c r="AH358" i="2" s="1"/>
  <c r="M289" i="2"/>
  <c r="P289" i="2" s="1"/>
  <c r="O289" i="2" l="1"/>
  <c r="R289" i="2" s="1"/>
  <c r="D277" i="7"/>
  <c r="U291" i="2"/>
  <c r="F277" i="2"/>
  <c r="F277" i="7" s="1"/>
  <c r="AG358" i="2"/>
  <c r="I277" i="2" l="1"/>
  <c r="V291" i="2"/>
  <c r="Y291" i="2" s="1"/>
  <c r="C278" i="2"/>
  <c r="I277" i="7"/>
  <c r="C278" i="7" s="1"/>
  <c r="L290" i="2"/>
  <c r="AJ358" i="2"/>
  <c r="G278" i="7" l="1"/>
  <c r="X291" i="2"/>
  <c r="AA291" i="2" s="1"/>
  <c r="D278" i="2"/>
  <c r="G278" i="2" s="1"/>
  <c r="AD359" i="2"/>
  <c r="AE359" i="2" s="1"/>
  <c r="AH359" i="2" s="1"/>
  <c r="M290" i="2"/>
  <c r="P290" i="2" s="1"/>
  <c r="AG359" i="2" l="1"/>
  <c r="AJ359" i="2" s="1"/>
  <c r="O290" i="2"/>
  <c r="R290" i="2" s="1"/>
  <c r="F278" i="2"/>
  <c r="F278" i="7" s="1"/>
  <c r="D278" i="7"/>
  <c r="U292" i="2"/>
  <c r="I278" i="2" l="1"/>
  <c r="C279" i="2"/>
  <c r="I278" i="7"/>
  <c r="C279" i="7" s="1"/>
  <c r="V292" i="2"/>
  <c r="Y292" i="2" s="1"/>
  <c r="AD360" i="2"/>
  <c r="AE360" i="2" s="1"/>
  <c r="AH360" i="2" s="1"/>
  <c r="L291" i="2"/>
  <c r="G279" i="7" l="1"/>
  <c r="X292" i="2"/>
  <c r="D279" i="2"/>
  <c r="G279" i="2" s="1"/>
  <c r="AG360" i="2"/>
  <c r="AJ360" i="2" s="1"/>
  <c r="M291" i="2"/>
  <c r="P291" i="2" s="1"/>
  <c r="F279" i="2" l="1"/>
  <c r="F279" i="7" s="1"/>
  <c r="AA292" i="2"/>
  <c r="U293" i="2" s="1"/>
  <c r="V293" i="2" s="1"/>
  <c r="Y293" i="2" s="1"/>
  <c r="O291" i="2"/>
  <c r="R291" i="2" s="1"/>
  <c r="D279" i="7"/>
  <c r="AD361" i="2"/>
  <c r="I279" i="7" l="1"/>
  <c r="C280" i="7" s="1"/>
  <c r="I279" i="2"/>
  <c r="C280" i="2" s="1"/>
  <c r="X293" i="2"/>
  <c r="AA293" i="2" s="1"/>
  <c r="AE361" i="2"/>
  <c r="AH361" i="2" s="1"/>
  <c r="L292" i="2"/>
  <c r="G280" i="7" l="1"/>
  <c r="D280" i="2"/>
  <c r="G280" i="2" s="1"/>
  <c r="AG361" i="2"/>
  <c r="AJ361" i="2" s="1"/>
  <c r="AD362" i="2" s="1"/>
  <c r="AE362" i="2" s="1"/>
  <c r="AH362" i="2" s="1"/>
  <c r="U294" i="2"/>
  <c r="M292" i="2"/>
  <c r="P292" i="2" s="1"/>
  <c r="F280" i="2" l="1"/>
  <c r="F280" i="7" s="1"/>
  <c r="D280" i="7"/>
  <c r="O292" i="2"/>
  <c r="R292" i="2" s="1"/>
  <c r="V294" i="2"/>
  <c r="Y294" i="2" s="1"/>
  <c r="AG362" i="2"/>
  <c r="I280" i="2" l="1"/>
  <c r="C281" i="2" s="1"/>
  <c r="D281" i="2" s="1"/>
  <c r="G281" i="2" s="1"/>
  <c r="I280" i="7"/>
  <c r="C281" i="7" s="1"/>
  <c r="G281" i="7" s="1"/>
  <c r="X294" i="2"/>
  <c r="AA294" i="2" s="1"/>
  <c r="L293" i="2"/>
  <c r="AJ362" i="2"/>
  <c r="D281" i="7" l="1"/>
  <c r="U295" i="2"/>
  <c r="F281" i="2"/>
  <c r="F281" i="7" s="1"/>
  <c r="AD363" i="2"/>
  <c r="AE363" i="2" s="1"/>
  <c r="AH363" i="2" s="1"/>
  <c r="Q9" i="1" s="1"/>
  <c r="M293" i="2"/>
  <c r="P293" i="2" s="1"/>
  <c r="I281" i="2" l="1"/>
  <c r="C282" i="2" s="1"/>
  <c r="O293" i="2"/>
  <c r="R293" i="2" s="1"/>
  <c r="V295" i="2"/>
  <c r="Y295" i="2" s="1"/>
  <c r="I281" i="7"/>
  <c r="C282" i="7" s="1"/>
  <c r="AK362" i="2"/>
  <c r="AG363" i="2"/>
  <c r="AJ363" i="2" s="1"/>
  <c r="AK363" i="2" s="1"/>
  <c r="AK4" i="2"/>
  <c r="AK6" i="2"/>
  <c r="AK7" i="2"/>
  <c r="AK5"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3" i="2"/>
  <c r="AK44" i="2"/>
  <c r="AK42" i="2"/>
  <c r="AK45" i="2"/>
  <c r="AK46" i="2"/>
  <c r="AK47" i="2"/>
  <c r="AK48" i="2"/>
  <c r="AK49" i="2"/>
  <c r="AK50" i="2"/>
  <c r="AK51" i="2"/>
  <c r="AK52" i="2"/>
  <c r="AK53" i="2"/>
  <c r="AK55" i="2"/>
  <c r="AK54" i="2"/>
  <c r="AK58" i="2"/>
  <c r="AK56" i="2"/>
  <c r="AK57"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90" i="2"/>
  <c r="AK91" i="2"/>
  <c r="AK89" i="2"/>
  <c r="AK92" i="2"/>
  <c r="AK94" i="2"/>
  <c r="AK95" i="2"/>
  <c r="AK93" i="2"/>
  <c r="AK96" i="2"/>
  <c r="AK97" i="2"/>
  <c r="AK98" i="2"/>
  <c r="AK99" i="2"/>
  <c r="AK100" i="2"/>
  <c r="AK101" i="2"/>
  <c r="AK102" i="2"/>
  <c r="AK103" i="2"/>
  <c r="AK105" i="2"/>
  <c r="AK106" i="2"/>
  <c r="AK104" i="2"/>
  <c r="AK107" i="2"/>
  <c r="AK108" i="2"/>
  <c r="AK110" i="2"/>
  <c r="AK109" i="2"/>
  <c r="AK112" i="2"/>
  <c r="AK111" i="2"/>
  <c r="AK113" i="2"/>
  <c r="AK114" i="2"/>
  <c r="AK115" i="2"/>
  <c r="AK118" i="2"/>
  <c r="AK116" i="2"/>
  <c r="AK119" i="2"/>
  <c r="AK117" i="2"/>
  <c r="AK120" i="2"/>
  <c r="AK121" i="2"/>
  <c r="AK122" i="2"/>
  <c r="AK123" i="2"/>
  <c r="AK124" i="2"/>
  <c r="AK125" i="2"/>
  <c r="AK126" i="2"/>
  <c r="AK127" i="2"/>
  <c r="AK128" i="2"/>
  <c r="AK130" i="2"/>
  <c r="AK131" i="2"/>
  <c r="AK129" i="2"/>
  <c r="AK132" i="2"/>
  <c r="AK133" i="2"/>
  <c r="AK134" i="2"/>
  <c r="AK135" i="2"/>
  <c r="AK136" i="2"/>
  <c r="AK138" i="2"/>
  <c r="AK139" i="2"/>
  <c r="AK137" i="2"/>
  <c r="AK142" i="2"/>
  <c r="AK140" i="2"/>
  <c r="AK141" i="2"/>
  <c r="AK144" i="2"/>
  <c r="AK143" i="2"/>
  <c r="AK146" i="2"/>
  <c r="AK145" i="2"/>
  <c r="AK147" i="2"/>
  <c r="AK150" i="2"/>
  <c r="AK148" i="2"/>
  <c r="AK149" i="2"/>
  <c r="AK153" i="2"/>
  <c r="AK151" i="2"/>
  <c r="AK152" i="2"/>
  <c r="AK156" i="2"/>
  <c r="AK154" i="2"/>
  <c r="AK155" i="2"/>
  <c r="AK157" i="2"/>
  <c r="AK158" i="2"/>
  <c r="AK159" i="2"/>
  <c r="AK160" i="2"/>
  <c r="AK161" i="2"/>
  <c r="AK162" i="2"/>
  <c r="AK163" i="2"/>
  <c r="AK164" i="2"/>
  <c r="AK165" i="2"/>
  <c r="AK166" i="2"/>
  <c r="AK169" i="2"/>
  <c r="AK167" i="2"/>
  <c r="AK168" i="2"/>
  <c r="AK172" i="2"/>
  <c r="AK170" i="2"/>
  <c r="AK173" i="2"/>
  <c r="AK171" i="2"/>
  <c r="AK174" i="2"/>
  <c r="AK175" i="2"/>
  <c r="AK176" i="2"/>
  <c r="AK178" i="2"/>
  <c r="AK177" i="2"/>
  <c r="AK180" i="2"/>
  <c r="AK181" i="2"/>
  <c r="AK179" i="2"/>
  <c r="AK182" i="2"/>
  <c r="AK183" i="2"/>
  <c r="AK184" i="2"/>
  <c r="AK185" i="2"/>
  <c r="AK186" i="2"/>
  <c r="AK187" i="2"/>
  <c r="AK188" i="2"/>
  <c r="AK189" i="2"/>
  <c r="AK190" i="2"/>
  <c r="AK191" i="2"/>
  <c r="AK192" i="2"/>
  <c r="AK193" i="2"/>
  <c r="AK196" i="2"/>
  <c r="AK194" i="2"/>
  <c r="AK195" i="2"/>
  <c r="AK197" i="2"/>
  <c r="AK198" i="2"/>
  <c r="AK199" i="2"/>
  <c r="AK202" i="2"/>
  <c r="AK200" i="2"/>
  <c r="AK201" i="2"/>
  <c r="AK204" i="2"/>
  <c r="AK203"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1" i="2"/>
  <c r="AK250"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5" i="2"/>
  <c r="AK294" i="2"/>
  <c r="AK297" i="2"/>
  <c r="AK296"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61" i="2"/>
  <c r="AK360" i="2"/>
  <c r="AK359" i="2"/>
  <c r="AK358" i="2"/>
  <c r="AK357" i="2"/>
  <c r="G282" i="7" l="1"/>
  <c r="X295" i="2"/>
  <c r="AA295" i="2" s="1"/>
  <c r="D282" i="2"/>
  <c r="G282" i="2" s="1"/>
  <c r="AF363" i="2"/>
  <c r="AI363" i="2" s="1"/>
  <c r="L294" i="2"/>
  <c r="D282" i="7" l="1"/>
  <c r="F282" i="2"/>
  <c r="F282" i="7" s="1"/>
  <c r="M294" i="2"/>
  <c r="P294" i="2" s="1"/>
  <c r="I282" i="2" l="1"/>
  <c r="O294" i="2"/>
  <c r="R294" i="2" s="1"/>
  <c r="U296" i="2"/>
  <c r="C283" i="2"/>
  <c r="I282" i="7"/>
  <c r="C283" i="7" s="1"/>
  <c r="G283" i="7" l="1"/>
  <c r="V296" i="2"/>
  <c r="Y296" i="2" s="1"/>
  <c r="D283" i="2"/>
  <c r="G283" i="2" s="1"/>
  <c r="L295" i="2"/>
  <c r="D283" i="7" l="1"/>
  <c r="X296" i="2"/>
  <c r="AA296" i="2" s="1"/>
  <c r="F283" i="2"/>
  <c r="F283" i="7" s="1"/>
  <c r="M295" i="2"/>
  <c r="P295" i="2" s="1"/>
  <c r="O295" i="2"/>
  <c r="R295" i="2" l="1"/>
  <c r="I283" i="2"/>
  <c r="C284" i="2"/>
  <c r="I283" i="7"/>
  <c r="C284" i="7" s="1"/>
  <c r="G284" i="7" l="1"/>
  <c r="U297" i="2"/>
  <c r="D284" i="2"/>
  <c r="G284" i="2" s="1"/>
  <c r="L296" i="2"/>
  <c r="D284" i="7" l="1"/>
  <c r="V297" i="2"/>
  <c r="Y297" i="2" s="1"/>
  <c r="F284" i="2"/>
  <c r="F284" i="7" s="1"/>
  <c r="M296" i="2"/>
  <c r="P296" i="2" s="1"/>
  <c r="O296" i="2" l="1"/>
  <c r="R296" i="2" s="1"/>
  <c r="I284" i="2"/>
  <c r="X297" i="2"/>
  <c r="AA297" i="2" s="1"/>
  <c r="C285" i="2"/>
  <c r="I284" i="7"/>
  <c r="C285" i="7" s="1"/>
  <c r="G285" i="7" l="1"/>
  <c r="U298" i="2"/>
  <c r="D285" i="2"/>
  <c r="G285" i="2" s="1"/>
  <c r="L297" i="2"/>
  <c r="D285" i="7" l="1"/>
  <c r="V298" i="2"/>
  <c r="Y298" i="2" s="1"/>
  <c r="F285" i="2"/>
  <c r="F285" i="7" s="1"/>
  <c r="M297" i="2"/>
  <c r="P297" i="2" s="1"/>
  <c r="I285" i="2" l="1"/>
  <c r="O297" i="2"/>
  <c r="R297" i="2" s="1"/>
  <c r="X298" i="2"/>
  <c r="AA298" i="2" s="1"/>
  <c r="I285" i="7"/>
  <c r="C286" i="7" s="1"/>
  <c r="C286" i="2"/>
  <c r="G286" i="7" l="1"/>
  <c r="D286" i="2"/>
  <c r="G286" i="2" s="1"/>
  <c r="L298" i="2"/>
  <c r="F286" i="2" l="1"/>
  <c r="F286" i="7" s="1"/>
  <c r="D286" i="7"/>
  <c r="U299" i="2"/>
  <c r="M298" i="2"/>
  <c r="P298" i="2" s="1"/>
  <c r="I286" i="7" l="1"/>
  <c r="C287" i="7" s="1"/>
  <c r="I286" i="2"/>
  <c r="O298" i="2"/>
  <c r="R298" i="2" s="1"/>
  <c r="C287" i="2"/>
  <c r="V299" i="2"/>
  <c r="Y299" i="2" s="1"/>
  <c r="G287" i="7" l="1"/>
  <c r="D287" i="2"/>
  <c r="G287" i="2" s="1"/>
  <c r="X299" i="2"/>
  <c r="AA299" i="2" s="1"/>
  <c r="L299" i="2"/>
  <c r="F287" i="2" l="1"/>
  <c r="F287" i="7" s="1"/>
  <c r="D287" i="7"/>
  <c r="M299" i="2"/>
  <c r="P299" i="2" s="1"/>
  <c r="I287" i="2" l="1"/>
  <c r="C288" i="2" s="1"/>
  <c r="I287" i="7"/>
  <c r="C288" i="7" s="1"/>
  <c r="O299" i="2"/>
  <c r="R299" i="2" s="1"/>
  <c r="U300" i="2"/>
  <c r="G288" i="7" l="1"/>
  <c r="D288" i="2"/>
  <c r="G288" i="2" s="1"/>
  <c r="V300" i="2"/>
  <c r="Y300" i="2" s="1"/>
  <c r="L300" i="2"/>
  <c r="F288" i="2" l="1"/>
  <c r="F288" i="7" s="1"/>
  <c r="D288" i="7"/>
  <c r="X300" i="2"/>
  <c r="AA300" i="2" s="1"/>
  <c r="M300" i="2"/>
  <c r="P300" i="2" s="1"/>
  <c r="I288" i="7" l="1"/>
  <c r="C289" i="7" s="1"/>
  <c r="G289" i="7" s="1"/>
  <c r="I288" i="2"/>
  <c r="C289" i="2" s="1"/>
  <c r="D289" i="2" s="1"/>
  <c r="G289" i="2" s="1"/>
  <c r="O300" i="2"/>
  <c r="R300" i="2" s="1"/>
  <c r="D289" i="7" l="1"/>
  <c r="U301" i="2"/>
  <c r="F289" i="2"/>
  <c r="F289" i="7" s="1"/>
  <c r="L301" i="2"/>
  <c r="I289" i="2" l="1"/>
  <c r="C290" i="2" s="1"/>
  <c r="V301" i="2"/>
  <c r="Y301" i="2" s="1"/>
  <c r="I289" i="7"/>
  <c r="C290" i="7" s="1"/>
  <c r="M301" i="2"/>
  <c r="P301" i="2" s="1"/>
  <c r="G290" i="7" l="1"/>
  <c r="O301" i="2"/>
  <c r="R301" i="2" s="1"/>
  <c r="X301" i="2"/>
  <c r="AA301" i="2" s="1"/>
  <c r="D290" i="2"/>
  <c r="G290" i="2" s="1"/>
  <c r="D290" i="7" l="1"/>
  <c r="F290" i="2"/>
  <c r="F290" i="7" s="1"/>
  <c r="L302" i="2"/>
  <c r="I290" i="2" l="1"/>
  <c r="U302" i="2"/>
  <c r="I290" i="7"/>
  <c r="C291" i="7" s="1"/>
  <c r="C291" i="2"/>
  <c r="M302" i="2"/>
  <c r="P302" i="2" s="1"/>
  <c r="G291" i="7" l="1"/>
  <c r="O302" i="2"/>
  <c r="R302" i="2" s="1"/>
  <c r="V302" i="2"/>
  <c r="Y302" i="2" s="1"/>
  <c r="D291" i="2"/>
  <c r="G291" i="2" s="1"/>
  <c r="D291" i="7" l="1"/>
  <c r="X302" i="2"/>
  <c r="AA302" i="2" s="1"/>
  <c r="F291" i="2"/>
  <c r="F291" i="7" s="1"/>
  <c r="L303" i="2"/>
  <c r="I291" i="2" l="1"/>
  <c r="C292" i="2"/>
  <c r="I291" i="7"/>
  <c r="C292" i="7" s="1"/>
  <c r="M303" i="2"/>
  <c r="P303" i="2" s="1"/>
  <c r="O303" i="2"/>
  <c r="R303" i="2" l="1"/>
  <c r="G292" i="7"/>
  <c r="U303" i="2"/>
  <c r="D292" i="2"/>
  <c r="G292" i="2" s="1"/>
  <c r="D292" i="7" l="1"/>
  <c r="V303" i="2"/>
  <c r="Y303" i="2" s="1"/>
  <c r="F292" i="2"/>
  <c r="F292" i="7" s="1"/>
  <c r="L304" i="2"/>
  <c r="I292" i="2" l="1"/>
  <c r="C293" i="2" s="1"/>
  <c r="X303" i="2"/>
  <c r="AA303" i="2" s="1"/>
  <c r="I292" i="7"/>
  <c r="C293" i="7" s="1"/>
  <c r="M304" i="2"/>
  <c r="P304" i="2" s="1"/>
  <c r="G293" i="7" l="1"/>
  <c r="D293" i="2"/>
  <c r="G293" i="2" s="1"/>
  <c r="O304" i="2"/>
  <c r="R304" i="2" s="1"/>
  <c r="D293" i="7" l="1"/>
  <c r="U304" i="2"/>
  <c r="F293" i="2"/>
  <c r="F293" i="7" s="1"/>
  <c r="L305" i="2"/>
  <c r="I293" i="2" l="1"/>
  <c r="V304" i="2"/>
  <c r="Y304" i="2" s="1"/>
  <c r="C294" i="2"/>
  <c r="I293" i="7"/>
  <c r="C294" i="7" s="1"/>
  <c r="M305" i="2"/>
  <c r="P305" i="2" s="1"/>
  <c r="G294" i="7" l="1"/>
  <c r="X304" i="2"/>
  <c r="AA304" i="2" s="1"/>
  <c r="D294" i="2"/>
  <c r="G294" i="2" s="1"/>
  <c r="O305" i="2"/>
  <c r="R305" i="2" s="1"/>
  <c r="D294" i="7" l="1"/>
  <c r="F294" i="2"/>
  <c r="F294" i="7" s="1"/>
  <c r="L306" i="2"/>
  <c r="I294" i="2" l="1"/>
  <c r="U305" i="2"/>
  <c r="C295" i="2"/>
  <c r="I294" i="7"/>
  <c r="C295" i="7" s="1"/>
  <c r="M306" i="2"/>
  <c r="P306" i="2" s="1"/>
  <c r="G295" i="7" l="1"/>
  <c r="V305" i="2"/>
  <c r="Y305" i="2" s="1"/>
  <c r="O306" i="2"/>
  <c r="R306" i="2" s="1"/>
  <c r="D295" i="2"/>
  <c r="G295" i="2" s="1"/>
  <c r="D295" i="7" l="1"/>
  <c r="X305" i="2"/>
  <c r="AA305" i="2" s="1"/>
  <c r="F295" i="2"/>
  <c r="F295" i="7" s="1"/>
  <c r="L307" i="2"/>
  <c r="I295" i="2" l="1"/>
  <c r="I295" i="7"/>
  <c r="C296" i="7" s="1"/>
  <c r="C296" i="2"/>
  <c r="M307" i="2"/>
  <c r="P307" i="2" s="1"/>
  <c r="G296" i="7" l="1"/>
  <c r="U306" i="2"/>
  <c r="D296" i="2"/>
  <c r="G296" i="2" s="1"/>
  <c r="O307" i="2"/>
  <c r="R307" i="2" s="1"/>
  <c r="D296" i="7" l="1"/>
  <c r="V306" i="2"/>
  <c r="Y306" i="2" s="1"/>
  <c r="F296" i="2"/>
  <c r="F296" i="7" s="1"/>
  <c r="L308" i="2"/>
  <c r="I296" i="2" l="1"/>
  <c r="C297" i="2" s="1"/>
  <c r="X306" i="2"/>
  <c r="AA306" i="2" s="1"/>
  <c r="I296" i="7"/>
  <c r="C297" i="7" s="1"/>
  <c r="M308" i="2"/>
  <c r="P308" i="2" s="1"/>
  <c r="G297" i="7" l="1"/>
  <c r="O308" i="2"/>
  <c r="R308" i="2" s="1"/>
  <c r="D297" i="2"/>
  <c r="G297" i="2" s="1"/>
  <c r="D297" i="7" l="1"/>
  <c r="U307" i="2"/>
  <c r="F297" i="2"/>
  <c r="F297" i="7" s="1"/>
  <c r="L309" i="2"/>
  <c r="I297" i="2" l="1"/>
  <c r="V307" i="2"/>
  <c r="Y307" i="2" s="1"/>
  <c r="C298" i="2"/>
  <c r="I297" i="7"/>
  <c r="C298" i="7" s="1"/>
  <c r="M309" i="2"/>
  <c r="P309" i="2" s="1"/>
  <c r="G298" i="7" l="1"/>
  <c r="X307" i="2"/>
  <c r="AA307" i="2" s="1"/>
  <c r="O309" i="2"/>
  <c r="R309" i="2" s="1"/>
  <c r="D298" i="2"/>
  <c r="G298" i="2" s="1"/>
  <c r="D298" i="7" l="1"/>
  <c r="F298" i="2"/>
  <c r="F298" i="7" s="1"/>
  <c r="L310" i="2"/>
  <c r="I298" i="2" l="1"/>
  <c r="C299" i="2" s="1"/>
  <c r="U308" i="2"/>
  <c r="I298" i="7"/>
  <c r="C299" i="7" s="1"/>
  <c r="M310" i="2"/>
  <c r="P310" i="2" s="1"/>
  <c r="O310" i="2" l="1"/>
  <c r="R310" i="2" s="1"/>
  <c r="G299" i="7"/>
  <c r="V308" i="2"/>
  <c r="Y308" i="2" s="1"/>
  <c r="D299" i="2"/>
  <c r="G299" i="2" s="1"/>
  <c r="X308" i="2" l="1"/>
  <c r="AA308" i="2" s="1"/>
  <c r="U309" i="2" s="1"/>
  <c r="D299" i="7"/>
  <c r="F299" i="2"/>
  <c r="F299" i="7" s="1"/>
  <c r="L311" i="2"/>
  <c r="I299" i="2" l="1"/>
  <c r="C300" i="2" s="1"/>
  <c r="V309" i="2"/>
  <c r="Y309" i="2" s="1"/>
  <c r="I299" i="7"/>
  <c r="C300" i="7" s="1"/>
  <c r="M311" i="2"/>
  <c r="P311" i="2" s="1"/>
  <c r="X309" i="2" l="1"/>
  <c r="O311" i="2"/>
  <c r="R311" i="2" s="1"/>
  <c r="D300" i="2"/>
  <c r="G300" i="2" s="1"/>
  <c r="AA309" i="2" l="1"/>
  <c r="U310" i="2" s="1"/>
  <c r="D300" i="7"/>
  <c r="G300" i="7"/>
  <c r="L312" i="2"/>
  <c r="F300" i="2"/>
  <c r="F300" i="7" s="1"/>
  <c r="I300" i="2" l="1"/>
  <c r="V310" i="2"/>
  <c r="Y310" i="2" s="1"/>
  <c r="C301" i="2"/>
  <c r="I300" i="7"/>
  <c r="C301" i="7" s="1"/>
  <c r="M312" i="2"/>
  <c r="P312" i="2" s="1"/>
  <c r="X310" i="2" l="1"/>
  <c r="D301" i="2"/>
  <c r="G301" i="2" s="1"/>
  <c r="O312" i="2"/>
  <c r="R312" i="2" s="1"/>
  <c r="AA310" i="2" l="1"/>
  <c r="U311" i="2" s="1"/>
  <c r="D301" i="7"/>
  <c r="F301" i="2"/>
  <c r="F301" i="7" s="1"/>
  <c r="G301" i="7"/>
  <c r="L313" i="2"/>
  <c r="I301" i="2" l="1"/>
  <c r="V311" i="2"/>
  <c r="Y311" i="2" s="1"/>
  <c r="I301" i="7"/>
  <c r="C302" i="7" s="1"/>
  <c r="C302" i="2"/>
  <c r="M313" i="2"/>
  <c r="P313" i="2" s="1"/>
  <c r="G302" i="7" l="1"/>
  <c r="X311" i="2"/>
  <c r="AA311" i="2" s="1"/>
  <c r="O313" i="2"/>
  <c r="R313" i="2" s="1"/>
  <c r="D302" i="2"/>
  <c r="G302" i="2" s="1"/>
  <c r="D302" i="7" l="1"/>
  <c r="F302" i="2"/>
  <c r="F302" i="7" s="1"/>
  <c r="L314" i="2"/>
  <c r="I302" i="2" l="1"/>
  <c r="C303" i="2" s="1"/>
  <c r="U312" i="2"/>
  <c r="I302" i="7"/>
  <c r="C303" i="7" s="1"/>
  <c r="M314" i="2"/>
  <c r="P314" i="2" s="1"/>
  <c r="V312" i="2" l="1"/>
  <c r="Y312" i="2" s="1"/>
  <c r="O314" i="2"/>
  <c r="R314" i="2" s="1"/>
  <c r="D303" i="2"/>
  <c r="G303" i="2" s="1"/>
  <c r="X312" i="2" l="1"/>
  <c r="D303" i="7"/>
  <c r="F303" i="2"/>
  <c r="F303" i="7" s="1"/>
  <c r="G303" i="7"/>
  <c r="L315" i="2"/>
  <c r="AA312" i="2" l="1"/>
  <c r="U313" i="2" s="1"/>
  <c r="I303" i="2"/>
  <c r="C304" i="2" s="1"/>
  <c r="I303" i="7"/>
  <c r="C304" i="7" s="1"/>
  <c r="M315" i="2"/>
  <c r="P315" i="2" s="1"/>
  <c r="O315" i="2" l="1"/>
  <c r="R315" i="2" s="1"/>
  <c r="G304" i="7"/>
  <c r="V313" i="2"/>
  <c r="Y313" i="2" s="1"/>
  <c r="D304" i="2"/>
  <c r="G304" i="2" s="1"/>
  <c r="F304" i="2" l="1"/>
  <c r="F304" i="7" s="1"/>
  <c r="D304" i="7"/>
  <c r="X313" i="2"/>
  <c r="AA313" i="2" s="1"/>
  <c r="L316" i="2"/>
  <c r="I304" i="7" l="1"/>
  <c r="C305" i="7" s="1"/>
  <c r="I304" i="2"/>
  <c r="C305" i="2" s="1"/>
  <c r="D305" i="2" s="1"/>
  <c r="G305" i="2" s="1"/>
  <c r="M316" i="2"/>
  <c r="P316" i="2" s="1"/>
  <c r="G305" i="7" l="1"/>
  <c r="F305" i="2"/>
  <c r="F305" i="7" s="1"/>
  <c r="D305" i="7"/>
  <c r="U314" i="2"/>
  <c r="O316" i="2"/>
  <c r="R316" i="2" s="1"/>
  <c r="I305" i="2" l="1"/>
  <c r="C306" i="2" s="1"/>
  <c r="I305" i="7"/>
  <c r="C306" i="7" s="1"/>
  <c r="V314" i="2"/>
  <c r="Y314" i="2" s="1"/>
  <c r="L317" i="2"/>
  <c r="D306" i="2" l="1"/>
  <c r="G306" i="2" s="1"/>
  <c r="G306" i="7"/>
  <c r="X314" i="2"/>
  <c r="AA314" i="2" s="1"/>
  <c r="M317" i="2"/>
  <c r="P317" i="2" s="1"/>
  <c r="F306" i="2" l="1"/>
  <c r="F306" i="7" s="1"/>
  <c r="D306" i="7"/>
  <c r="O317" i="2"/>
  <c r="R317" i="2" s="1"/>
  <c r="I306" i="2" l="1"/>
  <c r="C307" i="2" s="1"/>
  <c r="I306" i="7"/>
  <c r="C307" i="7" s="1"/>
  <c r="U315" i="2"/>
  <c r="L318" i="2"/>
  <c r="G307" i="7" l="1"/>
  <c r="D307" i="2"/>
  <c r="G307" i="2" s="1"/>
  <c r="V315" i="2"/>
  <c r="Y315" i="2" s="1"/>
  <c r="M318" i="2"/>
  <c r="P318" i="2" s="1"/>
  <c r="F307" i="2" l="1"/>
  <c r="F307" i="7" s="1"/>
  <c r="D307" i="7"/>
  <c r="X315" i="2"/>
  <c r="AA315" i="2" s="1"/>
  <c r="O318" i="2"/>
  <c r="R318" i="2" s="1"/>
  <c r="I307" i="2" l="1"/>
  <c r="C308" i="2" s="1"/>
  <c r="I307" i="7"/>
  <c r="C308" i="7" s="1"/>
  <c r="L319" i="2"/>
  <c r="G308" i="7" l="1"/>
  <c r="D308" i="2"/>
  <c r="G308" i="2" s="1"/>
  <c r="U316" i="2"/>
  <c r="M319" i="2"/>
  <c r="P319" i="2" s="1"/>
  <c r="F308" i="2" l="1"/>
  <c r="F308" i="7" s="1"/>
  <c r="D308" i="7"/>
  <c r="V316" i="2"/>
  <c r="Y316" i="2" s="1"/>
  <c r="O319" i="2"/>
  <c r="R319" i="2" s="1"/>
  <c r="I308" i="2" l="1"/>
  <c r="C309" i="2" s="1"/>
  <c r="D309" i="2" s="1"/>
  <c r="G309" i="2" s="1"/>
  <c r="I308" i="7"/>
  <c r="C309" i="7" s="1"/>
  <c r="G309" i="7" s="1"/>
  <c r="X316" i="2"/>
  <c r="AA316" i="2" s="1"/>
  <c r="L320" i="2"/>
  <c r="D309" i="7" l="1"/>
  <c r="F309" i="2"/>
  <c r="F309" i="7" s="1"/>
  <c r="M320" i="2"/>
  <c r="P320" i="2" s="1"/>
  <c r="I309" i="7" l="1"/>
  <c r="C310" i="7" s="1"/>
  <c r="G310" i="7" s="1"/>
  <c r="I309" i="2"/>
  <c r="C310" i="2" s="1"/>
  <c r="D310" i="2" s="1"/>
  <c r="G310" i="2" s="1"/>
  <c r="U317" i="2"/>
  <c r="O320" i="2"/>
  <c r="R320" i="2" s="1"/>
  <c r="D310" i="7" l="1"/>
  <c r="F310" i="2"/>
  <c r="F310" i="7" s="1"/>
  <c r="I310" i="7" s="1"/>
  <c r="C311" i="7" s="1"/>
  <c r="V317" i="2"/>
  <c r="Y317" i="2" s="1"/>
  <c r="L321" i="2"/>
  <c r="I310" i="2" l="1"/>
  <c r="C311" i="2" s="1"/>
  <c r="D311" i="2" s="1"/>
  <c r="G311" i="2" s="1"/>
  <c r="G311" i="7"/>
  <c r="X317" i="2"/>
  <c r="AA317" i="2" s="1"/>
  <c r="M321" i="2"/>
  <c r="P321" i="2" s="1"/>
  <c r="F311" i="2" l="1"/>
  <c r="F311" i="7" s="1"/>
  <c r="D311" i="7"/>
  <c r="O321" i="2"/>
  <c r="R321" i="2" s="1"/>
  <c r="I311" i="7" l="1"/>
  <c r="C312" i="7" s="1"/>
  <c r="I311" i="2"/>
  <c r="C312" i="2" s="1"/>
  <c r="U318" i="2"/>
  <c r="L322" i="2"/>
  <c r="G312" i="7" l="1"/>
  <c r="D312" i="2"/>
  <c r="G312" i="2" s="1"/>
  <c r="V318" i="2"/>
  <c r="Y318" i="2" s="1"/>
  <c r="M322" i="2"/>
  <c r="P322" i="2" s="1"/>
  <c r="D312" i="7" l="1"/>
  <c r="F312" i="2"/>
  <c r="F312" i="7" s="1"/>
  <c r="X318" i="2"/>
  <c r="AA318" i="2" s="1"/>
  <c r="O322" i="2"/>
  <c r="R322" i="2" s="1"/>
  <c r="I312" i="7" l="1"/>
  <c r="C313" i="7" s="1"/>
  <c r="I312" i="2"/>
  <c r="C313" i="2" s="1"/>
  <c r="L323" i="2"/>
  <c r="D313" i="2" l="1"/>
  <c r="M323" i="2"/>
  <c r="P323" i="2" s="1"/>
  <c r="U319" i="2"/>
  <c r="O323" i="2"/>
  <c r="R323" i="2" l="1"/>
  <c r="F313" i="2"/>
  <c r="F313" i="7" s="1"/>
  <c r="G313" i="2"/>
  <c r="G313" i="7"/>
  <c r="D313" i="7"/>
  <c r="V319" i="2"/>
  <c r="Y319" i="2" s="1"/>
  <c r="L324" i="2"/>
  <c r="I313" i="2" l="1"/>
  <c r="C314" i="2" s="1"/>
  <c r="I313" i="7"/>
  <c r="C314" i="7" s="1"/>
  <c r="X319" i="2"/>
  <c r="AA319" i="2" s="1"/>
  <c r="M324" i="2"/>
  <c r="P324" i="2" s="1"/>
  <c r="G314" i="7" l="1"/>
  <c r="D314" i="2"/>
  <c r="G314" i="2" s="1"/>
  <c r="O324" i="2"/>
  <c r="R324" i="2" s="1"/>
  <c r="D314" i="7" l="1"/>
  <c r="F314" i="2"/>
  <c r="F314" i="7" s="1"/>
  <c r="U320" i="2"/>
  <c r="L325" i="2"/>
  <c r="I314" i="7" l="1"/>
  <c r="C315" i="7" s="1"/>
  <c r="I314" i="2"/>
  <c r="C315" i="2" s="1"/>
  <c r="V320" i="2"/>
  <c r="Y320" i="2" s="1"/>
  <c r="M325" i="2"/>
  <c r="P325" i="2" s="1"/>
  <c r="G315" i="7" l="1"/>
  <c r="D315" i="2"/>
  <c r="F315" i="2" s="1"/>
  <c r="F315" i="7" s="1"/>
  <c r="X320" i="2"/>
  <c r="AA320" i="2" s="1"/>
  <c r="O325" i="2"/>
  <c r="R325" i="2" s="1"/>
  <c r="G315" i="2" l="1"/>
  <c r="I315" i="2" s="1"/>
  <c r="C316" i="2" s="1"/>
  <c r="D315" i="7"/>
  <c r="I315" i="7" s="1"/>
  <c r="C316" i="7" s="1"/>
  <c r="L326" i="2"/>
  <c r="D316" i="2" l="1"/>
  <c r="F316" i="2" s="1"/>
  <c r="F316" i="7" s="1"/>
  <c r="G316" i="7"/>
  <c r="U321" i="2"/>
  <c r="M326" i="2"/>
  <c r="P326" i="2" s="1"/>
  <c r="G316" i="2" l="1"/>
  <c r="I316" i="2" s="1"/>
  <c r="C317" i="2" s="1"/>
  <c r="D316" i="7"/>
  <c r="I316" i="7" s="1"/>
  <c r="C317" i="7" s="1"/>
  <c r="V321" i="2"/>
  <c r="Y321" i="2" s="1"/>
  <c r="O326" i="2"/>
  <c r="R326" i="2" s="1"/>
  <c r="AF360" i="2"/>
  <c r="AI360" i="2" s="1"/>
  <c r="AF351" i="2"/>
  <c r="AI351" i="2" s="1"/>
  <c r="AF344" i="2"/>
  <c r="AI344" i="2" s="1"/>
  <c r="AF336" i="2"/>
  <c r="AI336" i="2" s="1"/>
  <c r="AF328" i="2"/>
  <c r="AI328" i="2" s="1"/>
  <c r="AF320" i="2"/>
  <c r="AI320" i="2" s="1"/>
  <c r="AF312" i="2"/>
  <c r="AI312" i="2" s="1"/>
  <c r="AF304" i="2"/>
  <c r="AI304" i="2" s="1"/>
  <c r="AF295" i="2"/>
  <c r="AI295" i="2" s="1"/>
  <c r="AF288" i="2"/>
  <c r="AI288" i="2" s="1"/>
  <c r="AF280" i="2"/>
  <c r="AI280" i="2" s="1"/>
  <c r="AF272" i="2"/>
  <c r="AI272" i="2" s="1"/>
  <c r="AF264" i="2"/>
  <c r="AI264" i="2" s="1"/>
  <c r="AF257" i="2"/>
  <c r="AI257" i="2" s="1"/>
  <c r="AF249" i="2"/>
  <c r="AI249" i="2" s="1"/>
  <c r="AF240" i="2"/>
  <c r="AI240" i="2" s="1"/>
  <c r="AF233" i="2"/>
  <c r="AI233" i="2" s="1"/>
  <c r="AF224" i="2"/>
  <c r="AI224" i="2" s="1"/>
  <c r="AF216" i="2"/>
  <c r="AI216" i="2" s="1"/>
  <c r="AF209" i="2"/>
  <c r="AI209" i="2" s="1"/>
  <c r="AF200" i="2"/>
  <c r="AI200" i="2" s="1"/>
  <c r="AF192" i="2"/>
  <c r="AI192" i="2" s="1"/>
  <c r="AF184" i="2"/>
  <c r="AI184" i="2" s="1"/>
  <c r="AF176" i="2"/>
  <c r="AI176" i="2" s="1"/>
  <c r="AF168" i="2"/>
  <c r="AI168" i="2" s="1"/>
  <c r="AF159" i="2"/>
  <c r="AI159" i="2" s="1"/>
  <c r="AF152" i="2"/>
  <c r="AI152" i="2" s="1"/>
  <c r="AF144" i="2"/>
  <c r="AI144" i="2" s="1"/>
  <c r="AF136" i="2"/>
  <c r="AI136" i="2" s="1"/>
  <c r="AF128" i="2"/>
  <c r="AI128" i="2" s="1"/>
  <c r="AF120" i="2"/>
  <c r="AI120" i="2" s="1"/>
  <c r="AF112" i="2"/>
  <c r="AI112" i="2" s="1"/>
  <c r="AF104" i="2"/>
  <c r="AI104" i="2" s="1"/>
  <c r="AF96" i="2"/>
  <c r="AI96" i="2" s="1"/>
  <c r="AF88" i="2"/>
  <c r="AI88" i="2" s="1"/>
  <c r="AF80" i="2"/>
  <c r="AI80" i="2" s="1"/>
  <c r="AF72" i="2"/>
  <c r="AI72" i="2" s="1"/>
  <c r="AF63" i="2"/>
  <c r="AI63" i="2" s="1"/>
  <c r="AF56" i="2"/>
  <c r="AI56" i="2" s="1"/>
  <c r="AF48" i="2"/>
  <c r="AI48" i="2" s="1"/>
  <c r="AF40" i="2"/>
  <c r="AI40" i="2" s="1"/>
  <c r="AF32" i="2"/>
  <c r="AI32" i="2" s="1"/>
  <c r="AF24" i="2"/>
  <c r="AI24" i="2" s="1"/>
  <c r="AF16" i="2"/>
  <c r="AI16" i="2" s="1"/>
  <c r="AF8" i="2"/>
  <c r="AI8" i="2" s="1"/>
  <c r="AF359" i="2"/>
  <c r="AI359" i="2" s="1"/>
  <c r="AF352" i="2"/>
  <c r="AI352" i="2" s="1"/>
  <c r="AF343" i="2"/>
  <c r="AI343" i="2" s="1"/>
  <c r="AF335" i="2"/>
  <c r="AI335" i="2" s="1"/>
  <c r="AF327" i="2"/>
  <c r="AI327" i="2" s="1"/>
  <c r="AF319" i="2"/>
  <c r="AI319" i="2" s="1"/>
  <c r="AF311" i="2"/>
  <c r="AI311" i="2" s="1"/>
  <c r="AF303" i="2"/>
  <c r="AI303" i="2" s="1"/>
  <c r="AF296" i="2"/>
  <c r="AI296" i="2" s="1"/>
  <c r="AF287" i="2"/>
  <c r="AI287" i="2" s="1"/>
  <c r="AF279" i="2"/>
  <c r="AI279" i="2" s="1"/>
  <c r="AF271" i="2"/>
  <c r="AI271" i="2" s="1"/>
  <c r="AF263" i="2"/>
  <c r="AI263" i="2" s="1"/>
  <c r="AF255" i="2"/>
  <c r="AI255" i="2" s="1"/>
  <c r="AF247" i="2"/>
  <c r="AI247" i="2" s="1"/>
  <c r="AF239" i="2"/>
  <c r="AI239" i="2" s="1"/>
  <c r="AF231" i="2"/>
  <c r="AI231" i="2" s="1"/>
  <c r="AF223" i="2"/>
  <c r="AI223" i="2" s="1"/>
  <c r="AF215" i="2"/>
  <c r="AI215" i="2" s="1"/>
  <c r="AF207" i="2"/>
  <c r="AI207" i="2" s="1"/>
  <c r="AF199" i="2"/>
  <c r="AI199" i="2" s="1"/>
  <c r="AF191" i="2"/>
  <c r="AI191" i="2" s="1"/>
  <c r="AF183" i="2"/>
  <c r="AI183" i="2" s="1"/>
  <c r="AF175" i="2"/>
  <c r="AI175" i="2" s="1"/>
  <c r="AF167" i="2"/>
  <c r="AI167" i="2" s="1"/>
  <c r="AF160" i="2"/>
  <c r="AI160" i="2" s="1"/>
  <c r="AF151" i="2"/>
  <c r="AI151" i="2" s="1"/>
  <c r="AF143" i="2"/>
  <c r="AI143" i="2" s="1"/>
  <c r="AF135" i="2"/>
  <c r="AI135" i="2" s="1"/>
  <c r="AF127" i="2"/>
  <c r="AI127" i="2" s="1"/>
  <c r="AF119" i="2"/>
  <c r="AI119" i="2" s="1"/>
  <c r="AF111" i="2"/>
  <c r="AI111" i="2" s="1"/>
  <c r="AF103" i="2"/>
  <c r="AI103" i="2" s="1"/>
  <c r="AF95" i="2"/>
  <c r="AI95" i="2" s="1"/>
  <c r="AF87" i="2"/>
  <c r="AI87" i="2" s="1"/>
  <c r="AF79" i="2"/>
  <c r="AI79" i="2" s="1"/>
  <c r="AF70" i="2"/>
  <c r="AI70" i="2" s="1"/>
  <c r="AF64" i="2"/>
  <c r="AI64" i="2" s="1"/>
  <c r="AF55" i="2"/>
  <c r="AI55" i="2" s="1"/>
  <c r="AF47" i="2"/>
  <c r="AI47" i="2" s="1"/>
  <c r="AF39" i="2"/>
  <c r="AI39" i="2" s="1"/>
  <c r="AF31" i="2"/>
  <c r="AI31" i="2" s="1"/>
  <c r="AF23" i="2"/>
  <c r="AI23" i="2" s="1"/>
  <c r="AF14" i="2"/>
  <c r="AI14" i="2" s="1"/>
  <c r="AF7" i="2"/>
  <c r="AI7" i="2" s="1"/>
  <c r="AF358" i="2"/>
  <c r="AI358" i="2" s="1"/>
  <c r="AF350" i="2"/>
  <c r="AI350" i="2" s="1"/>
  <c r="AF342" i="2"/>
  <c r="AI342" i="2" s="1"/>
  <c r="AF334" i="2"/>
  <c r="AI334" i="2" s="1"/>
  <c r="AF326" i="2"/>
  <c r="AI326" i="2" s="1"/>
  <c r="AF318" i="2"/>
  <c r="AI318" i="2" s="1"/>
  <c r="AF310" i="2"/>
  <c r="AI310" i="2" s="1"/>
  <c r="AF302" i="2"/>
  <c r="AI302" i="2" s="1"/>
  <c r="AF294" i="2"/>
  <c r="AI294" i="2" s="1"/>
  <c r="AF286" i="2"/>
  <c r="AI286" i="2" s="1"/>
  <c r="AF278" i="2"/>
  <c r="AI278" i="2" s="1"/>
  <c r="AF270" i="2"/>
  <c r="AI270" i="2" s="1"/>
  <c r="AF262" i="2"/>
  <c r="AI262" i="2" s="1"/>
  <c r="AF254" i="2"/>
  <c r="AI254" i="2" s="1"/>
  <c r="AF246" i="2"/>
  <c r="AI246" i="2" s="1"/>
  <c r="AF238" i="2"/>
  <c r="AI238" i="2" s="1"/>
  <c r="AF230" i="2"/>
  <c r="AI230" i="2" s="1"/>
  <c r="AF222" i="2"/>
  <c r="AI222" i="2" s="1"/>
  <c r="AF214" i="2"/>
  <c r="AI214" i="2" s="1"/>
  <c r="AF205" i="2"/>
  <c r="AI205" i="2" s="1"/>
  <c r="AF197" i="2"/>
  <c r="AI197" i="2" s="1"/>
  <c r="AF190" i="2"/>
  <c r="AI190" i="2" s="1"/>
  <c r="AF182" i="2"/>
  <c r="AI182" i="2" s="1"/>
  <c r="AF174" i="2"/>
  <c r="AI174" i="2" s="1"/>
  <c r="AF166" i="2"/>
  <c r="AI166" i="2" s="1"/>
  <c r="AF158" i="2"/>
  <c r="AI158" i="2" s="1"/>
  <c r="AF150" i="2"/>
  <c r="AI150" i="2" s="1"/>
  <c r="AF142" i="2"/>
  <c r="AI142" i="2" s="1"/>
  <c r="AF134" i="2"/>
  <c r="AI134" i="2" s="1"/>
  <c r="AF126" i="2"/>
  <c r="AI126" i="2" s="1"/>
  <c r="AF118" i="2"/>
  <c r="AI118" i="2" s="1"/>
  <c r="AF109" i="2"/>
  <c r="AI109" i="2" s="1"/>
  <c r="AF102" i="2"/>
  <c r="AI102" i="2" s="1"/>
  <c r="AF94" i="2"/>
  <c r="AI94" i="2" s="1"/>
  <c r="AF86" i="2"/>
  <c r="AI86" i="2" s="1"/>
  <c r="AF78" i="2"/>
  <c r="AI78" i="2" s="1"/>
  <c r="AF71" i="2"/>
  <c r="AI71" i="2" s="1"/>
  <c r="AF62" i="2"/>
  <c r="AI62" i="2" s="1"/>
  <c r="AF54" i="2"/>
  <c r="AI54" i="2" s="1"/>
  <c r="AF46" i="2"/>
  <c r="AI46" i="2" s="1"/>
  <c r="AF38" i="2"/>
  <c r="AI38" i="2" s="1"/>
  <c r="AF30" i="2"/>
  <c r="AI30" i="2" s="1"/>
  <c r="AF22" i="2"/>
  <c r="AI22" i="2" s="1"/>
  <c r="AF15" i="2"/>
  <c r="AI15" i="2" s="1"/>
  <c r="AF6" i="2"/>
  <c r="AI6" i="2" s="1"/>
  <c r="AF357" i="2"/>
  <c r="AI357" i="2" s="1"/>
  <c r="AF349" i="2"/>
  <c r="AI349" i="2" s="1"/>
  <c r="AF341" i="2"/>
  <c r="AI341" i="2" s="1"/>
  <c r="AF333" i="2"/>
  <c r="AI333" i="2" s="1"/>
  <c r="AF325" i="2"/>
  <c r="AI325" i="2" s="1"/>
  <c r="AF317" i="2"/>
  <c r="AI317" i="2" s="1"/>
  <c r="AF308" i="2"/>
  <c r="AI308" i="2" s="1"/>
  <c r="AF301" i="2"/>
  <c r="AI301" i="2" s="1"/>
  <c r="AF293" i="2"/>
  <c r="AI293" i="2" s="1"/>
  <c r="AF285" i="2"/>
  <c r="AI285" i="2" s="1"/>
  <c r="AF276" i="2"/>
  <c r="AI276" i="2" s="1"/>
  <c r="AF269" i="2"/>
  <c r="AI269" i="2" s="1"/>
  <c r="AF261" i="2"/>
  <c r="AI261" i="2" s="1"/>
  <c r="AF253" i="2"/>
  <c r="AI253" i="2" s="1"/>
  <c r="AF245" i="2"/>
  <c r="AI245" i="2" s="1"/>
  <c r="AF236" i="2"/>
  <c r="AI236" i="2" s="1"/>
  <c r="AF229" i="2"/>
  <c r="AI229" i="2" s="1"/>
  <c r="AF221" i="2"/>
  <c r="AI221" i="2" s="1"/>
  <c r="AF212" i="2"/>
  <c r="AI212" i="2" s="1"/>
  <c r="AF206" i="2"/>
  <c r="AI206" i="2" s="1"/>
  <c r="AF198" i="2"/>
  <c r="AI198" i="2" s="1"/>
  <c r="AF189" i="2"/>
  <c r="AI189" i="2" s="1"/>
  <c r="AF181" i="2"/>
  <c r="AI181" i="2" s="1"/>
  <c r="AF173" i="2"/>
  <c r="AI173" i="2" s="1"/>
  <c r="AF165" i="2"/>
  <c r="AI165" i="2" s="1"/>
  <c r="AF157" i="2"/>
  <c r="AI157" i="2" s="1"/>
  <c r="AF148" i="2"/>
  <c r="AI148" i="2" s="1"/>
  <c r="AF141" i="2"/>
  <c r="AI141" i="2" s="1"/>
  <c r="AF133" i="2"/>
  <c r="AI133" i="2" s="1"/>
  <c r="AF124" i="2"/>
  <c r="AI124" i="2" s="1"/>
  <c r="AF117" i="2"/>
  <c r="AI117" i="2" s="1"/>
  <c r="AF110" i="2"/>
  <c r="AI110" i="2" s="1"/>
  <c r="AF101" i="2"/>
  <c r="AI101" i="2" s="1"/>
  <c r="AF93" i="2"/>
  <c r="AI93" i="2" s="1"/>
  <c r="AF85" i="2"/>
  <c r="AI85" i="2" s="1"/>
  <c r="AF77" i="2"/>
  <c r="AI77" i="2" s="1"/>
  <c r="AF69" i="2"/>
  <c r="AI69" i="2" s="1"/>
  <c r="AF61" i="2"/>
  <c r="AI61" i="2" s="1"/>
  <c r="AF53" i="2"/>
  <c r="AI53" i="2" s="1"/>
  <c r="AF45" i="2"/>
  <c r="AI45" i="2" s="1"/>
  <c r="AF37" i="2"/>
  <c r="AI37" i="2" s="1"/>
  <c r="AF29" i="2"/>
  <c r="AI29" i="2" s="1"/>
  <c r="AF21" i="2"/>
  <c r="AI21" i="2" s="1"/>
  <c r="AF13" i="2"/>
  <c r="AI13" i="2" s="1"/>
  <c r="AF5" i="2"/>
  <c r="AF356" i="2"/>
  <c r="AI356" i="2" s="1"/>
  <c r="AF348" i="2"/>
  <c r="AI348" i="2" s="1"/>
  <c r="AF340" i="2"/>
  <c r="AI340" i="2" s="1"/>
  <c r="AF332" i="2"/>
  <c r="AI332" i="2" s="1"/>
  <c r="AF324" i="2"/>
  <c r="AI324" i="2" s="1"/>
  <c r="AF316" i="2"/>
  <c r="AI316" i="2" s="1"/>
  <c r="AF309" i="2"/>
  <c r="AI309" i="2" s="1"/>
  <c r="AF300" i="2"/>
  <c r="AI300" i="2" s="1"/>
  <c r="AF292" i="2"/>
  <c r="AI292" i="2" s="1"/>
  <c r="AF284" i="2"/>
  <c r="AI284" i="2" s="1"/>
  <c r="AF277" i="2"/>
  <c r="AI277" i="2" s="1"/>
  <c r="AF268" i="2"/>
  <c r="AI268" i="2" s="1"/>
  <c r="AF260" i="2"/>
  <c r="AI260" i="2" s="1"/>
  <c r="AF252" i="2"/>
  <c r="AI252" i="2" s="1"/>
  <c r="AF244" i="2"/>
  <c r="AI244" i="2" s="1"/>
  <c r="AF237" i="2"/>
  <c r="AI237" i="2" s="1"/>
  <c r="AF228" i="2"/>
  <c r="AI228" i="2" s="1"/>
  <c r="AF220" i="2"/>
  <c r="AI220" i="2" s="1"/>
  <c r="AF213" i="2"/>
  <c r="AI213" i="2" s="1"/>
  <c r="AF204" i="2"/>
  <c r="AI204" i="2" s="1"/>
  <c r="AF196" i="2"/>
  <c r="AI196" i="2" s="1"/>
  <c r="AF187" i="2"/>
  <c r="AI187" i="2" s="1"/>
  <c r="AF180" i="2"/>
  <c r="AI180" i="2" s="1"/>
  <c r="AF172" i="2"/>
  <c r="AI172" i="2" s="1"/>
  <c r="AF164" i="2"/>
  <c r="AI164" i="2" s="1"/>
  <c r="AF156" i="2"/>
  <c r="AI156" i="2" s="1"/>
  <c r="AF149" i="2"/>
  <c r="AI149" i="2" s="1"/>
  <c r="AF140" i="2"/>
  <c r="AI140" i="2" s="1"/>
  <c r="AF132" i="2"/>
  <c r="AI132" i="2" s="1"/>
  <c r="AF125" i="2"/>
  <c r="AI125" i="2" s="1"/>
  <c r="AF116" i="2"/>
  <c r="AI116" i="2" s="1"/>
  <c r="AF108" i="2"/>
  <c r="AI108" i="2" s="1"/>
  <c r="AF100" i="2"/>
  <c r="AI100" i="2" s="1"/>
  <c r="AF92" i="2"/>
  <c r="AI92" i="2" s="1"/>
  <c r="AF84" i="2"/>
  <c r="AI84" i="2" s="1"/>
  <c r="AF76" i="2"/>
  <c r="AI76" i="2" s="1"/>
  <c r="AF68" i="2"/>
  <c r="AI68" i="2" s="1"/>
  <c r="AF60" i="2"/>
  <c r="AI60" i="2" s="1"/>
  <c r="AF52" i="2"/>
  <c r="AI52" i="2" s="1"/>
  <c r="AF43" i="2"/>
  <c r="AI43" i="2" s="1"/>
  <c r="AF36" i="2"/>
  <c r="AI36" i="2" s="1"/>
  <c r="AF28" i="2"/>
  <c r="AI28" i="2" s="1"/>
  <c r="AF20" i="2"/>
  <c r="AI20" i="2" s="1"/>
  <c r="AF12" i="2"/>
  <c r="AI12" i="2" s="1"/>
  <c r="AF355" i="2"/>
  <c r="AI355" i="2" s="1"/>
  <c r="AF347" i="2"/>
  <c r="AI347" i="2" s="1"/>
  <c r="AF339" i="2"/>
  <c r="AI339" i="2" s="1"/>
  <c r="AF331" i="2"/>
  <c r="AI331" i="2" s="1"/>
  <c r="AF323" i="2"/>
  <c r="AI323" i="2" s="1"/>
  <c r="AF315" i="2"/>
  <c r="AI315" i="2" s="1"/>
  <c r="AF307" i="2"/>
  <c r="AI307" i="2" s="1"/>
  <c r="AF299" i="2"/>
  <c r="AI299" i="2" s="1"/>
  <c r="AF291" i="2"/>
  <c r="AI291" i="2" s="1"/>
  <c r="AF283" i="2"/>
  <c r="AI283" i="2" s="1"/>
  <c r="AF275" i="2"/>
  <c r="AI275" i="2" s="1"/>
  <c r="AF267" i="2"/>
  <c r="AI267" i="2" s="1"/>
  <c r="AF259" i="2"/>
  <c r="AI259" i="2" s="1"/>
  <c r="AF251" i="2"/>
  <c r="AI251" i="2" s="1"/>
  <c r="AF243" i="2"/>
  <c r="AI243" i="2" s="1"/>
  <c r="AF235" i="2"/>
  <c r="AI235" i="2" s="1"/>
  <c r="AF227" i="2"/>
  <c r="AI227" i="2" s="1"/>
  <c r="AF219" i="2"/>
  <c r="AI219" i="2" s="1"/>
  <c r="AF211" i="2"/>
  <c r="AI211" i="2" s="1"/>
  <c r="AF203" i="2"/>
  <c r="AI203" i="2" s="1"/>
  <c r="AF195" i="2"/>
  <c r="AI195" i="2" s="1"/>
  <c r="AF188" i="2"/>
  <c r="AI188" i="2" s="1"/>
  <c r="AF179" i="2"/>
  <c r="AI179" i="2" s="1"/>
  <c r="AF171" i="2"/>
  <c r="AI171" i="2" s="1"/>
  <c r="AF163" i="2"/>
  <c r="AI163" i="2" s="1"/>
  <c r="AF155" i="2"/>
  <c r="AI155" i="2" s="1"/>
  <c r="AF147" i="2"/>
  <c r="AI147" i="2" s="1"/>
  <c r="AF138" i="2"/>
  <c r="AI138" i="2" s="1"/>
  <c r="AF131" i="2"/>
  <c r="AI131" i="2" s="1"/>
  <c r="AF123" i="2"/>
  <c r="AI123" i="2" s="1"/>
  <c r="AF115" i="2"/>
  <c r="AI115" i="2" s="1"/>
  <c r="AF107" i="2"/>
  <c r="AI107" i="2" s="1"/>
  <c r="AF99" i="2"/>
  <c r="AI99" i="2" s="1"/>
  <c r="AF90" i="2"/>
  <c r="AI90" i="2" s="1"/>
  <c r="AF83" i="2"/>
  <c r="AI83" i="2" s="1"/>
  <c r="AF75" i="2"/>
  <c r="AI75" i="2" s="1"/>
  <c r="AF67" i="2"/>
  <c r="AI67" i="2" s="1"/>
  <c r="AF59" i="2"/>
  <c r="AI59" i="2" s="1"/>
  <c r="AF51" i="2"/>
  <c r="AI51" i="2" s="1"/>
  <c r="AF44" i="2"/>
  <c r="AI44" i="2" s="1"/>
  <c r="AF35" i="2"/>
  <c r="AI35" i="2" s="1"/>
  <c r="AF27" i="2"/>
  <c r="AI27" i="2" s="1"/>
  <c r="AF19" i="2"/>
  <c r="AI19" i="2" s="1"/>
  <c r="AF11" i="2"/>
  <c r="AI11" i="2" s="1"/>
  <c r="AF362" i="2"/>
  <c r="AI362" i="2" s="1"/>
  <c r="AF354" i="2"/>
  <c r="AI354" i="2" s="1"/>
  <c r="AF346" i="2"/>
  <c r="AI346" i="2" s="1"/>
  <c r="AF338" i="2"/>
  <c r="AI338" i="2" s="1"/>
  <c r="AF330" i="2"/>
  <c r="AI330" i="2" s="1"/>
  <c r="AF322" i="2"/>
  <c r="AI322" i="2" s="1"/>
  <c r="AF314" i="2"/>
  <c r="AI314" i="2" s="1"/>
  <c r="AF305" i="2"/>
  <c r="AI305" i="2" s="1"/>
  <c r="AF298" i="2"/>
  <c r="AI298" i="2" s="1"/>
  <c r="AF290" i="2"/>
  <c r="AI290" i="2" s="1"/>
  <c r="AF282" i="2"/>
  <c r="AI282" i="2" s="1"/>
  <c r="AF273" i="2"/>
  <c r="AI273" i="2" s="1"/>
  <c r="AF266" i="2"/>
  <c r="AI266" i="2" s="1"/>
  <c r="AF258" i="2"/>
  <c r="AI258" i="2" s="1"/>
  <c r="AF250" i="2"/>
  <c r="AI250" i="2" s="1"/>
  <c r="AF241" i="2"/>
  <c r="AI241" i="2" s="1"/>
  <c r="AF234" i="2"/>
  <c r="AI234" i="2" s="1"/>
  <c r="AF226" i="2"/>
  <c r="AI226" i="2" s="1"/>
  <c r="AF218" i="2"/>
  <c r="AI218" i="2" s="1"/>
  <c r="AF210" i="2"/>
  <c r="AI210" i="2" s="1"/>
  <c r="AF202" i="2"/>
  <c r="AI202" i="2" s="1"/>
  <c r="AF193" i="2"/>
  <c r="AI193" i="2" s="1"/>
  <c r="AF186" i="2"/>
  <c r="AI186" i="2" s="1"/>
  <c r="AF178" i="2"/>
  <c r="AI178" i="2" s="1"/>
  <c r="AF170" i="2"/>
  <c r="AI170" i="2" s="1"/>
  <c r="AF162" i="2"/>
  <c r="AI162" i="2" s="1"/>
  <c r="AF154" i="2"/>
  <c r="AI154" i="2" s="1"/>
  <c r="AF145" i="2"/>
  <c r="AI145" i="2" s="1"/>
  <c r="AF139" i="2"/>
  <c r="AI139" i="2" s="1"/>
  <c r="AF130" i="2"/>
  <c r="AI130" i="2" s="1"/>
  <c r="AF121" i="2"/>
  <c r="AI121" i="2" s="1"/>
  <c r="AF114" i="2"/>
  <c r="AI114" i="2" s="1"/>
  <c r="AF106" i="2"/>
  <c r="AI106" i="2" s="1"/>
  <c r="AF98" i="2"/>
  <c r="AI98" i="2" s="1"/>
  <c r="AF91" i="2"/>
  <c r="AI91" i="2" s="1"/>
  <c r="AF82" i="2"/>
  <c r="AI82" i="2" s="1"/>
  <c r="AF74" i="2"/>
  <c r="AI74" i="2" s="1"/>
  <c r="AF66" i="2"/>
  <c r="AI66" i="2" s="1"/>
  <c r="AF58" i="2"/>
  <c r="AI58" i="2" s="1"/>
  <c r="AF50" i="2"/>
  <c r="AI50" i="2" s="1"/>
  <c r="AF42" i="2"/>
  <c r="AI42" i="2" s="1"/>
  <c r="AF34" i="2"/>
  <c r="AI34" i="2" s="1"/>
  <c r="AF26" i="2"/>
  <c r="AI26" i="2" s="1"/>
  <c r="AF18" i="2"/>
  <c r="AI18" i="2" s="1"/>
  <c r="AF10" i="2"/>
  <c r="AI10" i="2" s="1"/>
  <c r="AF361" i="2"/>
  <c r="AI361" i="2" s="1"/>
  <c r="AF353" i="2"/>
  <c r="AI353" i="2" s="1"/>
  <c r="AF345" i="2"/>
  <c r="AI345" i="2" s="1"/>
  <c r="AF337" i="2"/>
  <c r="AI337" i="2" s="1"/>
  <c r="AF329" i="2"/>
  <c r="AI329" i="2" s="1"/>
  <c r="AF321" i="2"/>
  <c r="AI321" i="2" s="1"/>
  <c r="AF313" i="2"/>
  <c r="AI313" i="2" s="1"/>
  <c r="AF306" i="2"/>
  <c r="AI306" i="2" s="1"/>
  <c r="AF297" i="2"/>
  <c r="AI297" i="2" s="1"/>
  <c r="AF289" i="2"/>
  <c r="AI289" i="2" s="1"/>
  <c r="AF281" i="2"/>
  <c r="AI281" i="2" s="1"/>
  <c r="AF274" i="2"/>
  <c r="AI274" i="2" s="1"/>
  <c r="AF265" i="2"/>
  <c r="AI265" i="2" s="1"/>
  <c r="AF256" i="2"/>
  <c r="AI256" i="2" s="1"/>
  <c r="AF248" i="2"/>
  <c r="AI248" i="2" s="1"/>
  <c r="AF242" i="2"/>
  <c r="AI242" i="2" s="1"/>
  <c r="AF232" i="2"/>
  <c r="AI232" i="2" s="1"/>
  <c r="AF225" i="2"/>
  <c r="AI225" i="2" s="1"/>
  <c r="AF217" i="2"/>
  <c r="AI217" i="2" s="1"/>
  <c r="AF208" i="2"/>
  <c r="AI208" i="2" s="1"/>
  <c r="AF201" i="2"/>
  <c r="AI201" i="2" s="1"/>
  <c r="AF194" i="2"/>
  <c r="AI194" i="2" s="1"/>
  <c r="AF185" i="2"/>
  <c r="AI185" i="2" s="1"/>
  <c r="AF177" i="2"/>
  <c r="AI177" i="2" s="1"/>
  <c r="AF169" i="2"/>
  <c r="AI169" i="2" s="1"/>
  <c r="AF161" i="2"/>
  <c r="AI161" i="2" s="1"/>
  <c r="AF153" i="2"/>
  <c r="AI153" i="2" s="1"/>
  <c r="AF146" i="2"/>
  <c r="AI146" i="2" s="1"/>
  <c r="AF137" i="2"/>
  <c r="AI137" i="2" s="1"/>
  <c r="AF129" i="2"/>
  <c r="AI129" i="2" s="1"/>
  <c r="AF122" i="2"/>
  <c r="AI122" i="2" s="1"/>
  <c r="AF113" i="2"/>
  <c r="AI113" i="2" s="1"/>
  <c r="AF105" i="2"/>
  <c r="AI105" i="2" s="1"/>
  <c r="AF97" i="2"/>
  <c r="AI97" i="2" s="1"/>
  <c r="AF89" i="2"/>
  <c r="AI89" i="2" s="1"/>
  <c r="AF81" i="2"/>
  <c r="AI81" i="2" s="1"/>
  <c r="AF73" i="2"/>
  <c r="AI73" i="2" s="1"/>
  <c r="AF65" i="2"/>
  <c r="AI65" i="2" s="1"/>
  <c r="AF57" i="2"/>
  <c r="AI57" i="2" s="1"/>
  <c r="AF49" i="2"/>
  <c r="AI49" i="2" s="1"/>
  <c r="AF41" i="2"/>
  <c r="AI41" i="2" s="1"/>
  <c r="AF33" i="2"/>
  <c r="AI33" i="2" s="1"/>
  <c r="AF25" i="2"/>
  <c r="AI25" i="2" s="1"/>
  <c r="AF17" i="2"/>
  <c r="AI17" i="2" s="1"/>
  <c r="AF9" i="2"/>
  <c r="AI9" i="2" s="1"/>
  <c r="D317" i="2" l="1"/>
  <c r="G317" i="2" s="1"/>
  <c r="G317" i="7"/>
  <c r="X321" i="2"/>
  <c r="AA321" i="2" s="1"/>
  <c r="AI5" i="2"/>
  <c r="Q6" i="1"/>
  <c r="Q7" i="1"/>
  <c r="L327" i="2"/>
  <c r="F317" i="2" l="1"/>
  <c r="F317" i="7" s="1"/>
  <c r="D317" i="7"/>
  <c r="Q5" i="1"/>
  <c r="M327" i="2"/>
  <c r="P327" i="2" s="1"/>
  <c r="I317" i="7" l="1"/>
  <c r="C318" i="7" s="1"/>
  <c r="I317" i="2"/>
  <c r="C318" i="2" s="1"/>
  <c r="D318" i="2" s="1"/>
  <c r="G318" i="2" s="1"/>
  <c r="U322" i="2"/>
  <c r="O327" i="2"/>
  <c r="R327" i="2" s="1"/>
  <c r="D318" i="7" l="1"/>
  <c r="G318" i="7"/>
  <c r="F318" i="2"/>
  <c r="F318" i="7" s="1"/>
  <c r="V322" i="2"/>
  <c r="Y322" i="2" s="1"/>
  <c r="L328" i="2"/>
  <c r="I318" i="7" l="1"/>
  <c r="C319" i="7" s="1"/>
  <c r="I318" i="2"/>
  <c r="C319" i="2" s="1"/>
  <c r="X322" i="2"/>
  <c r="AA322" i="2" s="1"/>
  <c r="M328" i="2"/>
  <c r="P328" i="2" s="1"/>
  <c r="G319" i="7" l="1"/>
  <c r="D319" i="2"/>
  <c r="G319" i="2" s="1"/>
  <c r="O328" i="2"/>
  <c r="R328" i="2" s="1"/>
  <c r="F319" i="2" l="1"/>
  <c r="F319" i="7" s="1"/>
  <c r="D319" i="7"/>
  <c r="U323" i="2"/>
  <c r="L329" i="2"/>
  <c r="I319" i="2" l="1"/>
  <c r="C320" i="2" s="1"/>
  <c r="D320" i="2" s="1"/>
  <c r="G320" i="2" s="1"/>
  <c r="I319" i="7"/>
  <c r="C320" i="7" s="1"/>
  <c r="G320" i="7" s="1"/>
  <c r="V323" i="2"/>
  <c r="Y323" i="2" s="1"/>
  <c r="M329" i="2"/>
  <c r="P329" i="2" s="1"/>
  <c r="F320" i="2" l="1"/>
  <c r="F320" i="7" s="1"/>
  <c r="D320" i="7"/>
  <c r="X323" i="2"/>
  <c r="AA323" i="2" s="1"/>
  <c r="O329" i="2"/>
  <c r="R329" i="2" s="1"/>
  <c r="I320" i="7" l="1"/>
  <c r="C321" i="7" s="1"/>
  <c r="I320" i="2"/>
  <c r="C321" i="2" s="1"/>
  <c r="L330" i="2"/>
  <c r="D321" i="2" l="1"/>
  <c r="G321" i="2" s="1"/>
  <c r="U324" i="2"/>
  <c r="M330" i="2"/>
  <c r="P330" i="2" s="1"/>
  <c r="F321" i="2" l="1"/>
  <c r="F321" i="7" s="1"/>
  <c r="D321" i="7"/>
  <c r="G321" i="7"/>
  <c r="V324" i="2"/>
  <c r="Y324" i="2" s="1"/>
  <c r="O330" i="2"/>
  <c r="R330" i="2" s="1"/>
  <c r="I321" i="7" l="1"/>
  <c r="C322" i="7" s="1"/>
  <c r="I321" i="2"/>
  <c r="C322" i="2" s="1"/>
  <c r="D322" i="2" s="1"/>
  <c r="G322" i="2" s="1"/>
  <c r="X324" i="2"/>
  <c r="AA324" i="2" s="1"/>
  <c r="L331" i="2"/>
  <c r="F322" i="2" l="1"/>
  <c r="F322" i="7" s="1"/>
  <c r="G322" i="7"/>
  <c r="D322" i="7"/>
  <c r="M331" i="2"/>
  <c r="P331" i="2" s="1"/>
  <c r="I322" i="7" l="1"/>
  <c r="C323" i="7" s="1"/>
  <c r="I322" i="2"/>
  <c r="C323" i="2" s="1"/>
  <c r="U325" i="2"/>
  <c r="O331" i="2"/>
  <c r="R331" i="2" s="1"/>
  <c r="D323" i="2" l="1"/>
  <c r="G323" i="2" s="1"/>
  <c r="G323" i="7"/>
  <c r="V325" i="2"/>
  <c r="Y325" i="2" s="1"/>
  <c r="L332" i="2"/>
  <c r="F323" i="2" l="1"/>
  <c r="F323" i="7" s="1"/>
  <c r="D323" i="7"/>
  <c r="X325" i="2"/>
  <c r="M332" i="2"/>
  <c r="P332" i="2" s="1"/>
  <c r="I323" i="2" l="1"/>
  <c r="C324" i="2" s="1"/>
  <c r="D324" i="2" s="1"/>
  <c r="G324" i="2" s="1"/>
  <c r="I323" i="7"/>
  <c r="C324" i="7" s="1"/>
  <c r="G324" i="7" s="1"/>
  <c r="AA325" i="2"/>
  <c r="U326" i="2" s="1"/>
  <c r="O332" i="2"/>
  <c r="R332" i="2" s="1"/>
  <c r="D324" i="7" l="1"/>
  <c r="F324" i="2"/>
  <c r="F324" i="7" s="1"/>
  <c r="V326" i="2"/>
  <c r="Y326" i="2" s="1"/>
  <c r="L333" i="2"/>
  <c r="I324" i="7" l="1"/>
  <c r="C325" i="7" s="1"/>
  <c r="G325" i="7" s="1"/>
  <c r="I324" i="2"/>
  <c r="C325" i="2" s="1"/>
  <c r="D325" i="2" s="1"/>
  <c r="G325" i="2" s="1"/>
  <c r="X326" i="2"/>
  <c r="AA326" i="2" s="1"/>
  <c r="M333" i="2"/>
  <c r="P333" i="2" s="1"/>
  <c r="F325" i="2" l="1"/>
  <c r="F325" i="7" s="1"/>
  <c r="D325" i="7"/>
  <c r="O333" i="2"/>
  <c r="R333" i="2" s="1"/>
  <c r="I325" i="7" l="1"/>
  <c r="C326" i="7" s="1"/>
  <c r="G326" i="7" s="1"/>
  <c r="I325" i="2"/>
  <c r="C326" i="2" s="1"/>
  <c r="D326" i="2" s="1"/>
  <c r="G326" i="2" s="1"/>
  <c r="U327" i="2"/>
  <c r="L334" i="2"/>
  <c r="F326" i="2" l="1"/>
  <c r="I326" i="2" s="1"/>
  <c r="C327" i="2" s="1"/>
  <c r="D327" i="2" s="1"/>
  <c r="G327" i="2" s="1"/>
  <c r="D326" i="7"/>
  <c r="V327" i="2"/>
  <c r="Y327" i="2" s="1"/>
  <c r="M334" i="2"/>
  <c r="P334" i="2" s="1"/>
  <c r="F326" i="7" l="1"/>
  <c r="I326" i="7" s="1"/>
  <c r="C327" i="7" s="1"/>
  <c r="G327" i="7" s="1"/>
  <c r="F327" i="2"/>
  <c r="I327" i="2" s="1"/>
  <c r="X327" i="2"/>
  <c r="D327" i="7"/>
  <c r="O334" i="2"/>
  <c r="R334" i="2" s="1"/>
  <c r="F327" i="7" l="1"/>
  <c r="I327" i="7" s="1"/>
  <c r="C328" i="7" s="1"/>
  <c r="AA327" i="2"/>
  <c r="U328" i="2" s="1"/>
  <c r="C328" i="2"/>
  <c r="L335" i="2"/>
  <c r="G328" i="7" l="1"/>
  <c r="V328" i="2"/>
  <c r="Y328" i="2" s="1"/>
  <c r="D328" i="2"/>
  <c r="G328" i="2" s="1"/>
  <c r="M335" i="2"/>
  <c r="P335" i="2" s="1"/>
  <c r="F328" i="2" l="1"/>
  <c r="I328" i="2" s="1"/>
  <c r="X328" i="2"/>
  <c r="D328" i="7"/>
  <c r="O335" i="2"/>
  <c r="R335" i="2" s="1"/>
  <c r="F328" i="7" l="1"/>
  <c r="I328" i="7" s="1"/>
  <c r="C329" i="7" s="1"/>
  <c r="AA328" i="2"/>
  <c r="C329" i="2"/>
  <c r="L336" i="2"/>
  <c r="U329" i="2" l="1"/>
  <c r="D329" i="2"/>
  <c r="G329" i="2" s="1"/>
  <c r="M336" i="2"/>
  <c r="P336" i="2" s="1"/>
  <c r="F329" i="2" l="1"/>
  <c r="I329" i="2" s="1"/>
  <c r="G329" i="7"/>
  <c r="V329" i="2"/>
  <c r="Y329" i="2" s="1"/>
  <c r="O336" i="2"/>
  <c r="R336" i="2" s="1"/>
  <c r="X329" i="2" l="1"/>
  <c r="F329" i="7" s="1"/>
  <c r="D329" i="7"/>
  <c r="C330" i="2"/>
  <c r="L337" i="2"/>
  <c r="AA329" i="2" l="1"/>
  <c r="I329" i="7"/>
  <c r="C330" i="7" s="1"/>
  <c r="D330" i="2"/>
  <c r="G330" i="2" s="1"/>
  <c r="M337" i="2"/>
  <c r="P337" i="2" s="1"/>
  <c r="F330" i="2" l="1"/>
  <c r="I330" i="2" s="1"/>
  <c r="U330" i="2"/>
  <c r="O337" i="2"/>
  <c r="R337" i="2" s="1"/>
  <c r="V330" i="2" l="1"/>
  <c r="Y330" i="2" s="1"/>
  <c r="C331" i="2"/>
  <c r="L338" i="2"/>
  <c r="G330" i="7" l="1"/>
  <c r="X330" i="2"/>
  <c r="F330" i="7" s="1"/>
  <c r="D330" i="7"/>
  <c r="D331" i="2"/>
  <c r="G331" i="2" s="1"/>
  <c r="M338" i="2"/>
  <c r="P338" i="2" s="1"/>
  <c r="AA330" i="2" l="1"/>
  <c r="F331" i="2"/>
  <c r="I331" i="2" s="1"/>
  <c r="I330" i="7"/>
  <c r="C331" i="7" s="1"/>
  <c r="O338" i="2"/>
  <c r="R338" i="2" s="1"/>
  <c r="U331" i="2" l="1"/>
  <c r="C332" i="2"/>
  <c r="L339" i="2"/>
  <c r="V331" i="2" l="1"/>
  <c r="Y331" i="2" s="1"/>
  <c r="D332" i="2"/>
  <c r="G332" i="2" s="1"/>
  <c r="M339" i="2"/>
  <c r="P339" i="2" s="1"/>
  <c r="F332" i="2" l="1"/>
  <c r="I332" i="2" s="1"/>
  <c r="G331" i="7"/>
  <c r="X331" i="2"/>
  <c r="AA331" i="2" s="1"/>
  <c r="D331" i="7"/>
  <c r="O339" i="2"/>
  <c r="R339" i="2" s="1"/>
  <c r="F331" i="7" l="1"/>
  <c r="I331" i="7" s="1"/>
  <c r="C332" i="7" s="1"/>
  <c r="C333" i="2"/>
  <c r="L340" i="2"/>
  <c r="U332" i="2" l="1"/>
  <c r="D333" i="2"/>
  <c r="G333" i="2" s="1"/>
  <c r="M340" i="2"/>
  <c r="P340" i="2" s="1"/>
  <c r="F333" i="2" l="1"/>
  <c r="I333" i="2" s="1"/>
  <c r="V332" i="2"/>
  <c r="Y332" i="2" s="1"/>
  <c r="O340" i="2"/>
  <c r="R340" i="2" s="1"/>
  <c r="G332" i="7" l="1"/>
  <c r="X332" i="2"/>
  <c r="F332" i="7" s="1"/>
  <c r="D332" i="7"/>
  <c r="C334" i="2"/>
  <c r="L341" i="2"/>
  <c r="AA332" i="2" l="1"/>
  <c r="I332" i="7"/>
  <c r="C333" i="7" s="1"/>
  <c r="D334" i="2"/>
  <c r="G334" i="2" s="1"/>
  <c r="M341" i="2"/>
  <c r="P341" i="2" s="1"/>
  <c r="F334" i="2" l="1"/>
  <c r="I334" i="2" s="1"/>
  <c r="U333" i="2"/>
  <c r="O341" i="2"/>
  <c r="R341" i="2" s="1"/>
  <c r="V333" i="2" l="1"/>
  <c r="Y333" i="2" s="1"/>
  <c r="C335" i="2"/>
  <c r="L342" i="2"/>
  <c r="D333" i="7" l="1"/>
  <c r="X333" i="2"/>
  <c r="F333" i="7" s="1"/>
  <c r="G333" i="7"/>
  <c r="D335" i="2"/>
  <c r="G335" i="2" s="1"/>
  <c r="M342" i="2"/>
  <c r="P342" i="2" s="1"/>
  <c r="F335" i="2" l="1"/>
  <c r="I335" i="2" s="1"/>
  <c r="I333" i="7"/>
  <c r="C334" i="7" s="1"/>
  <c r="AA333" i="2"/>
  <c r="O342" i="2"/>
  <c r="R342" i="2" s="1"/>
  <c r="U334" i="2" l="1"/>
  <c r="C336" i="2"/>
  <c r="L343" i="2"/>
  <c r="V334" i="2" l="1"/>
  <c r="Y334" i="2" s="1"/>
  <c r="D336" i="2"/>
  <c r="G336" i="2" s="1"/>
  <c r="M343" i="2"/>
  <c r="P343" i="2" s="1"/>
  <c r="F336" i="2" l="1"/>
  <c r="I336" i="2" s="1"/>
  <c r="G334" i="7"/>
  <c r="X334" i="2"/>
  <c r="F334" i="7" s="1"/>
  <c r="D334" i="7"/>
  <c r="O343" i="2"/>
  <c r="R343" i="2" s="1"/>
  <c r="AA334" i="2" l="1"/>
  <c r="I334" i="7"/>
  <c r="C335" i="7" s="1"/>
  <c r="C337" i="2"/>
  <c r="L344" i="2"/>
  <c r="U335" i="2" l="1"/>
  <c r="D337" i="2"/>
  <c r="G337" i="2" s="1"/>
  <c r="M344" i="2"/>
  <c r="P344" i="2" s="1"/>
  <c r="F337" i="2" l="1"/>
  <c r="I337" i="2" s="1"/>
  <c r="V335" i="2"/>
  <c r="Y335" i="2" s="1"/>
  <c r="O344" i="2"/>
  <c r="R344" i="2" s="1"/>
  <c r="G335" i="7" l="1"/>
  <c r="X335" i="2"/>
  <c r="AA335" i="2" s="1"/>
  <c r="D335" i="7"/>
  <c r="C338" i="2"/>
  <c r="L345" i="2"/>
  <c r="F335" i="7" l="1"/>
  <c r="I335" i="7" s="1"/>
  <c r="C336" i="7" s="1"/>
  <c r="D338" i="2"/>
  <c r="G338" i="2" s="1"/>
  <c r="M345" i="2"/>
  <c r="P345" i="2" s="1"/>
  <c r="F338" i="2" l="1"/>
  <c r="I338" i="2" s="1"/>
  <c r="U336" i="2"/>
  <c r="O345" i="2"/>
  <c r="R345" i="2" s="1"/>
  <c r="V336" i="2" l="1"/>
  <c r="Y336" i="2" s="1"/>
  <c r="C339" i="2"/>
  <c r="L346" i="2"/>
  <c r="G336" i="7" l="1"/>
  <c r="X336" i="2"/>
  <c r="F336" i="7" s="1"/>
  <c r="D336" i="7"/>
  <c r="D339" i="2"/>
  <c r="G339" i="2" s="1"/>
  <c r="M346" i="2"/>
  <c r="P346" i="2" s="1"/>
  <c r="F339" i="2" l="1"/>
  <c r="I339" i="2" s="1"/>
  <c r="AA336" i="2"/>
  <c r="I336" i="7"/>
  <c r="C337" i="7" s="1"/>
  <c r="O346" i="2"/>
  <c r="R346" i="2" s="1"/>
  <c r="U337" i="2" l="1"/>
  <c r="C340" i="2"/>
  <c r="L347" i="2"/>
  <c r="V337" i="2" l="1"/>
  <c r="Y337" i="2" s="1"/>
  <c r="D340" i="2"/>
  <c r="G340" i="2" s="1"/>
  <c r="M347" i="2"/>
  <c r="P347" i="2" s="1"/>
  <c r="F340" i="2" l="1"/>
  <c r="I340" i="2" s="1"/>
  <c r="G337" i="7"/>
  <c r="X337" i="2"/>
  <c r="F337" i="7" s="1"/>
  <c r="D337" i="7"/>
  <c r="O347" i="2"/>
  <c r="R347" i="2" s="1"/>
  <c r="AA337" i="2" l="1"/>
  <c r="I337" i="7"/>
  <c r="C338" i="7" s="1"/>
  <c r="C341" i="2"/>
  <c r="L348" i="2"/>
  <c r="U338" i="2" l="1"/>
  <c r="D341" i="2"/>
  <c r="G341" i="2" s="1"/>
  <c r="M348" i="2"/>
  <c r="P348" i="2" s="1"/>
  <c r="F341" i="2" l="1"/>
  <c r="I341" i="2" s="1"/>
  <c r="V338" i="2"/>
  <c r="Y338" i="2" s="1"/>
  <c r="O348" i="2"/>
  <c r="R348" i="2" s="1"/>
  <c r="X338" i="2" l="1"/>
  <c r="F338" i="7" s="1"/>
  <c r="D338" i="7"/>
  <c r="G338" i="7"/>
  <c r="C342" i="2"/>
  <c r="L349" i="2"/>
  <c r="AA338" i="2" l="1"/>
  <c r="I338" i="7"/>
  <c r="C339" i="7" s="1"/>
  <c r="D342" i="2"/>
  <c r="G342" i="2" s="1"/>
  <c r="M349" i="2"/>
  <c r="P349" i="2" s="1"/>
  <c r="F342" i="2" l="1"/>
  <c r="I342" i="2" s="1"/>
  <c r="U339" i="2"/>
  <c r="O349" i="2"/>
  <c r="R349" i="2" s="1"/>
  <c r="V339" i="2" l="1"/>
  <c r="Y339" i="2" s="1"/>
  <c r="C343" i="2"/>
  <c r="L350" i="2"/>
  <c r="G339" i="7" l="1"/>
  <c r="X339" i="2"/>
  <c r="F339" i="7" s="1"/>
  <c r="D339" i="7"/>
  <c r="D343" i="2"/>
  <c r="G343" i="2" s="1"/>
  <c r="M350" i="2"/>
  <c r="P350" i="2" s="1"/>
  <c r="F343" i="2" l="1"/>
  <c r="I343" i="2" s="1"/>
  <c r="AA339" i="2"/>
  <c r="I339" i="7"/>
  <c r="C340" i="7" s="1"/>
  <c r="O350" i="2"/>
  <c r="R350" i="2" s="1"/>
  <c r="U340" i="2" l="1"/>
  <c r="C344" i="2"/>
  <c r="L351" i="2"/>
  <c r="V340" i="2" l="1"/>
  <c r="Y340" i="2" s="1"/>
  <c r="D344" i="2"/>
  <c r="G344" i="2" s="1"/>
  <c r="M351" i="2"/>
  <c r="P351" i="2" s="1"/>
  <c r="F344" i="2" l="1"/>
  <c r="I344" i="2" s="1"/>
  <c r="G340" i="7"/>
  <c r="X340" i="2"/>
  <c r="F340" i="7" s="1"/>
  <c r="D340" i="7"/>
  <c r="O351" i="2"/>
  <c r="R351" i="2" s="1"/>
  <c r="AA340" i="2" l="1"/>
  <c r="I340" i="7"/>
  <c r="C341" i="7" s="1"/>
  <c r="C345" i="2"/>
  <c r="L352" i="2"/>
  <c r="U341" i="2" l="1"/>
  <c r="D345" i="2"/>
  <c r="G345" i="2" s="1"/>
  <c r="M352" i="2"/>
  <c r="P352" i="2" s="1"/>
  <c r="F345" i="2" l="1"/>
  <c r="I345" i="2" s="1"/>
  <c r="V341" i="2"/>
  <c r="Y341" i="2" s="1"/>
  <c r="O352" i="2"/>
  <c r="R352" i="2" s="1"/>
  <c r="G341" i="7" l="1"/>
  <c r="X341" i="2"/>
  <c r="F341" i="7" s="1"/>
  <c r="D341" i="7"/>
  <c r="C346" i="2"/>
  <c r="L353" i="2"/>
  <c r="AA341" i="2" l="1"/>
  <c r="I341" i="7"/>
  <c r="C342" i="7" s="1"/>
  <c r="D346" i="2"/>
  <c r="G346" i="2" s="1"/>
  <c r="M353" i="2"/>
  <c r="P353" i="2" s="1"/>
  <c r="F346" i="2" l="1"/>
  <c r="I346" i="2" s="1"/>
  <c r="U342" i="2"/>
  <c r="O353" i="2"/>
  <c r="R353" i="2" s="1"/>
  <c r="V342" i="2" l="1"/>
  <c r="Y342" i="2" s="1"/>
  <c r="C347" i="2"/>
  <c r="L354" i="2"/>
  <c r="G342" i="7" l="1"/>
  <c r="X342" i="2"/>
  <c r="F342" i="7" s="1"/>
  <c r="D342" i="7"/>
  <c r="D347" i="2"/>
  <c r="G347" i="2" s="1"/>
  <c r="M354" i="2"/>
  <c r="P354" i="2" s="1"/>
  <c r="AA342" i="2" l="1"/>
  <c r="F347" i="2"/>
  <c r="I347" i="2" s="1"/>
  <c r="I342" i="7"/>
  <c r="C343" i="7" s="1"/>
  <c r="O354" i="2"/>
  <c r="R354" i="2" s="1"/>
  <c r="U343" i="2" l="1"/>
  <c r="C348" i="2"/>
  <c r="L355" i="2"/>
  <c r="V343" i="2" l="1"/>
  <c r="Y343" i="2" s="1"/>
  <c r="D348" i="2"/>
  <c r="G348" i="2" s="1"/>
  <c r="M355" i="2"/>
  <c r="P355" i="2" s="1"/>
  <c r="F348" i="2" l="1"/>
  <c r="I348" i="2" s="1"/>
  <c r="G343" i="7"/>
  <c r="X343" i="2"/>
  <c r="F343" i="7" s="1"/>
  <c r="D343" i="7"/>
  <c r="O355" i="2"/>
  <c r="R355" i="2" s="1"/>
  <c r="AA343" i="2" l="1"/>
  <c r="I343" i="7"/>
  <c r="C344" i="7" s="1"/>
  <c r="C349" i="2"/>
  <c r="L356" i="2"/>
  <c r="U344" i="2" l="1"/>
  <c r="D349" i="2"/>
  <c r="G349" i="2" s="1"/>
  <c r="M356" i="2"/>
  <c r="P356" i="2" s="1"/>
  <c r="F349" i="2" l="1"/>
  <c r="I349" i="2" s="1"/>
  <c r="V344" i="2"/>
  <c r="Y344" i="2" s="1"/>
  <c r="O356" i="2"/>
  <c r="R356" i="2" s="1"/>
  <c r="X344" i="2" l="1"/>
  <c r="F344" i="7" s="1"/>
  <c r="D344" i="7"/>
  <c r="G344" i="7"/>
  <c r="C350" i="2"/>
  <c r="L357" i="2"/>
  <c r="I344" i="7" l="1"/>
  <c r="C345" i="7" s="1"/>
  <c r="AA344" i="2"/>
  <c r="D350" i="2"/>
  <c r="G350" i="2" s="1"/>
  <c r="M357" i="2"/>
  <c r="P357" i="2" s="1"/>
  <c r="F350" i="2" l="1"/>
  <c r="I350" i="2" s="1"/>
  <c r="U345" i="2"/>
  <c r="O357" i="2"/>
  <c r="R357" i="2" s="1"/>
  <c r="V345" i="2" l="1"/>
  <c r="Y345" i="2" s="1"/>
  <c r="C351" i="2"/>
  <c r="L358" i="2"/>
  <c r="G345" i="7" l="1"/>
  <c r="X345" i="2"/>
  <c r="F345" i="7" s="1"/>
  <c r="D345" i="7"/>
  <c r="D351" i="2"/>
  <c r="G351" i="2" s="1"/>
  <c r="M358" i="2"/>
  <c r="P358" i="2" s="1"/>
  <c r="AA345" i="2" l="1"/>
  <c r="F351" i="2"/>
  <c r="I351" i="2" s="1"/>
  <c r="I345" i="7"/>
  <c r="C346" i="7" s="1"/>
  <c r="O358" i="2"/>
  <c r="R358" i="2" s="1"/>
  <c r="U346" i="2" l="1"/>
  <c r="C352" i="2"/>
  <c r="L359" i="2"/>
  <c r="V346" i="2" l="1"/>
  <c r="Y346" i="2" s="1"/>
  <c r="D352" i="2"/>
  <c r="G352" i="2" s="1"/>
  <c r="F352" i="2"/>
  <c r="M359" i="2"/>
  <c r="P359" i="2" s="1"/>
  <c r="I352" i="2" l="1"/>
  <c r="X346" i="2"/>
  <c r="F346" i="7" s="1"/>
  <c r="D346" i="7"/>
  <c r="G346" i="7"/>
  <c r="O359" i="2"/>
  <c r="R359" i="2" s="1"/>
  <c r="AA346" i="2" l="1"/>
  <c r="I346" i="7"/>
  <c r="C347" i="7" s="1"/>
  <c r="C353" i="2"/>
  <c r="L360" i="2"/>
  <c r="U347" i="2" l="1"/>
  <c r="D353" i="2"/>
  <c r="G353" i="2" s="1"/>
  <c r="M360" i="2"/>
  <c r="P360" i="2" s="1"/>
  <c r="F353" i="2" l="1"/>
  <c r="I353" i="2" s="1"/>
  <c r="V347" i="2"/>
  <c r="Y347" i="2" s="1"/>
  <c r="O360" i="2"/>
  <c r="R360" i="2" s="1"/>
  <c r="X347" i="2" l="1"/>
  <c r="F347" i="7" s="1"/>
  <c r="D347" i="7"/>
  <c r="G347" i="7"/>
  <c r="C354" i="2"/>
  <c r="L361" i="2"/>
  <c r="AA347" i="2" l="1"/>
  <c r="I347" i="7"/>
  <c r="C348" i="7" s="1"/>
  <c r="D354" i="2"/>
  <c r="G354" i="2" s="1"/>
  <c r="M361" i="2"/>
  <c r="P361" i="2" s="1"/>
  <c r="F354" i="2" l="1"/>
  <c r="I354" i="2" s="1"/>
  <c r="U348" i="2"/>
  <c r="O361" i="2"/>
  <c r="R361" i="2" s="1"/>
  <c r="V348" i="2" l="1"/>
  <c r="C355" i="2"/>
  <c r="L362" i="2"/>
  <c r="X348" i="2" l="1"/>
  <c r="F348" i="7" s="1"/>
  <c r="Y348" i="2"/>
  <c r="D348" i="7"/>
  <c r="G348" i="7"/>
  <c r="D355" i="2"/>
  <c r="G355" i="2" s="1"/>
  <c r="M362" i="2"/>
  <c r="P362" i="2" s="1"/>
  <c r="AA348" i="2" l="1"/>
  <c r="I348" i="7"/>
  <c r="C349" i="7" s="1"/>
  <c r="F355" i="2"/>
  <c r="I355" i="2" s="1"/>
  <c r="U349" i="2"/>
  <c r="O362" i="2"/>
  <c r="R362" i="2" s="1"/>
  <c r="V349" i="2" l="1"/>
  <c r="Y349" i="2" s="1"/>
  <c r="C356" i="2"/>
  <c r="S362" i="2"/>
  <c r="L363" i="2"/>
  <c r="G349" i="7" l="1"/>
  <c r="X349" i="2"/>
  <c r="F349" i="7" s="1"/>
  <c r="D349" i="7"/>
  <c r="D356" i="2"/>
  <c r="G356" i="2" s="1"/>
  <c r="S4" i="2"/>
  <c r="S5" i="2"/>
  <c r="N5" i="2" s="1"/>
  <c r="S6" i="2"/>
  <c r="N6" i="2" s="1"/>
  <c r="S7" i="2"/>
  <c r="N7" i="2" s="1"/>
  <c r="S8" i="2"/>
  <c r="N8" i="2" s="1"/>
  <c r="S9" i="2"/>
  <c r="N9" i="2" s="1"/>
  <c r="S10" i="2"/>
  <c r="N10" i="2" s="1"/>
  <c r="S11" i="2"/>
  <c r="N11" i="2" s="1"/>
  <c r="S12" i="2"/>
  <c r="N12" i="2" s="1"/>
  <c r="S13" i="2"/>
  <c r="N13" i="2" s="1"/>
  <c r="S14" i="2"/>
  <c r="N14" i="2" s="1"/>
  <c r="S15" i="2"/>
  <c r="N15" i="2" s="1"/>
  <c r="S16" i="2"/>
  <c r="N16" i="2" s="1"/>
  <c r="S17" i="2"/>
  <c r="N17" i="2" s="1"/>
  <c r="S18" i="2"/>
  <c r="N18" i="2" s="1"/>
  <c r="S19" i="2"/>
  <c r="N19" i="2" s="1"/>
  <c r="S20" i="2"/>
  <c r="N20" i="2" s="1"/>
  <c r="S21" i="2"/>
  <c r="N21" i="2" s="1"/>
  <c r="S22" i="2"/>
  <c r="N22" i="2" s="1"/>
  <c r="S23" i="2"/>
  <c r="N23" i="2" s="1"/>
  <c r="S24" i="2"/>
  <c r="N24" i="2" s="1"/>
  <c r="S25" i="2"/>
  <c r="N25" i="2" s="1"/>
  <c r="S26" i="2"/>
  <c r="N26" i="2" s="1"/>
  <c r="S27" i="2"/>
  <c r="N27" i="2" s="1"/>
  <c r="S28" i="2"/>
  <c r="N28" i="2" s="1"/>
  <c r="S29" i="2"/>
  <c r="N29" i="2" s="1"/>
  <c r="S30" i="2"/>
  <c r="N30" i="2" s="1"/>
  <c r="S31" i="2"/>
  <c r="N31" i="2" s="1"/>
  <c r="S32" i="2"/>
  <c r="N32" i="2" s="1"/>
  <c r="S33" i="2"/>
  <c r="N33" i="2" s="1"/>
  <c r="S34" i="2"/>
  <c r="N34" i="2" s="1"/>
  <c r="S35" i="2"/>
  <c r="N35" i="2" s="1"/>
  <c r="S36" i="2"/>
  <c r="N36" i="2" s="1"/>
  <c r="S37" i="2"/>
  <c r="N37" i="2" s="1"/>
  <c r="S38" i="2"/>
  <c r="N38" i="2" s="1"/>
  <c r="S39" i="2"/>
  <c r="N39" i="2" s="1"/>
  <c r="S40" i="2"/>
  <c r="N40" i="2" s="1"/>
  <c r="S41" i="2"/>
  <c r="N41" i="2" s="1"/>
  <c r="S42" i="2"/>
  <c r="N42" i="2" s="1"/>
  <c r="S43" i="2"/>
  <c r="N43" i="2" s="1"/>
  <c r="S44" i="2"/>
  <c r="N44" i="2" s="1"/>
  <c r="S45" i="2"/>
  <c r="N45" i="2" s="1"/>
  <c r="S46" i="2"/>
  <c r="N46" i="2" s="1"/>
  <c r="S47" i="2"/>
  <c r="N47" i="2" s="1"/>
  <c r="S48" i="2"/>
  <c r="N48" i="2" s="1"/>
  <c r="S49" i="2"/>
  <c r="N49" i="2" s="1"/>
  <c r="S50" i="2"/>
  <c r="N50" i="2" s="1"/>
  <c r="S51" i="2"/>
  <c r="N51" i="2" s="1"/>
  <c r="S52" i="2"/>
  <c r="N52" i="2" s="1"/>
  <c r="S53" i="2"/>
  <c r="N53" i="2" s="1"/>
  <c r="S54" i="2"/>
  <c r="N54" i="2" s="1"/>
  <c r="S55" i="2"/>
  <c r="N55" i="2" s="1"/>
  <c r="S56" i="2"/>
  <c r="N56" i="2" s="1"/>
  <c r="S57" i="2"/>
  <c r="N57" i="2" s="1"/>
  <c r="S58" i="2"/>
  <c r="N58" i="2" s="1"/>
  <c r="S59" i="2"/>
  <c r="N59" i="2" s="1"/>
  <c r="S60" i="2"/>
  <c r="N60" i="2" s="1"/>
  <c r="S61" i="2"/>
  <c r="N61" i="2" s="1"/>
  <c r="S62" i="2"/>
  <c r="N62" i="2" s="1"/>
  <c r="S63" i="2"/>
  <c r="N63" i="2" s="1"/>
  <c r="S64" i="2"/>
  <c r="N64" i="2" s="1"/>
  <c r="S65" i="2"/>
  <c r="N65" i="2" s="1"/>
  <c r="S66" i="2"/>
  <c r="N66" i="2" s="1"/>
  <c r="S67" i="2"/>
  <c r="N67" i="2" s="1"/>
  <c r="S68" i="2"/>
  <c r="N68" i="2" s="1"/>
  <c r="S69" i="2"/>
  <c r="N69" i="2" s="1"/>
  <c r="S70" i="2"/>
  <c r="N70" i="2" s="1"/>
  <c r="S71" i="2"/>
  <c r="N71" i="2" s="1"/>
  <c r="S72" i="2"/>
  <c r="N72" i="2" s="1"/>
  <c r="S73" i="2"/>
  <c r="N73" i="2" s="1"/>
  <c r="S74" i="2"/>
  <c r="N74" i="2" s="1"/>
  <c r="S75" i="2"/>
  <c r="N75" i="2" s="1"/>
  <c r="S76" i="2"/>
  <c r="N76" i="2" s="1"/>
  <c r="S77" i="2"/>
  <c r="N77" i="2" s="1"/>
  <c r="S78" i="2"/>
  <c r="N78" i="2" s="1"/>
  <c r="S79" i="2"/>
  <c r="N79" i="2" s="1"/>
  <c r="S80" i="2"/>
  <c r="N80" i="2" s="1"/>
  <c r="S81" i="2"/>
  <c r="N81" i="2" s="1"/>
  <c r="S82" i="2"/>
  <c r="N82" i="2" s="1"/>
  <c r="S83" i="2"/>
  <c r="N83" i="2" s="1"/>
  <c r="S84" i="2"/>
  <c r="N84" i="2" s="1"/>
  <c r="S85" i="2"/>
  <c r="N85" i="2" s="1"/>
  <c r="S86" i="2"/>
  <c r="N86" i="2" s="1"/>
  <c r="S87" i="2"/>
  <c r="N87" i="2" s="1"/>
  <c r="S88" i="2"/>
  <c r="N88" i="2" s="1"/>
  <c r="S89" i="2"/>
  <c r="N89" i="2" s="1"/>
  <c r="S90" i="2"/>
  <c r="N90" i="2" s="1"/>
  <c r="S91" i="2"/>
  <c r="N91" i="2" s="1"/>
  <c r="S92" i="2"/>
  <c r="N92" i="2" s="1"/>
  <c r="S93" i="2"/>
  <c r="N93" i="2" s="1"/>
  <c r="S94" i="2"/>
  <c r="N94" i="2" s="1"/>
  <c r="S95" i="2"/>
  <c r="N95" i="2" s="1"/>
  <c r="S96" i="2"/>
  <c r="N96" i="2" s="1"/>
  <c r="S97" i="2"/>
  <c r="N97" i="2" s="1"/>
  <c r="S98" i="2"/>
  <c r="N98" i="2" s="1"/>
  <c r="S99" i="2"/>
  <c r="N99" i="2" s="1"/>
  <c r="S100" i="2"/>
  <c r="N100" i="2" s="1"/>
  <c r="S101" i="2"/>
  <c r="N101" i="2" s="1"/>
  <c r="S102" i="2"/>
  <c r="N102" i="2" s="1"/>
  <c r="S103" i="2"/>
  <c r="N103" i="2" s="1"/>
  <c r="S104" i="2"/>
  <c r="N104" i="2" s="1"/>
  <c r="S105" i="2"/>
  <c r="N105" i="2" s="1"/>
  <c r="S106" i="2"/>
  <c r="N106" i="2" s="1"/>
  <c r="S107" i="2"/>
  <c r="N107" i="2" s="1"/>
  <c r="S108" i="2"/>
  <c r="N108" i="2" s="1"/>
  <c r="S109" i="2"/>
  <c r="N109" i="2" s="1"/>
  <c r="S110" i="2"/>
  <c r="N110" i="2" s="1"/>
  <c r="S111" i="2"/>
  <c r="N111" i="2" s="1"/>
  <c r="S112" i="2"/>
  <c r="N112" i="2" s="1"/>
  <c r="S113" i="2"/>
  <c r="N113" i="2" s="1"/>
  <c r="S114" i="2"/>
  <c r="N114" i="2" s="1"/>
  <c r="S115" i="2"/>
  <c r="N115" i="2" s="1"/>
  <c r="S116" i="2"/>
  <c r="N116" i="2" s="1"/>
  <c r="S117" i="2"/>
  <c r="N117" i="2" s="1"/>
  <c r="S118" i="2"/>
  <c r="N118" i="2" s="1"/>
  <c r="S119" i="2"/>
  <c r="N119" i="2" s="1"/>
  <c r="S120" i="2"/>
  <c r="N120" i="2" s="1"/>
  <c r="S121" i="2"/>
  <c r="N121" i="2" s="1"/>
  <c r="S122" i="2"/>
  <c r="N122" i="2" s="1"/>
  <c r="S123" i="2"/>
  <c r="N123" i="2" s="1"/>
  <c r="S124" i="2"/>
  <c r="N124" i="2" s="1"/>
  <c r="S125" i="2"/>
  <c r="N125" i="2" s="1"/>
  <c r="S126" i="2"/>
  <c r="N126" i="2" s="1"/>
  <c r="S127" i="2"/>
  <c r="N127" i="2" s="1"/>
  <c r="S128" i="2"/>
  <c r="N128" i="2" s="1"/>
  <c r="S129" i="2"/>
  <c r="N129" i="2" s="1"/>
  <c r="S130" i="2"/>
  <c r="N130" i="2" s="1"/>
  <c r="S131" i="2"/>
  <c r="N131" i="2" s="1"/>
  <c r="S132" i="2"/>
  <c r="N132" i="2" s="1"/>
  <c r="S133" i="2"/>
  <c r="N133" i="2" s="1"/>
  <c r="S134" i="2"/>
  <c r="N134" i="2" s="1"/>
  <c r="S135" i="2"/>
  <c r="N135" i="2" s="1"/>
  <c r="S136" i="2"/>
  <c r="N136" i="2" s="1"/>
  <c r="S137" i="2"/>
  <c r="N137" i="2" s="1"/>
  <c r="S138" i="2"/>
  <c r="N138" i="2" s="1"/>
  <c r="S139" i="2"/>
  <c r="N139" i="2" s="1"/>
  <c r="S140" i="2"/>
  <c r="N140" i="2" s="1"/>
  <c r="S141" i="2"/>
  <c r="N141" i="2" s="1"/>
  <c r="S142" i="2"/>
  <c r="N142" i="2" s="1"/>
  <c r="S143" i="2"/>
  <c r="N143" i="2" s="1"/>
  <c r="S144" i="2"/>
  <c r="N144" i="2" s="1"/>
  <c r="S145" i="2"/>
  <c r="N145" i="2" s="1"/>
  <c r="S146" i="2"/>
  <c r="N146" i="2" s="1"/>
  <c r="S147" i="2"/>
  <c r="N147" i="2" s="1"/>
  <c r="S148" i="2"/>
  <c r="N148" i="2" s="1"/>
  <c r="S149" i="2"/>
  <c r="N149" i="2" s="1"/>
  <c r="S150" i="2"/>
  <c r="N150" i="2" s="1"/>
  <c r="S151" i="2"/>
  <c r="N151" i="2" s="1"/>
  <c r="S152" i="2"/>
  <c r="N152" i="2" s="1"/>
  <c r="S153" i="2"/>
  <c r="N153" i="2" s="1"/>
  <c r="S154" i="2"/>
  <c r="N154" i="2" s="1"/>
  <c r="S155" i="2"/>
  <c r="N155" i="2" s="1"/>
  <c r="S156" i="2"/>
  <c r="N156" i="2" s="1"/>
  <c r="S157" i="2"/>
  <c r="N157" i="2" s="1"/>
  <c r="S158" i="2"/>
  <c r="N158" i="2" s="1"/>
  <c r="S159" i="2"/>
  <c r="N159" i="2" s="1"/>
  <c r="S160" i="2"/>
  <c r="N160" i="2" s="1"/>
  <c r="S161" i="2"/>
  <c r="N161" i="2" s="1"/>
  <c r="S162" i="2"/>
  <c r="N162" i="2" s="1"/>
  <c r="S163" i="2"/>
  <c r="N163" i="2" s="1"/>
  <c r="S164" i="2"/>
  <c r="N164" i="2" s="1"/>
  <c r="S165" i="2"/>
  <c r="N165" i="2" s="1"/>
  <c r="S166" i="2"/>
  <c r="N166" i="2" s="1"/>
  <c r="S167" i="2"/>
  <c r="N167" i="2" s="1"/>
  <c r="S168" i="2"/>
  <c r="N168" i="2" s="1"/>
  <c r="S169" i="2"/>
  <c r="N169" i="2" s="1"/>
  <c r="S170" i="2"/>
  <c r="N170" i="2" s="1"/>
  <c r="S171" i="2"/>
  <c r="N171" i="2" s="1"/>
  <c r="S172" i="2"/>
  <c r="N172" i="2" s="1"/>
  <c r="S173" i="2"/>
  <c r="N173" i="2" s="1"/>
  <c r="S174" i="2"/>
  <c r="N174" i="2" s="1"/>
  <c r="S175" i="2"/>
  <c r="N175" i="2" s="1"/>
  <c r="S176" i="2"/>
  <c r="N176" i="2" s="1"/>
  <c r="S177" i="2"/>
  <c r="N177" i="2" s="1"/>
  <c r="S178" i="2"/>
  <c r="N178" i="2" s="1"/>
  <c r="S179" i="2"/>
  <c r="N179" i="2" s="1"/>
  <c r="S180" i="2"/>
  <c r="N180" i="2" s="1"/>
  <c r="S181" i="2"/>
  <c r="N181" i="2" s="1"/>
  <c r="S182" i="2"/>
  <c r="N182" i="2" s="1"/>
  <c r="S183" i="2"/>
  <c r="N183" i="2" s="1"/>
  <c r="S184" i="2"/>
  <c r="N184" i="2" s="1"/>
  <c r="S185" i="2"/>
  <c r="N185" i="2" s="1"/>
  <c r="S186" i="2"/>
  <c r="N186" i="2" s="1"/>
  <c r="S187" i="2"/>
  <c r="N187" i="2" s="1"/>
  <c r="S188" i="2"/>
  <c r="N188" i="2" s="1"/>
  <c r="S189" i="2"/>
  <c r="N189" i="2" s="1"/>
  <c r="S190" i="2"/>
  <c r="N190" i="2" s="1"/>
  <c r="S191" i="2"/>
  <c r="N191" i="2" s="1"/>
  <c r="S192" i="2"/>
  <c r="N192" i="2" s="1"/>
  <c r="S193" i="2"/>
  <c r="N193" i="2" s="1"/>
  <c r="S194" i="2"/>
  <c r="N194" i="2" s="1"/>
  <c r="S195" i="2"/>
  <c r="N195" i="2" s="1"/>
  <c r="S196" i="2"/>
  <c r="N196" i="2" s="1"/>
  <c r="S197" i="2"/>
  <c r="N197" i="2" s="1"/>
  <c r="S198" i="2"/>
  <c r="N198" i="2" s="1"/>
  <c r="S199" i="2"/>
  <c r="N199" i="2" s="1"/>
  <c r="S200" i="2"/>
  <c r="N200" i="2" s="1"/>
  <c r="S201" i="2"/>
  <c r="N201" i="2" s="1"/>
  <c r="S202" i="2"/>
  <c r="N202" i="2" s="1"/>
  <c r="S203" i="2"/>
  <c r="N203" i="2" s="1"/>
  <c r="S204" i="2"/>
  <c r="N204" i="2" s="1"/>
  <c r="S205" i="2"/>
  <c r="N205" i="2" s="1"/>
  <c r="S206" i="2"/>
  <c r="N206" i="2" s="1"/>
  <c r="S207" i="2"/>
  <c r="N207" i="2" s="1"/>
  <c r="S208" i="2"/>
  <c r="N208" i="2" s="1"/>
  <c r="S209" i="2"/>
  <c r="N209" i="2" s="1"/>
  <c r="S210" i="2"/>
  <c r="N210" i="2" s="1"/>
  <c r="S211" i="2"/>
  <c r="N211" i="2" s="1"/>
  <c r="S212" i="2"/>
  <c r="N212" i="2" s="1"/>
  <c r="S213" i="2"/>
  <c r="N213" i="2" s="1"/>
  <c r="S214" i="2"/>
  <c r="N214" i="2" s="1"/>
  <c r="S215" i="2"/>
  <c r="N215" i="2" s="1"/>
  <c r="S216" i="2"/>
  <c r="N216" i="2" s="1"/>
  <c r="S217" i="2"/>
  <c r="N217" i="2" s="1"/>
  <c r="S218" i="2"/>
  <c r="N218" i="2" s="1"/>
  <c r="S219" i="2"/>
  <c r="N219" i="2" s="1"/>
  <c r="S220" i="2"/>
  <c r="N220" i="2" s="1"/>
  <c r="S221" i="2"/>
  <c r="N221" i="2" s="1"/>
  <c r="S222" i="2"/>
  <c r="N222" i="2" s="1"/>
  <c r="S223" i="2"/>
  <c r="N223" i="2" s="1"/>
  <c r="S224" i="2"/>
  <c r="N224" i="2" s="1"/>
  <c r="S225" i="2"/>
  <c r="N225" i="2" s="1"/>
  <c r="S226" i="2"/>
  <c r="N226" i="2" s="1"/>
  <c r="S227" i="2"/>
  <c r="N227" i="2" s="1"/>
  <c r="S228" i="2"/>
  <c r="N228" i="2" s="1"/>
  <c r="S229" i="2"/>
  <c r="N229" i="2" s="1"/>
  <c r="S230" i="2"/>
  <c r="N230" i="2" s="1"/>
  <c r="S231" i="2"/>
  <c r="N231" i="2" s="1"/>
  <c r="S232" i="2"/>
  <c r="N232" i="2" s="1"/>
  <c r="S233" i="2"/>
  <c r="N233" i="2" s="1"/>
  <c r="S234" i="2"/>
  <c r="N234" i="2" s="1"/>
  <c r="S235" i="2"/>
  <c r="N235" i="2" s="1"/>
  <c r="S236" i="2"/>
  <c r="N236" i="2" s="1"/>
  <c r="S237" i="2"/>
  <c r="N237" i="2" s="1"/>
  <c r="S238" i="2"/>
  <c r="N238" i="2" s="1"/>
  <c r="S239" i="2"/>
  <c r="N239" i="2" s="1"/>
  <c r="S240" i="2"/>
  <c r="N240" i="2" s="1"/>
  <c r="S241" i="2"/>
  <c r="N241" i="2" s="1"/>
  <c r="S242" i="2"/>
  <c r="N242" i="2" s="1"/>
  <c r="S243" i="2"/>
  <c r="N243" i="2" s="1"/>
  <c r="S244" i="2"/>
  <c r="N244" i="2" s="1"/>
  <c r="S245" i="2"/>
  <c r="N245" i="2" s="1"/>
  <c r="S246" i="2"/>
  <c r="N246" i="2" s="1"/>
  <c r="S247" i="2"/>
  <c r="N247" i="2" s="1"/>
  <c r="S248" i="2"/>
  <c r="N248" i="2" s="1"/>
  <c r="S249" i="2"/>
  <c r="N249" i="2" s="1"/>
  <c r="S250" i="2"/>
  <c r="N250" i="2" s="1"/>
  <c r="S251" i="2"/>
  <c r="N251" i="2" s="1"/>
  <c r="S252" i="2"/>
  <c r="N252" i="2" s="1"/>
  <c r="S253" i="2"/>
  <c r="N253" i="2" s="1"/>
  <c r="S254" i="2"/>
  <c r="N254" i="2" s="1"/>
  <c r="S255" i="2"/>
  <c r="N255" i="2" s="1"/>
  <c r="S256" i="2"/>
  <c r="N256" i="2" s="1"/>
  <c r="S257" i="2"/>
  <c r="N257" i="2" s="1"/>
  <c r="S258" i="2"/>
  <c r="N258" i="2" s="1"/>
  <c r="S259" i="2"/>
  <c r="N259" i="2" s="1"/>
  <c r="S260" i="2"/>
  <c r="N260" i="2" s="1"/>
  <c r="S261" i="2"/>
  <c r="N261" i="2" s="1"/>
  <c r="S262" i="2"/>
  <c r="N262" i="2" s="1"/>
  <c r="S263" i="2"/>
  <c r="N263" i="2" s="1"/>
  <c r="S264" i="2"/>
  <c r="N264" i="2" s="1"/>
  <c r="S265" i="2"/>
  <c r="N265" i="2" s="1"/>
  <c r="S266" i="2"/>
  <c r="N266" i="2" s="1"/>
  <c r="S267" i="2"/>
  <c r="N267" i="2" s="1"/>
  <c r="S268" i="2"/>
  <c r="N268" i="2" s="1"/>
  <c r="S269" i="2"/>
  <c r="N269" i="2" s="1"/>
  <c r="S270" i="2"/>
  <c r="N270" i="2" s="1"/>
  <c r="S271" i="2"/>
  <c r="N271" i="2" s="1"/>
  <c r="S272" i="2"/>
  <c r="N272" i="2" s="1"/>
  <c r="S273" i="2"/>
  <c r="N273" i="2" s="1"/>
  <c r="S274" i="2"/>
  <c r="N274" i="2" s="1"/>
  <c r="S275" i="2"/>
  <c r="N275" i="2" s="1"/>
  <c r="S276" i="2"/>
  <c r="N276" i="2" s="1"/>
  <c r="S277" i="2"/>
  <c r="N277" i="2" s="1"/>
  <c r="S278" i="2"/>
  <c r="N278" i="2" s="1"/>
  <c r="S279" i="2"/>
  <c r="N279" i="2" s="1"/>
  <c r="S280" i="2"/>
  <c r="N280" i="2" s="1"/>
  <c r="S281" i="2"/>
  <c r="N281" i="2" s="1"/>
  <c r="S282" i="2"/>
  <c r="N282" i="2" s="1"/>
  <c r="S283" i="2"/>
  <c r="N283" i="2" s="1"/>
  <c r="S284" i="2"/>
  <c r="N284" i="2" s="1"/>
  <c r="S285" i="2"/>
  <c r="N285" i="2" s="1"/>
  <c r="S286" i="2"/>
  <c r="N286" i="2" s="1"/>
  <c r="S287" i="2"/>
  <c r="N287" i="2" s="1"/>
  <c r="S288" i="2"/>
  <c r="N288" i="2" s="1"/>
  <c r="S289" i="2"/>
  <c r="N289" i="2" s="1"/>
  <c r="S290" i="2"/>
  <c r="N290" i="2" s="1"/>
  <c r="S291" i="2"/>
  <c r="N291" i="2" s="1"/>
  <c r="S292" i="2"/>
  <c r="N292" i="2" s="1"/>
  <c r="S293" i="2"/>
  <c r="N293" i="2" s="1"/>
  <c r="S294" i="2"/>
  <c r="N294" i="2" s="1"/>
  <c r="S295" i="2"/>
  <c r="N295" i="2" s="1"/>
  <c r="S296" i="2"/>
  <c r="N296" i="2" s="1"/>
  <c r="S297" i="2"/>
  <c r="N297" i="2" s="1"/>
  <c r="S298" i="2"/>
  <c r="N298" i="2" s="1"/>
  <c r="S299" i="2"/>
  <c r="N299" i="2" s="1"/>
  <c r="S300" i="2"/>
  <c r="N300" i="2" s="1"/>
  <c r="S301" i="2"/>
  <c r="N301" i="2" s="1"/>
  <c r="S302" i="2"/>
  <c r="N302" i="2" s="1"/>
  <c r="S303" i="2"/>
  <c r="N303" i="2" s="1"/>
  <c r="S304" i="2"/>
  <c r="N304" i="2" s="1"/>
  <c r="S305" i="2"/>
  <c r="N305" i="2" s="1"/>
  <c r="S306" i="2"/>
  <c r="N306" i="2" s="1"/>
  <c r="S307" i="2"/>
  <c r="N307" i="2" s="1"/>
  <c r="S308" i="2"/>
  <c r="N308" i="2" s="1"/>
  <c r="S309" i="2"/>
  <c r="N309" i="2" s="1"/>
  <c r="S310" i="2"/>
  <c r="N310" i="2" s="1"/>
  <c r="S311" i="2"/>
  <c r="N311" i="2" s="1"/>
  <c r="S312" i="2"/>
  <c r="N312" i="2" s="1"/>
  <c r="S313" i="2"/>
  <c r="N313" i="2" s="1"/>
  <c r="S314" i="2"/>
  <c r="N314" i="2" s="1"/>
  <c r="S315" i="2"/>
  <c r="N315" i="2" s="1"/>
  <c r="S316" i="2"/>
  <c r="N316" i="2" s="1"/>
  <c r="S317" i="2"/>
  <c r="N317" i="2" s="1"/>
  <c r="S318" i="2"/>
  <c r="N318" i="2" s="1"/>
  <c r="S319" i="2"/>
  <c r="N319" i="2" s="1"/>
  <c r="S320" i="2"/>
  <c r="N320" i="2" s="1"/>
  <c r="S321" i="2"/>
  <c r="N321" i="2" s="1"/>
  <c r="S322" i="2"/>
  <c r="N322" i="2" s="1"/>
  <c r="S323" i="2"/>
  <c r="N323" i="2" s="1"/>
  <c r="S324" i="2"/>
  <c r="N324" i="2" s="1"/>
  <c r="S326" i="2"/>
  <c r="N326" i="2" s="1"/>
  <c r="S325" i="2"/>
  <c r="N325" i="2" s="1"/>
  <c r="S327" i="2"/>
  <c r="N327" i="2" s="1"/>
  <c r="S328" i="2"/>
  <c r="N328" i="2" s="1"/>
  <c r="S329" i="2"/>
  <c r="N329" i="2" s="1"/>
  <c r="S330" i="2"/>
  <c r="N330" i="2" s="1"/>
  <c r="S331" i="2"/>
  <c r="N331" i="2" s="1"/>
  <c r="S332" i="2"/>
  <c r="N332" i="2" s="1"/>
  <c r="S333" i="2"/>
  <c r="N333" i="2" s="1"/>
  <c r="S334" i="2"/>
  <c r="N334" i="2" s="1"/>
  <c r="S335" i="2"/>
  <c r="N335" i="2" s="1"/>
  <c r="S336" i="2"/>
  <c r="N336" i="2" s="1"/>
  <c r="S337" i="2"/>
  <c r="N337" i="2" s="1"/>
  <c r="S338" i="2"/>
  <c r="N338" i="2" s="1"/>
  <c r="S339" i="2"/>
  <c r="N339" i="2" s="1"/>
  <c r="S340" i="2"/>
  <c r="N340" i="2" s="1"/>
  <c r="S341" i="2"/>
  <c r="N341" i="2" s="1"/>
  <c r="S342" i="2"/>
  <c r="N342" i="2" s="1"/>
  <c r="S343" i="2"/>
  <c r="N343" i="2" s="1"/>
  <c r="S344" i="2"/>
  <c r="N344" i="2" s="1"/>
  <c r="S345" i="2"/>
  <c r="N345" i="2" s="1"/>
  <c r="S346" i="2"/>
  <c r="N346" i="2" s="1"/>
  <c r="S347" i="2"/>
  <c r="N347" i="2" s="1"/>
  <c r="S348" i="2"/>
  <c r="N348" i="2" s="1"/>
  <c r="S349" i="2"/>
  <c r="N349" i="2" s="1"/>
  <c r="S350" i="2"/>
  <c r="N350" i="2" s="1"/>
  <c r="S351" i="2"/>
  <c r="N351" i="2" s="1"/>
  <c r="S352" i="2"/>
  <c r="N352" i="2" s="1"/>
  <c r="S353" i="2"/>
  <c r="N353" i="2" s="1"/>
  <c r="S354" i="2"/>
  <c r="N354" i="2" s="1"/>
  <c r="S355" i="2"/>
  <c r="N355" i="2" s="1"/>
  <c r="S356" i="2"/>
  <c r="N356" i="2" s="1"/>
  <c r="S357" i="2"/>
  <c r="N357" i="2" s="1"/>
  <c r="S361" i="2"/>
  <c r="N361" i="2" s="1"/>
  <c r="S360" i="2"/>
  <c r="N360" i="2" s="1"/>
  <c r="S359" i="2"/>
  <c r="N359" i="2" s="1"/>
  <c r="S358" i="2"/>
  <c r="N358" i="2" s="1"/>
  <c r="M363" i="2"/>
  <c r="P363" i="2" s="1"/>
  <c r="I9" i="1" s="1"/>
  <c r="AA349" i="2" l="1"/>
  <c r="F356" i="2"/>
  <c r="I356" i="2" s="1"/>
  <c r="I349" i="7"/>
  <c r="C350" i="7" s="1"/>
  <c r="Q355" i="2"/>
  <c r="Q347" i="2"/>
  <c r="Q339" i="2"/>
  <c r="Q331" i="2"/>
  <c r="Q323" i="2"/>
  <c r="Q315" i="2"/>
  <c r="Q307" i="2"/>
  <c r="Q299" i="2"/>
  <c r="Q291" i="2"/>
  <c r="Q283" i="2"/>
  <c r="Q275" i="2"/>
  <c r="Q267" i="2"/>
  <c r="Q259" i="2"/>
  <c r="Q251" i="2"/>
  <c r="Q243" i="2"/>
  <c r="Q235" i="2"/>
  <c r="Q227" i="2"/>
  <c r="Q219" i="2"/>
  <c r="Q211" i="2"/>
  <c r="Q203" i="2"/>
  <c r="Q195" i="2"/>
  <c r="Q187" i="2"/>
  <c r="Q179" i="2"/>
  <c r="Q171" i="2"/>
  <c r="Q163" i="2"/>
  <c r="Q155" i="2"/>
  <c r="Q147" i="2"/>
  <c r="Q139" i="2"/>
  <c r="Q131" i="2"/>
  <c r="Q123" i="2"/>
  <c r="Q115" i="2"/>
  <c r="Q107" i="2"/>
  <c r="Q99" i="2"/>
  <c r="Q91" i="2"/>
  <c r="Q83" i="2"/>
  <c r="Q75" i="2"/>
  <c r="Q67" i="2"/>
  <c r="Q59" i="2"/>
  <c r="Q51" i="2"/>
  <c r="Q43" i="2"/>
  <c r="Q35" i="2"/>
  <c r="Q27" i="2"/>
  <c r="Q19" i="2"/>
  <c r="Q11" i="2"/>
  <c r="N362" i="2"/>
  <c r="Q354" i="2"/>
  <c r="Q346" i="2"/>
  <c r="Q338" i="2"/>
  <c r="Q330" i="2"/>
  <c r="Q322" i="2"/>
  <c r="Q314" i="2"/>
  <c r="Q306" i="2"/>
  <c r="Q298" i="2"/>
  <c r="Q290" i="2"/>
  <c r="Q282" i="2"/>
  <c r="Q274" i="2"/>
  <c r="Q266" i="2"/>
  <c r="Q258" i="2"/>
  <c r="Q250" i="2"/>
  <c r="Q242" i="2"/>
  <c r="Q234" i="2"/>
  <c r="Q226" i="2"/>
  <c r="Q218" i="2"/>
  <c r="Q210" i="2"/>
  <c r="Q202" i="2"/>
  <c r="Q194" i="2"/>
  <c r="Q186" i="2"/>
  <c r="Q178" i="2"/>
  <c r="Q170" i="2"/>
  <c r="Q162" i="2"/>
  <c r="Q154" i="2"/>
  <c r="Q146" i="2"/>
  <c r="Q138" i="2"/>
  <c r="Q130" i="2"/>
  <c r="Q122" i="2"/>
  <c r="Q114" i="2"/>
  <c r="Q106" i="2"/>
  <c r="Q98" i="2"/>
  <c r="Q90" i="2"/>
  <c r="Q82" i="2"/>
  <c r="Q74" i="2"/>
  <c r="Q66" i="2"/>
  <c r="Q58" i="2"/>
  <c r="Q50" i="2"/>
  <c r="Q42" i="2"/>
  <c r="Q34" i="2"/>
  <c r="Q26" i="2"/>
  <c r="Q18" i="2"/>
  <c r="Q353" i="2"/>
  <c r="Q345" i="2"/>
  <c r="Q337" i="2"/>
  <c r="Q329" i="2"/>
  <c r="Q321" i="2"/>
  <c r="Q313" i="2"/>
  <c r="Q305" i="2"/>
  <c r="Q297" i="2"/>
  <c r="Q289" i="2"/>
  <c r="Q281" i="2"/>
  <c r="Q273" i="2"/>
  <c r="Q265" i="2"/>
  <c r="Q257" i="2"/>
  <c r="Q249" i="2"/>
  <c r="Q241" i="2"/>
  <c r="Q233" i="2"/>
  <c r="Q225" i="2"/>
  <c r="Q217" i="2"/>
  <c r="Q209" i="2"/>
  <c r="Q201" i="2"/>
  <c r="Q193" i="2"/>
  <c r="Q185" i="2"/>
  <c r="Q177" i="2"/>
  <c r="Q169" i="2"/>
  <c r="Q161" i="2"/>
  <c r="Q153" i="2"/>
  <c r="Q145" i="2"/>
  <c r="Q137" i="2"/>
  <c r="Q129" i="2"/>
  <c r="Q121" i="2"/>
  <c r="Q113" i="2"/>
  <c r="Q105" i="2"/>
  <c r="Q97" i="2"/>
  <c r="Q89" i="2"/>
  <c r="Q81" i="2"/>
  <c r="Q73" i="2"/>
  <c r="Q65" i="2"/>
  <c r="Q57" i="2"/>
  <c r="Q49" i="2"/>
  <c r="Q41" i="2"/>
  <c r="Q33" i="2"/>
  <c r="Q25" i="2"/>
  <c r="Q17" i="2"/>
  <c r="Q9" i="2"/>
  <c r="Q352" i="2"/>
  <c r="Q344" i="2"/>
  <c r="Q336" i="2"/>
  <c r="Q328" i="2"/>
  <c r="Q320" i="2"/>
  <c r="Q312" i="2"/>
  <c r="Q304" i="2"/>
  <c r="Q296" i="2"/>
  <c r="Q288" i="2"/>
  <c r="Q280" i="2"/>
  <c r="Q272" i="2"/>
  <c r="Q264" i="2"/>
  <c r="Q256" i="2"/>
  <c r="Q248" i="2"/>
  <c r="Q240" i="2"/>
  <c r="Q232" i="2"/>
  <c r="Q224" i="2"/>
  <c r="Q216" i="2"/>
  <c r="Q208" i="2"/>
  <c r="Q200" i="2"/>
  <c r="Q192" i="2"/>
  <c r="Q184" i="2"/>
  <c r="Q176" i="2"/>
  <c r="Q168" i="2"/>
  <c r="Q160" i="2"/>
  <c r="Q152" i="2"/>
  <c r="Q144" i="2"/>
  <c r="Q136" i="2"/>
  <c r="Q128" i="2"/>
  <c r="Q120" i="2"/>
  <c r="Q112" i="2"/>
  <c r="Q104" i="2"/>
  <c r="Q96" i="2"/>
  <c r="Q88" i="2"/>
  <c r="Q80" i="2"/>
  <c r="Q72" i="2"/>
  <c r="Q64" i="2"/>
  <c r="Q56" i="2"/>
  <c r="Q48" i="2"/>
  <c r="Q40" i="2"/>
  <c r="Q32" i="2"/>
  <c r="Q24" i="2"/>
  <c r="Q16" i="2"/>
  <c r="Q8" i="2"/>
  <c r="Q351" i="2"/>
  <c r="Q343" i="2"/>
  <c r="Q335" i="2"/>
  <c r="Q327" i="2"/>
  <c r="Q319" i="2"/>
  <c r="Q311" i="2"/>
  <c r="Q303" i="2"/>
  <c r="Q295" i="2"/>
  <c r="Q287" i="2"/>
  <c r="Q279" i="2"/>
  <c r="Q271" i="2"/>
  <c r="Q263" i="2"/>
  <c r="Q255" i="2"/>
  <c r="Q247" i="2"/>
  <c r="Q239" i="2"/>
  <c r="Q231" i="2"/>
  <c r="Q223" i="2"/>
  <c r="Q215" i="2"/>
  <c r="Q207" i="2"/>
  <c r="Q199" i="2"/>
  <c r="Q191" i="2"/>
  <c r="Q183" i="2"/>
  <c r="Q175" i="2"/>
  <c r="Q167" i="2"/>
  <c r="Q159" i="2"/>
  <c r="Q151" i="2"/>
  <c r="Q143" i="2"/>
  <c r="Q135" i="2"/>
  <c r="Q127" i="2"/>
  <c r="Q119" i="2"/>
  <c r="Q111" i="2"/>
  <c r="Q103" i="2"/>
  <c r="Q95" i="2"/>
  <c r="Q87" i="2"/>
  <c r="Q79" i="2"/>
  <c r="Q71" i="2"/>
  <c r="Q63" i="2"/>
  <c r="Q55" i="2"/>
  <c r="Q47" i="2"/>
  <c r="Q39" i="2"/>
  <c r="Q31" i="2"/>
  <c r="Q23" i="2"/>
  <c r="Q15" i="2"/>
  <c r="Q7" i="2"/>
  <c r="Q350" i="2"/>
  <c r="Q342" i="2"/>
  <c r="Q334" i="2"/>
  <c r="Q325" i="2"/>
  <c r="Q318" i="2"/>
  <c r="Q310" i="2"/>
  <c r="Q302" i="2"/>
  <c r="Q294" i="2"/>
  <c r="Q286" i="2"/>
  <c r="Q278" i="2"/>
  <c r="Q270" i="2"/>
  <c r="Q262" i="2"/>
  <c r="Q254" i="2"/>
  <c r="Q246" i="2"/>
  <c r="Q238" i="2"/>
  <c r="Q230" i="2"/>
  <c r="Q222" i="2"/>
  <c r="Q214" i="2"/>
  <c r="Q206" i="2"/>
  <c r="Q198" i="2"/>
  <c r="Q190" i="2"/>
  <c r="Q182" i="2"/>
  <c r="Q174" i="2"/>
  <c r="Q166" i="2"/>
  <c r="Q158" i="2"/>
  <c r="Q150" i="2"/>
  <c r="Q142" i="2"/>
  <c r="Q134" i="2"/>
  <c r="Q126" i="2"/>
  <c r="Q118" i="2"/>
  <c r="Q110" i="2"/>
  <c r="Q102" i="2"/>
  <c r="Q94" i="2"/>
  <c r="Q86" i="2"/>
  <c r="Q78" i="2"/>
  <c r="Q70" i="2"/>
  <c r="Q62" i="2"/>
  <c r="Q54" i="2"/>
  <c r="Q46" i="2"/>
  <c r="Q38" i="2"/>
  <c r="Q30" i="2"/>
  <c r="Q22" i="2"/>
  <c r="Q14" i="2"/>
  <c r="Q6" i="2"/>
  <c r="Q349" i="2"/>
  <c r="Q341" i="2"/>
  <c r="Q333" i="2"/>
  <c r="Q326" i="2"/>
  <c r="Q317" i="2"/>
  <c r="Q309" i="2"/>
  <c r="Q301" i="2"/>
  <c r="Q293" i="2"/>
  <c r="Q285" i="2"/>
  <c r="Q277" i="2"/>
  <c r="Q269" i="2"/>
  <c r="Q261" i="2"/>
  <c r="Q253" i="2"/>
  <c r="Q245" i="2"/>
  <c r="Q237" i="2"/>
  <c r="Q229" i="2"/>
  <c r="Q221" i="2"/>
  <c r="Q213" i="2"/>
  <c r="Q205" i="2"/>
  <c r="Q197" i="2"/>
  <c r="Q189" i="2"/>
  <c r="Q181" i="2"/>
  <c r="Q173" i="2"/>
  <c r="Q165" i="2"/>
  <c r="Q157" i="2"/>
  <c r="Q149" i="2"/>
  <c r="Q141" i="2"/>
  <c r="Q133" i="2"/>
  <c r="Q125" i="2"/>
  <c r="Q117" i="2"/>
  <c r="Q109" i="2"/>
  <c r="Q101" i="2"/>
  <c r="Q93" i="2"/>
  <c r="Q85" i="2"/>
  <c r="Q77" i="2"/>
  <c r="Q69" i="2"/>
  <c r="Q61" i="2"/>
  <c r="Q53" i="2"/>
  <c r="Q45" i="2"/>
  <c r="Q37" i="2"/>
  <c r="Q29" i="2"/>
  <c r="Q21" i="2"/>
  <c r="Q13" i="2"/>
  <c r="Q356" i="2"/>
  <c r="Q348" i="2"/>
  <c r="Q340" i="2"/>
  <c r="Q332" i="2"/>
  <c r="Q324" i="2"/>
  <c r="Q316" i="2"/>
  <c r="Q308" i="2"/>
  <c r="Q300" i="2"/>
  <c r="Q292" i="2"/>
  <c r="Q284" i="2"/>
  <c r="Q276" i="2"/>
  <c r="Q268" i="2"/>
  <c r="Q260" i="2"/>
  <c r="Q252" i="2"/>
  <c r="Q244" i="2"/>
  <c r="Q236" i="2"/>
  <c r="Q228" i="2"/>
  <c r="Q220" i="2"/>
  <c r="Q212" i="2"/>
  <c r="Q204" i="2"/>
  <c r="Q196" i="2"/>
  <c r="Q188" i="2"/>
  <c r="Q180" i="2"/>
  <c r="Q172" i="2"/>
  <c r="Q164" i="2"/>
  <c r="Q156" i="2"/>
  <c r="Q148" i="2"/>
  <c r="Q140" i="2"/>
  <c r="Q132" i="2"/>
  <c r="Q124" i="2"/>
  <c r="Q116" i="2"/>
  <c r="Q108" i="2"/>
  <c r="Q100" i="2"/>
  <c r="Q92" i="2"/>
  <c r="Q84" i="2"/>
  <c r="Q76" i="2"/>
  <c r="Q68" i="2"/>
  <c r="Q60" i="2"/>
  <c r="Q52" i="2"/>
  <c r="Q44" i="2"/>
  <c r="Q36" i="2"/>
  <c r="Q28" i="2"/>
  <c r="Q20" i="2"/>
  <c r="Q12" i="2"/>
  <c r="Q10" i="2"/>
  <c r="Q5" i="2"/>
  <c r="O363" i="2"/>
  <c r="R363" i="2" s="1"/>
  <c r="U350" i="2" l="1"/>
  <c r="C357" i="2"/>
  <c r="S363" i="2"/>
  <c r="N363" i="2" s="1"/>
  <c r="V350" i="2" l="1"/>
  <c r="Y350" i="2" s="1"/>
  <c r="D357" i="2"/>
  <c r="G357" i="2" s="1"/>
  <c r="Q357" i="2"/>
  <c r="I6" i="1"/>
  <c r="I7" i="1"/>
  <c r="F357" i="2" l="1"/>
  <c r="I357" i="2" s="1"/>
  <c r="X350" i="2"/>
  <c r="F350" i="7" s="1"/>
  <c r="D350" i="7"/>
  <c r="G350" i="7"/>
  <c r="AA350" i="2" l="1"/>
  <c r="I350" i="7"/>
  <c r="C351" i="7" s="1"/>
  <c r="C358" i="2"/>
  <c r="U351" i="2" l="1"/>
  <c r="D358" i="2"/>
  <c r="G358" i="2" s="1"/>
  <c r="Q358" i="2"/>
  <c r="F358" i="2" l="1"/>
  <c r="I358" i="2" s="1"/>
  <c r="V351" i="2"/>
  <c r="Y351" i="2" s="1"/>
  <c r="G351" i="7" l="1"/>
  <c r="X351" i="2"/>
  <c r="AA351" i="2" s="1"/>
  <c r="D351" i="7"/>
  <c r="C359" i="2"/>
  <c r="F351" i="7" l="1"/>
  <c r="I351" i="7" s="1"/>
  <c r="C352" i="7" s="1"/>
  <c r="D359" i="2"/>
  <c r="G359" i="2" s="1"/>
  <c r="Q359" i="2"/>
  <c r="F359" i="2" l="1"/>
  <c r="I359" i="2" s="1"/>
  <c r="U352" i="2"/>
  <c r="V352" i="2" l="1"/>
  <c r="Y352" i="2" s="1"/>
  <c r="C360" i="2"/>
  <c r="G352" i="7" l="1"/>
  <c r="X352" i="2"/>
  <c r="F352" i="7" s="1"/>
  <c r="D352" i="7"/>
  <c r="Q360" i="2"/>
  <c r="D360" i="2"/>
  <c r="G360" i="2" s="1"/>
  <c r="AA352" i="2" l="1"/>
  <c r="F360" i="2"/>
  <c r="I360" i="2" s="1"/>
  <c r="I352" i="7"/>
  <c r="C353" i="7" s="1"/>
  <c r="U353" i="2" l="1"/>
  <c r="C361" i="2"/>
  <c r="V353" i="2" l="1"/>
  <c r="Y353" i="2" s="1"/>
  <c r="Q361" i="2"/>
  <c r="D361" i="2"/>
  <c r="G361" i="2" s="1"/>
  <c r="F361" i="2" l="1"/>
  <c r="I361" i="2" s="1"/>
  <c r="X353" i="2"/>
  <c r="F353" i="7" s="1"/>
  <c r="D353" i="7"/>
  <c r="G353" i="7"/>
  <c r="I353" i="7" l="1"/>
  <c r="C354" i="7" s="1"/>
  <c r="AA353" i="2"/>
  <c r="C362" i="2"/>
  <c r="U354" i="2" l="1"/>
  <c r="D362" i="2"/>
  <c r="G362" i="2" s="1"/>
  <c r="Q362" i="2"/>
  <c r="F362" i="2" l="1"/>
  <c r="I362" i="2" s="1"/>
  <c r="V354" i="2"/>
  <c r="Y354" i="2" s="1"/>
  <c r="D354" i="7" l="1"/>
  <c r="G354" i="7"/>
  <c r="X354" i="2"/>
  <c r="F354" i="7" s="1"/>
  <c r="I354" i="7" s="1"/>
  <c r="C355" i="7" s="1"/>
  <c r="C363" i="2"/>
  <c r="J362" i="2"/>
  <c r="AA354" i="2" l="1"/>
  <c r="D363" i="2"/>
  <c r="G363" i="2" s="1"/>
  <c r="E9" i="1" s="1"/>
  <c r="Q363" i="2"/>
  <c r="J234" i="2"/>
  <c r="E234" i="2" s="1"/>
  <c r="J42" i="2"/>
  <c r="E42" i="2" s="1"/>
  <c r="J70" i="2"/>
  <c r="E70" i="2" s="1"/>
  <c r="J79" i="2"/>
  <c r="E79" i="2" s="1"/>
  <c r="J171" i="2"/>
  <c r="E171" i="2" s="1"/>
  <c r="J180" i="2"/>
  <c r="E180" i="2" s="1"/>
  <c r="J306" i="2"/>
  <c r="E306" i="2" s="1"/>
  <c r="J51" i="2"/>
  <c r="E51" i="2" s="1"/>
  <c r="J60" i="2"/>
  <c r="E60" i="2" s="1"/>
  <c r="J96" i="2"/>
  <c r="E96" i="2" s="1"/>
  <c r="J176" i="2"/>
  <c r="E176" i="2" s="1"/>
  <c r="J185" i="2"/>
  <c r="E185" i="2" s="1"/>
  <c r="J232" i="2"/>
  <c r="E232" i="2" s="1"/>
  <c r="J230" i="2"/>
  <c r="E230" i="2" s="1"/>
  <c r="J209" i="2"/>
  <c r="E209" i="2" s="1"/>
  <c r="J194" i="2"/>
  <c r="E194" i="2" s="1"/>
  <c r="J288" i="2"/>
  <c r="E288" i="2" s="1"/>
  <c r="J250" i="2"/>
  <c r="E250" i="2" s="1"/>
  <c r="J259" i="2"/>
  <c r="E259" i="2" s="1"/>
  <c r="J114" i="2"/>
  <c r="E114" i="2" s="1"/>
  <c r="J164" i="2"/>
  <c r="E164" i="2" s="1"/>
  <c r="J165" i="2"/>
  <c r="E165" i="2" s="1"/>
  <c r="J217" i="2"/>
  <c r="E217" i="2" s="1"/>
  <c r="J218" i="2"/>
  <c r="E218" i="2" s="1"/>
  <c r="J26" i="2"/>
  <c r="E26" i="2" s="1"/>
  <c r="J298" i="2"/>
  <c r="E298" i="2" s="1"/>
  <c r="J106" i="2"/>
  <c r="E106" i="2" s="1"/>
  <c r="J150" i="2"/>
  <c r="E150" i="2" s="1"/>
  <c r="J143" i="2"/>
  <c r="E143" i="2" s="1"/>
  <c r="J270" i="2"/>
  <c r="E270" i="2" s="1"/>
  <c r="J315" i="2"/>
  <c r="E315" i="2" s="1"/>
  <c r="J115" i="2"/>
  <c r="E115" i="2" s="1"/>
  <c r="J108" i="2"/>
  <c r="E108" i="2" s="1"/>
  <c r="J160" i="2"/>
  <c r="E160" i="2" s="1"/>
  <c r="J211" i="2"/>
  <c r="E211" i="2" s="1"/>
  <c r="J145" i="2"/>
  <c r="E145" i="2" s="1"/>
  <c r="J120" i="2"/>
  <c r="E120" i="2" s="1"/>
  <c r="J140" i="2"/>
  <c r="E140" i="2" s="1"/>
  <c r="J248" i="2"/>
  <c r="E248" i="2" s="1"/>
  <c r="J257" i="2"/>
  <c r="E257" i="2" s="1"/>
  <c r="J78" i="2"/>
  <c r="E78" i="2" s="1"/>
  <c r="J157" i="2"/>
  <c r="E157" i="2" s="1"/>
  <c r="J201" i="2"/>
  <c r="E201" i="2" s="1"/>
  <c r="J285" i="2"/>
  <c r="E285" i="2" s="1"/>
  <c r="J318" i="2"/>
  <c r="E318" i="2" s="1"/>
  <c r="J59" i="2"/>
  <c r="E59" i="2" s="1"/>
  <c r="J162" i="2"/>
  <c r="E162" i="2" s="1"/>
  <c r="J198" i="2"/>
  <c r="E198" i="2" s="1"/>
  <c r="J290" i="2"/>
  <c r="E290" i="2" s="1"/>
  <c r="J52" i="2"/>
  <c r="E52" i="2" s="1"/>
  <c r="J88" i="2"/>
  <c r="E88" i="2" s="1"/>
  <c r="J210" i="2"/>
  <c r="E210" i="2" s="1"/>
  <c r="J208" i="2"/>
  <c r="E208" i="2" s="1"/>
  <c r="J300" i="2"/>
  <c r="E300" i="2" s="1"/>
  <c r="J38" i="2"/>
  <c r="E38" i="2" s="1"/>
  <c r="J247" i="2"/>
  <c r="E247" i="2" s="1"/>
  <c r="J131" i="2"/>
  <c r="E131" i="2" s="1"/>
  <c r="J303" i="2"/>
  <c r="E303" i="2" s="1"/>
  <c r="J312" i="2"/>
  <c r="E312" i="2" s="1"/>
  <c r="J14" i="2"/>
  <c r="E14" i="2" s="1"/>
  <c r="J292" i="2"/>
  <c r="E292" i="2" s="1"/>
  <c r="J184" i="2"/>
  <c r="E184" i="2" s="1"/>
  <c r="J29" i="2"/>
  <c r="E29" i="2" s="1"/>
  <c r="J62" i="2"/>
  <c r="E62" i="2" s="1"/>
  <c r="J251" i="2"/>
  <c r="E251" i="2" s="1"/>
  <c r="J146" i="2"/>
  <c r="E146" i="2" s="1"/>
  <c r="J265" i="2"/>
  <c r="E265" i="2" s="1"/>
  <c r="J274" i="2"/>
  <c r="E274" i="2" s="1"/>
  <c r="J310" i="2"/>
  <c r="E310" i="2" s="1"/>
  <c r="J19" i="2"/>
  <c r="E19" i="2" s="1"/>
  <c r="J177" i="2"/>
  <c r="E177" i="2" s="1"/>
  <c r="J319" i="2"/>
  <c r="E319" i="2" s="1"/>
  <c r="J41" i="2"/>
  <c r="E41" i="2" s="1"/>
  <c r="J314" i="2"/>
  <c r="E314" i="2" s="1"/>
  <c r="J169" i="2"/>
  <c r="E169" i="2" s="1"/>
  <c r="J284" i="2"/>
  <c r="E284" i="2" s="1"/>
  <c r="J167" i="2"/>
  <c r="E167" i="2" s="1"/>
  <c r="J309" i="2"/>
  <c r="E309" i="2" s="1"/>
  <c r="J117" i="2"/>
  <c r="E117" i="2" s="1"/>
  <c r="J4" i="2"/>
  <c r="J170" i="2"/>
  <c r="E170" i="2" s="1"/>
  <c r="J212" i="2"/>
  <c r="E212" i="2" s="1"/>
  <c r="J222" i="2"/>
  <c r="E222" i="2" s="1"/>
  <c r="J223" i="2"/>
  <c r="E223" i="2" s="1"/>
  <c r="J65" i="2"/>
  <c r="E65" i="2" s="1"/>
  <c r="J22" i="2"/>
  <c r="E22" i="2" s="1"/>
  <c r="J273" i="2"/>
  <c r="E273" i="2" s="1"/>
  <c r="J267" i="2"/>
  <c r="E267" i="2" s="1"/>
  <c r="J268" i="2"/>
  <c r="E268" i="2" s="1"/>
  <c r="J126" i="2"/>
  <c r="E126" i="2" s="1"/>
  <c r="J213" i="2"/>
  <c r="E213" i="2" s="1"/>
  <c r="J246" i="2"/>
  <c r="E246" i="2" s="1"/>
  <c r="J269" i="2"/>
  <c r="E269" i="2" s="1"/>
  <c r="J275" i="2"/>
  <c r="E275" i="2" s="1"/>
  <c r="J83" i="2"/>
  <c r="E83" i="2" s="1"/>
  <c r="J158" i="2"/>
  <c r="E158" i="2" s="1"/>
  <c r="J61" i="2"/>
  <c r="E61" i="2" s="1"/>
  <c r="J199" i="2"/>
  <c r="E199" i="2" s="1"/>
  <c r="J181" i="2"/>
  <c r="E181" i="2" s="1"/>
  <c r="J233" i="2"/>
  <c r="E233" i="2" s="1"/>
  <c r="J203" i="2"/>
  <c r="E203" i="2" s="1"/>
  <c r="J11" i="2"/>
  <c r="E11" i="2" s="1"/>
  <c r="J286" i="2"/>
  <c r="E286" i="2" s="1"/>
  <c r="J48" i="2"/>
  <c r="E48" i="2" s="1"/>
  <c r="J68" i="2"/>
  <c r="E68" i="2" s="1"/>
  <c r="J313" i="2"/>
  <c r="E313" i="2" s="1"/>
  <c r="J240" i="2"/>
  <c r="E240" i="2" s="1"/>
  <c r="J97" i="2"/>
  <c r="E97" i="2" s="1"/>
  <c r="J296" i="2"/>
  <c r="E296" i="2" s="1"/>
  <c r="J124" i="2"/>
  <c r="E124" i="2" s="1"/>
  <c r="J299" i="2"/>
  <c r="E299" i="2" s="1"/>
  <c r="J135" i="2"/>
  <c r="E135" i="2" s="1"/>
  <c r="J262" i="2"/>
  <c r="E262" i="2" s="1"/>
  <c r="J263" i="2"/>
  <c r="E263" i="2" s="1"/>
  <c r="J36" i="2"/>
  <c r="E36" i="2" s="1"/>
  <c r="J72" i="2"/>
  <c r="E72" i="2" s="1"/>
  <c r="J294" i="2"/>
  <c r="E294" i="2" s="1"/>
  <c r="J152" i="2"/>
  <c r="E152" i="2" s="1"/>
  <c r="J228" i="2"/>
  <c r="E228" i="2" s="1"/>
  <c r="J264" i="2"/>
  <c r="E264" i="2" s="1"/>
  <c r="J281" i="2"/>
  <c r="E281" i="2" s="1"/>
  <c r="J20" i="2"/>
  <c r="E20" i="2" s="1"/>
  <c r="J125" i="2"/>
  <c r="E125" i="2" s="1"/>
  <c r="J161" i="2"/>
  <c r="E161" i="2" s="1"/>
  <c r="J237" i="2"/>
  <c r="E237" i="2" s="1"/>
  <c r="J214" i="2"/>
  <c r="E214" i="2" s="1"/>
  <c r="J81" i="2"/>
  <c r="E81" i="2" s="1"/>
  <c r="J295" i="2"/>
  <c r="E295" i="2" s="1"/>
  <c r="J31" i="2"/>
  <c r="E31" i="2" s="1"/>
  <c r="J178" i="2"/>
  <c r="E178" i="2" s="1"/>
  <c r="J132" i="2"/>
  <c r="E132" i="2" s="1"/>
  <c r="J304" i="2"/>
  <c r="E304" i="2" s="1"/>
  <c r="J87" i="2"/>
  <c r="E87" i="2" s="1"/>
  <c r="J179" i="2"/>
  <c r="E179" i="2" s="1"/>
  <c r="J58" i="2"/>
  <c r="E58" i="2" s="1"/>
  <c r="J224" i="2"/>
  <c r="E224" i="2" s="1"/>
  <c r="J282" i="2"/>
  <c r="E282" i="2" s="1"/>
  <c r="J291" i="2"/>
  <c r="E291" i="2" s="1"/>
  <c r="J27" i="2"/>
  <c r="E27" i="2" s="1"/>
  <c r="J17" i="2"/>
  <c r="E17" i="2" s="1"/>
  <c r="J136" i="2"/>
  <c r="E136" i="2" s="1"/>
  <c r="J207" i="2"/>
  <c r="E207" i="2" s="1"/>
  <c r="J216" i="2"/>
  <c r="E216" i="2" s="1"/>
  <c r="J16" i="2"/>
  <c r="E16" i="2" s="1"/>
  <c r="J301" i="2"/>
  <c r="E301" i="2" s="1"/>
  <c r="J109" i="2"/>
  <c r="E109" i="2" s="1"/>
  <c r="J225" i="2"/>
  <c r="E225" i="2" s="1"/>
  <c r="J221" i="2"/>
  <c r="E221" i="2" s="1"/>
  <c r="J34" i="2"/>
  <c r="E34" i="2" s="1"/>
  <c r="J43" i="2"/>
  <c r="E43" i="2" s="1"/>
  <c r="J173" i="2"/>
  <c r="E173" i="2" s="1"/>
  <c r="J277" i="2"/>
  <c r="E277" i="2" s="1"/>
  <c r="J260" i="2"/>
  <c r="E260" i="2" s="1"/>
  <c r="J46" i="2"/>
  <c r="E46" i="2" s="1"/>
  <c r="J69" i="2"/>
  <c r="E69" i="2" s="1"/>
  <c r="J102" i="2"/>
  <c r="E102" i="2" s="1"/>
  <c r="J238" i="2"/>
  <c r="E238" i="2" s="1"/>
  <c r="J258" i="2"/>
  <c r="E258" i="2" s="1"/>
  <c r="J305" i="2"/>
  <c r="E305" i="2" s="1"/>
  <c r="J56" i="2"/>
  <c r="E56" i="2" s="1"/>
  <c r="J103" i="2"/>
  <c r="E103" i="2" s="1"/>
  <c r="J283" i="2"/>
  <c r="E283" i="2" s="1"/>
  <c r="J311" i="2"/>
  <c r="E311" i="2" s="1"/>
  <c r="J47" i="2"/>
  <c r="E47" i="2" s="1"/>
  <c r="J93" i="2"/>
  <c r="E93" i="2" s="1"/>
  <c r="J148" i="2"/>
  <c r="E148" i="2" s="1"/>
  <c r="J272" i="2"/>
  <c r="E272" i="2" s="1"/>
  <c r="J37" i="2"/>
  <c r="E37" i="2" s="1"/>
  <c r="J92" i="2"/>
  <c r="E92" i="2" s="1"/>
  <c r="J98" i="2"/>
  <c r="E98" i="2" s="1"/>
  <c r="J206" i="2"/>
  <c r="E206" i="2" s="1"/>
  <c r="J9" i="2"/>
  <c r="E9" i="2" s="1"/>
  <c r="J18" i="2"/>
  <c r="E18" i="2" s="1"/>
  <c r="J107" i="2"/>
  <c r="E107" i="2" s="1"/>
  <c r="J55" i="2"/>
  <c r="E55" i="2" s="1"/>
  <c r="J54" i="2"/>
  <c r="E54" i="2" s="1"/>
  <c r="J241" i="2"/>
  <c r="E241" i="2" s="1"/>
  <c r="J49" i="2"/>
  <c r="E49" i="2" s="1"/>
  <c r="J111" i="2"/>
  <c r="E111" i="2" s="1"/>
  <c r="J94" i="2"/>
  <c r="E94" i="2" s="1"/>
  <c r="J99" i="2"/>
  <c r="E99" i="2" s="1"/>
  <c r="J302" i="2"/>
  <c r="E302" i="2" s="1"/>
  <c r="J110" i="2"/>
  <c r="E110" i="2" s="1"/>
  <c r="J156" i="2"/>
  <c r="E156" i="2" s="1"/>
  <c r="J139" i="2"/>
  <c r="E139" i="2" s="1"/>
  <c r="J256" i="2"/>
  <c r="E256" i="2" s="1"/>
  <c r="J64" i="2"/>
  <c r="E64" i="2" s="1"/>
  <c r="J12" i="2"/>
  <c r="E12" i="2" s="1"/>
  <c r="J85" i="2"/>
  <c r="E85" i="2" s="1"/>
  <c r="J129" i="2"/>
  <c r="E129" i="2" s="1"/>
  <c r="J287" i="2"/>
  <c r="E287" i="2" s="1"/>
  <c r="J215" i="2"/>
  <c r="E215" i="2" s="1"/>
  <c r="J226" i="2"/>
  <c r="E226" i="2" s="1"/>
  <c r="J278" i="2"/>
  <c r="E278" i="2" s="1"/>
  <c r="J279" i="2"/>
  <c r="E279" i="2" s="1"/>
  <c r="J231" i="2"/>
  <c r="E231" i="2" s="1"/>
  <c r="J236" i="2"/>
  <c r="E236" i="2" s="1"/>
  <c r="J116" i="2"/>
  <c r="E116" i="2" s="1"/>
  <c r="J243" i="2"/>
  <c r="E243" i="2" s="1"/>
  <c r="J244" i="2"/>
  <c r="E244" i="2" s="1"/>
  <c r="J280" i="2"/>
  <c r="E280" i="2" s="1"/>
  <c r="J45" i="2"/>
  <c r="E45" i="2" s="1"/>
  <c r="J188" i="2"/>
  <c r="E188" i="2" s="1"/>
  <c r="J30" i="2"/>
  <c r="E30" i="2" s="1"/>
  <c r="J122" i="2"/>
  <c r="E122" i="2" s="1"/>
  <c r="J253" i="2"/>
  <c r="E253" i="2" s="1"/>
  <c r="J297" i="2"/>
  <c r="E297" i="2" s="1"/>
  <c r="J66" i="2"/>
  <c r="E66" i="2" s="1"/>
  <c r="J75" i="2"/>
  <c r="E75" i="2" s="1"/>
  <c r="J175" i="2"/>
  <c r="E175" i="2" s="1"/>
  <c r="J112" i="2"/>
  <c r="E112" i="2" s="1"/>
  <c r="J21" i="2"/>
  <c r="E21" i="2" s="1"/>
  <c r="J76" i="2"/>
  <c r="E76" i="2" s="1"/>
  <c r="J5" i="2"/>
  <c r="E5" i="2" s="1"/>
  <c r="J193" i="2"/>
  <c r="E193" i="2" s="1"/>
  <c r="J133" i="2"/>
  <c r="E133" i="2" s="1"/>
  <c r="J187" i="2"/>
  <c r="E187" i="2" s="1"/>
  <c r="J6" i="2"/>
  <c r="E6" i="2" s="1"/>
  <c r="J7" i="2"/>
  <c r="E7" i="2" s="1"/>
  <c r="J32" i="2"/>
  <c r="E32" i="2" s="1"/>
  <c r="J100" i="2"/>
  <c r="E100" i="2" s="1"/>
  <c r="J121" i="2"/>
  <c r="E121" i="2" s="1"/>
  <c r="J105" i="2"/>
  <c r="E105" i="2" s="1"/>
  <c r="J307" i="2"/>
  <c r="E307" i="2" s="1"/>
  <c r="J186" i="2"/>
  <c r="E186" i="2" s="1"/>
  <c r="J33" i="2"/>
  <c r="E33" i="2" s="1"/>
  <c r="J39" i="2"/>
  <c r="E39" i="2" s="1"/>
  <c r="J189" i="2"/>
  <c r="E189" i="2" s="1"/>
  <c r="J308" i="2"/>
  <c r="E308" i="2" s="1"/>
  <c r="J242" i="2"/>
  <c r="E242" i="2" s="1"/>
  <c r="J50" i="2"/>
  <c r="E50" i="2" s="1"/>
  <c r="J293" i="2"/>
  <c r="E293" i="2" s="1"/>
  <c r="J101" i="2"/>
  <c r="E101" i="2" s="1"/>
  <c r="J73" i="2"/>
  <c r="E73" i="2" s="1"/>
  <c r="J154" i="2"/>
  <c r="E154" i="2" s="1"/>
  <c r="J190" i="2"/>
  <c r="E190" i="2" s="1"/>
  <c r="J183" i="2"/>
  <c r="E183" i="2" s="1"/>
  <c r="J35" i="2"/>
  <c r="E35" i="2" s="1"/>
  <c r="J10" i="2"/>
  <c r="E10" i="2" s="1"/>
  <c r="J91" i="2"/>
  <c r="E91" i="2" s="1"/>
  <c r="J138" i="2"/>
  <c r="E138" i="2" s="1"/>
  <c r="J147" i="2"/>
  <c r="E147" i="2" s="1"/>
  <c r="J271" i="2"/>
  <c r="E271" i="2" s="1"/>
  <c r="J63" i="2"/>
  <c r="E63" i="2" s="1"/>
  <c r="J80" i="2"/>
  <c r="E80" i="2" s="1"/>
  <c r="J191" i="2"/>
  <c r="E191" i="2" s="1"/>
  <c r="J200" i="2"/>
  <c r="E200" i="2" s="1"/>
  <c r="J252" i="2"/>
  <c r="E252" i="2" s="1"/>
  <c r="J44" i="2"/>
  <c r="E44" i="2" s="1"/>
  <c r="J53" i="2"/>
  <c r="E53" i="2" s="1"/>
  <c r="J172" i="2"/>
  <c r="E172" i="2" s="1"/>
  <c r="J245" i="2"/>
  <c r="E245" i="2" s="1"/>
  <c r="J289" i="2"/>
  <c r="E289" i="2" s="1"/>
  <c r="J89" i="2"/>
  <c r="E89" i="2" s="1"/>
  <c r="J23" i="2"/>
  <c r="E23" i="2" s="1"/>
  <c r="J142" i="2"/>
  <c r="E142" i="2" s="1"/>
  <c r="J90" i="2"/>
  <c r="E90" i="2" s="1"/>
  <c r="J137" i="2"/>
  <c r="E137" i="2" s="1"/>
  <c r="J74" i="2"/>
  <c r="E74" i="2" s="1"/>
  <c r="J254" i="2"/>
  <c r="E254" i="2" s="1"/>
  <c r="J202" i="2"/>
  <c r="E202" i="2" s="1"/>
  <c r="J15" i="2"/>
  <c r="E15" i="2" s="1"/>
  <c r="J134" i="2"/>
  <c r="E134" i="2" s="1"/>
  <c r="J127" i="2"/>
  <c r="E127" i="2" s="1"/>
  <c r="J235" i="2"/>
  <c r="E235" i="2" s="1"/>
  <c r="J255" i="2"/>
  <c r="E255" i="2" s="1"/>
  <c r="J24" i="2"/>
  <c r="E24" i="2" s="1"/>
  <c r="J28" i="2"/>
  <c r="E28" i="2" s="1"/>
  <c r="J155" i="2"/>
  <c r="E155" i="2" s="1"/>
  <c r="J153" i="2"/>
  <c r="E153" i="2" s="1"/>
  <c r="J192" i="2"/>
  <c r="E192" i="2" s="1"/>
  <c r="J84" i="2"/>
  <c r="E84" i="2" s="1"/>
  <c r="J67" i="2"/>
  <c r="E67" i="2" s="1"/>
  <c r="J95" i="2"/>
  <c r="E95" i="2" s="1"/>
  <c r="J195" i="2"/>
  <c r="E195" i="2" s="1"/>
  <c r="J196" i="2"/>
  <c r="E196" i="2" s="1"/>
  <c r="J227" i="2"/>
  <c r="E227" i="2" s="1"/>
  <c r="J13" i="2"/>
  <c r="E13" i="2" s="1"/>
  <c r="J57" i="2"/>
  <c r="E57" i="2" s="1"/>
  <c r="J151" i="2"/>
  <c r="E151" i="2" s="1"/>
  <c r="J113" i="2"/>
  <c r="E113" i="2" s="1"/>
  <c r="J197" i="2"/>
  <c r="E197" i="2" s="1"/>
  <c r="J82" i="2"/>
  <c r="E82" i="2" s="1"/>
  <c r="J118" i="2"/>
  <c r="E118" i="2" s="1"/>
  <c r="J104" i="2"/>
  <c r="E104" i="2" s="1"/>
  <c r="J174" i="2"/>
  <c r="E174" i="2" s="1"/>
  <c r="J266" i="2"/>
  <c r="E266" i="2" s="1"/>
  <c r="J71" i="2"/>
  <c r="E71" i="2" s="1"/>
  <c r="J163" i="2"/>
  <c r="E163" i="2" s="1"/>
  <c r="J141" i="2"/>
  <c r="E141" i="2" s="1"/>
  <c r="J219" i="2"/>
  <c r="E219" i="2" s="1"/>
  <c r="J8" i="2"/>
  <c r="E8" i="2" s="1"/>
  <c r="J119" i="2"/>
  <c r="E119" i="2" s="1"/>
  <c r="J128" i="2"/>
  <c r="E128" i="2" s="1"/>
  <c r="J220" i="2"/>
  <c r="E220" i="2" s="1"/>
  <c r="J149" i="2"/>
  <c r="E149" i="2" s="1"/>
  <c r="J276" i="2"/>
  <c r="E276" i="2" s="1"/>
  <c r="J40" i="2"/>
  <c r="E40" i="2" s="1"/>
  <c r="J159" i="2"/>
  <c r="E159" i="2" s="1"/>
  <c r="J168" i="2"/>
  <c r="E168" i="2" s="1"/>
  <c r="J123" i="2"/>
  <c r="E123" i="2" s="1"/>
  <c r="J77" i="2"/>
  <c r="E77" i="2" s="1"/>
  <c r="J204" i="2"/>
  <c r="E204" i="2" s="1"/>
  <c r="J205" i="2"/>
  <c r="E205" i="2" s="1"/>
  <c r="J249" i="2"/>
  <c r="E249" i="2" s="1"/>
  <c r="J261" i="2"/>
  <c r="E261" i="2" s="1"/>
  <c r="J182" i="2"/>
  <c r="E182" i="2" s="1"/>
  <c r="J130" i="2"/>
  <c r="E130" i="2" s="1"/>
  <c r="J166" i="2"/>
  <c r="E166" i="2" s="1"/>
  <c r="J239" i="2"/>
  <c r="E239" i="2" s="1"/>
  <c r="J317" i="2"/>
  <c r="E317" i="2" s="1"/>
  <c r="J316" i="2"/>
  <c r="E316" i="2" s="1"/>
  <c r="J25" i="2"/>
  <c r="E25" i="2" s="1"/>
  <c r="J144" i="2"/>
  <c r="E144" i="2" s="1"/>
  <c r="J86" i="2"/>
  <c r="E86" i="2" s="1"/>
  <c r="J229" i="2"/>
  <c r="E229" i="2" s="1"/>
  <c r="J320" i="2"/>
  <c r="E320" i="2" s="1"/>
  <c r="J321" i="2"/>
  <c r="E321" i="2" s="1"/>
  <c r="J322" i="2"/>
  <c r="E322" i="2" s="1"/>
  <c r="J323" i="2"/>
  <c r="E323" i="2" s="1"/>
  <c r="J324" i="2"/>
  <c r="E324" i="2" s="1"/>
  <c r="J325" i="2"/>
  <c r="E325" i="2" s="1"/>
  <c r="J326" i="2"/>
  <c r="E326" i="2" s="1"/>
  <c r="J327" i="2"/>
  <c r="E327" i="2" s="1"/>
  <c r="J328" i="2"/>
  <c r="E328" i="2" s="1"/>
  <c r="J329" i="2"/>
  <c r="E329" i="2" s="1"/>
  <c r="J330" i="2"/>
  <c r="E330" i="2" s="1"/>
  <c r="J331" i="2"/>
  <c r="E331" i="2" s="1"/>
  <c r="J332" i="2"/>
  <c r="E332" i="2" s="1"/>
  <c r="J333" i="2"/>
  <c r="E333" i="2" s="1"/>
  <c r="J334" i="2"/>
  <c r="E334" i="2" s="1"/>
  <c r="J335" i="2"/>
  <c r="E335" i="2" s="1"/>
  <c r="J336" i="2"/>
  <c r="E336" i="2" s="1"/>
  <c r="J337" i="2"/>
  <c r="E337" i="2" s="1"/>
  <c r="J338" i="2"/>
  <c r="E338" i="2" s="1"/>
  <c r="J339" i="2"/>
  <c r="E339" i="2" s="1"/>
  <c r="J340" i="2"/>
  <c r="E340" i="2" s="1"/>
  <c r="J341" i="2"/>
  <c r="E341" i="2" s="1"/>
  <c r="J342" i="2"/>
  <c r="E342" i="2" s="1"/>
  <c r="J343" i="2"/>
  <c r="E343" i="2" s="1"/>
  <c r="J344" i="2"/>
  <c r="E344" i="2" s="1"/>
  <c r="J345" i="2"/>
  <c r="E345" i="2" s="1"/>
  <c r="J346" i="2"/>
  <c r="E346" i="2" s="1"/>
  <c r="J347" i="2"/>
  <c r="E347" i="2" s="1"/>
  <c r="J348" i="2"/>
  <c r="E348" i="2" s="1"/>
  <c r="J349" i="2"/>
  <c r="E349" i="2" s="1"/>
  <c r="J350" i="2"/>
  <c r="E350" i="2" s="1"/>
  <c r="J351" i="2"/>
  <c r="E351" i="2" s="1"/>
  <c r="J352" i="2"/>
  <c r="E352" i="2" s="1"/>
  <c r="J353" i="2"/>
  <c r="E353" i="2" s="1"/>
  <c r="J354" i="2"/>
  <c r="E354" i="2" s="1"/>
  <c r="J355" i="2"/>
  <c r="E355" i="2" s="1"/>
  <c r="J356" i="2"/>
  <c r="E356" i="2" s="1"/>
  <c r="J361" i="2"/>
  <c r="E361" i="2" s="1"/>
  <c r="J357" i="2"/>
  <c r="E357" i="2" s="1"/>
  <c r="J359" i="2"/>
  <c r="E359" i="2" s="1"/>
  <c r="J360" i="2"/>
  <c r="E360" i="2" s="1"/>
  <c r="J358" i="2"/>
  <c r="E358" i="2" s="1"/>
  <c r="F363" i="2" l="1"/>
  <c r="I363" i="2" s="1"/>
  <c r="J363" i="2" s="1"/>
  <c r="E363" i="2" s="1"/>
  <c r="E362" i="2"/>
  <c r="H362" i="2" s="1"/>
  <c r="U355" i="2"/>
  <c r="H356" i="2"/>
  <c r="H348" i="2"/>
  <c r="H340" i="2"/>
  <c r="H332" i="2"/>
  <c r="H324" i="2"/>
  <c r="H25" i="2"/>
  <c r="H249" i="2"/>
  <c r="H276" i="2"/>
  <c r="H163" i="2"/>
  <c r="H113" i="2"/>
  <c r="H67" i="2"/>
  <c r="H235" i="2"/>
  <c r="H90" i="2"/>
  <c r="H44" i="2"/>
  <c r="H138" i="2"/>
  <c r="H101" i="2"/>
  <c r="H186" i="2"/>
  <c r="H187" i="2"/>
  <c r="H75" i="2"/>
  <c r="H280" i="2"/>
  <c r="H226" i="2"/>
  <c r="H139" i="2"/>
  <c r="H241" i="2"/>
  <c r="H92" i="2"/>
  <c r="H103" i="2"/>
  <c r="H260" i="2"/>
  <c r="H301" i="2"/>
  <c r="H282" i="2"/>
  <c r="H31" i="2"/>
  <c r="H281" i="2"/>
  <c r="H262" i="2"/>
  <c r="H68" i="2"/>
  <c r="H61" i="2"/>
  <c r="H268" i="2"/>
  <c r="H170" i="2"/>
  <c r="H41" i="2"/>
  <c r="H251" i="2"/>
  <c r="H131" i="2"/>
  <c r="H290" i="2"/>
  <c r="H78" i="2"/>
  <c r="H108" i="2"/>
  <c r="H26" i="2"/>
  <c r="H288" i="2"/>
  <c r="H60" i="2"/>
  <c r="H234" i="2"/>
  <c r="H355" i="2"/>
  <c r="H347" i="2"/>
  <c r="H339" i="2"/>
  <c r="H331" i="2"/>
  <c r="H323" i="2"/>
  <c r="H316" i="2"/>
  <c r="H205" i="2"/>
  <c r="H149" i="2"/>
  <c r="H71" i="2"/>
  <c r="H151" i="2"/>
  <c r="H84" i="2"/>
  <c r="H127" i="2"/>
  <c r="H142" i="2"/>
  <c r="H252" i="2"/>
  <c r="H91" i="2"/>
  <c r="H293" i="2"/>
  <c r="H307" i="2"/>
  <c r="H133" i="2"/>
  <c r="H66" i="2"/>
  <c r="H244" i="2"/>
  <c r="H215" i="2"/>
  <c r="H156" i="2"/>
  <c r="H54" i="2"/>
  <c r="H37" i="2"/>
  <c r="H56" i="2"/>
  <c r="H277" i="2"/>
  <c r="H16" i="2"/>
  <c r="H224" i="2"/>
  <c r="H295" i="2"/>
  <c r="H264" i="2"/>
  <c r="H135" i="2"/>
  <c r="H48" i="2"/>
  <c r="H158" i="2"/>
  <c r="H267" i="2"/>
  <c r="H319" i="2"/>
  <c r="H62" i="2"/>
  <c r="H247" i="2"/>
  <c r="H198" i="2"/>
  <c r="H257" i="2"/>
  <c r="H115" i="2"/>
  <c r="H218" i="2"/>
  <c r="H194" i="2"/>
  <c r="H51" i="2"/>
  <c r="H354" i="2"/>
  <c r="H346" i="2"/>
  <c r="H338" i="2"/>
  <c r="H330" i="2"/>
  <c r="H322" i="2"/>
  <c r="H317" i="2"/>
  <c r="H204" i="2"/>
  <c r="H220" i="2"/>
  <c r="H266" i="2"/>
  <c r="H57" i="2"/>
  <c r="H192" i="2"/>
  <c r="H134" i="2"/>
  <c r="H23" i="2"/>
  <c r="H200" i="2"/>
  <c r="H10" i="2"/>
  <c r="H50" i="2"/>
  <c r="H105" i="2"/>
  <c r="H193" i="2"/>
  <c r="H297" i="2"/>
  <c r="H243" i="2"/>
  <c r="H287" i="2"/>
  <c r="H110" i="2"/>
  <c r="H55" i="2"/>
  <c r="H272" i="2"/>
  <c r="H305" i="2"/>
  <c r="H173" i="2"/>
  <c r="H216" i="2"/>
  <c r="H58" i="2"/>
  <c r="H81" i="2"/>
  <c r="H228" i="2"/>
  <c r="H299" i="2"/>
  <c r="H286" i="2"/>
  <c r="H83" i="2"/>
  <c r="H273" i="2"/>
  <c r="H117" i="2"/>
  <c r="H177" i="2"/>
  <c r="H29" i="2"/>
  <c r="H38" i="2"/>
  <c r="H162" i="2"/>
  <c r="H248" i="2"/>
  <c r="H315" i="2"/>
  <c r="H217" i="2"/>
  <c r="H209" i="2"/>
  <c r="H306" i="2"/>
  <c r="H358" i="2"/>
  <c r="H353" i="2"/>
  <c r="H345" i="2"/>
  <c r="H337" i="2"/>
  <c r="H329" i="2"/>
  <c r="H321" i="2"/>
  <c r="H239" i="2"/>
  <c r="H77" i="2"/>
  <c r="H128" i="2"/>
  <c r="H174" i="2"/>
  <c r="H13" i="2"/>
  <c r="H153" i="2"/>
  <c r="H15" i="2"/>
  <c r="H89" i="2"/>
  <c r="H191" i="2"/>
  <c r="H35" i="2"/>
  <c r="H242" i="2"/>
  <c r="H121" i="2"/>
  <c r="H5" i="2"/>
  <c r="H253" i="2"/>
  <c r="H116" i="2"/>
  <c r="H129" i="2"/>
  <c r="H302" i="2"/>
  <c r="H107" i="2"/>
  <c r="H148" i="2"/>
  <c r="H258" i="2"/>
  <c r="H43" i="2"/>
  <c r="H207" i="2"/>
  <c r="H179" i="2"/>
  <c r="H214" i="2"/>
  <c r="H152" i="2"/>
  <c r="H124" i="2"/>
  <c r="H11" i="2"/>
  <c r="H275" i="2"/>
  <c r="H22" i="2"/>
  <c r="H309" i="2"/>
  <c r="H19" i="2"/>
  <c r="H184" i="2"/>
  <c r="H300" i="2"/>
  <c r="H59" i="2"/>
  <c r="H140" i="2"/>
  <c r="H270" i="2"/>
  <c r="H165" i="2"/>
  <c r="H230" i="2"/>
  <c r="H180" i="2"/>
  <c r="H360" i="2"/>
  <c r="H352" i="2"/>
  <c r="H344" i="2"/>
  <c r="H336" i="2"/>
  <c r="H328" i="2"/>
  <c r="H320" i="2"/>
  <c r="H166" i="2"/>
  <c r="H123" i="2"/>
  <c r="H119" i="2"/>
  <c r="H104" i="2"/>
  <c r="H227" i="2"/>
  <c r="H155" i="2"/>
  <c r="H202" i="2"/>
  <c r="H289" i="2"/>
  <c r="H80" i="2"/>
  <c r="H183" i="2"/>
  <c r="H308" i="2"/>
  <c r="H100" i="2"/>
  <c r="H76" i="2"/>
  <c r="H122" i="2"/>
  <c r="H236" i="2"/>
  <c r="H85" i="2"/>
  <c r="H99" i="2"/>
  <c r="H18" i="2"/>
  <c r="H93" i="2"/>
  <c r="H238" i="2"/>
  <c r="H34" i="2"/>
  <c r="H136" i="2"/>
  <c r="H87" i="2"/>
  <c r="H237" i="2"/>
  <c r="H294" i="2"/>
  <c r="H296" i="2"/>
  <c r="H203" i="2"/>
  <c r="H269" i="2"/>
  <c r="H65" i="2"/>
  <c r="H167" i="2"/>
  <c r="H310" i="2"/>
  <c r="H292" i="2"/>
  <c r="H208" i="2"/>
  <c r="H318" i="2"/>
  <c r="H120" i="2"/>
  <c r="H143" i="2"/>
  <c r="H164" i="2"/>
  <c r="H232" i="2"/>
  <c r="H171" i="2"/>
  <c r="I5" i="1"/>
  <c r="H359" i="2"/>
  <c r="H351" i="2"/>
  <c r="H343" i="2"/>
  <c r="H335" i="2"/>
  <c r="H327" i="2"/>
  <c r="H229" i="2"/>
  <c r="H130" i="2"/>
  <c r="H168" i="2"/>
  <c r="H8" i="2"/>
  <c r="H118" i="2"/>
  <c r="H196" i="2"/>
  <c r="H28" i="2"/>
  <c r="H254" i="2"/>
  <c r="H245" i="2"/>
  <c r="H63" i="2"/>
  <c r="H190" i="2"/>
  <c r="H189" i="2"/>
  <c r="H32" i="2"/>
  <c r="H21" i="2"/>
  <c r="H30" i="2"/>
  <c r="H231" i="2"/>
  <c r="H94" i="2"/>
  <c r="H9" i="2"/>
  <c r="H47" i="2"/>
  <c r="H102" i="2"/>
  <c r="H221" i="2"/>
  <c r="H17" i="2"/>
  <c r="H304" i="2"/>
  <c r="H161" i="2"/>
  <c r="H72" i="2"/>
  <c r="H97" i="2"/>
  <c r="H233" i="2"/>
  <c r="H246" i="2"/>
  <c r="H223" i="2"/>
  <c r="H284" i="2"/>
  <c r="H274" i="2"/>
  <c r="H14" i="2"/>
  <c r="H210" i="2"/>
  <c r="H285" i="2"/>
  <c r="H145" i="2"/>
  <c r="H150" i="2"/>
  <c r="H114" i="2"/>
  <c r="H185" i="2"/>
  <c r="H79" i="2"/>
  <c r="H357" i="2"/>
  <c r="H350" i="2"/>
  <c r="H342" i="2"/>
  <c r="H334" i="2"/>
  <c r="H326" i="2"/>
  <c r="H86" i="2"/>
  <c r="H182" i="2"/>
  <c r="H159" i="2"/>
  <c r="H219" i="2"/>
  <c r="H82" i="2"/>
  <c r="H195" i="2"/>
  <c r="H24" i="2"/>
  <c r="H74" i="2"/>
  <c r="H172" i="2"/>
  <c r="H271" i="2"/>
  <c r="H154" i="2"/>
  <c r="H39" i="2"/>
  <c r="H7" i="2"/>
  <c r="H112" i="2"/>
  <c r="H188" i="2"/>
  <c r="H279" i="2"/>
  <c r="H64" i="2"/>
  <c r="H111" i="2"/>
  <c r="H206" i="2"/>
  <c r="H311" i="2"/>
  <c r="H69" i="2"/>
  <c r="H225" i="2"/>
  <c r="H27" i="2"/>
  <c r="H132" i="2"/>
  <c r="H125" i="2"/>
  <c r="H36" i="2"/>
  <c r="H240" i="2"/>
  <c r="H181" i="2"/>
  <c r="H213" i="2"/>
  <c r="H222" i="2"/>
  <c r="H169" i="2"/>
  <c r="H265" i="2"/>
  <c r="H312" i="2"/>
  <c r="H88" i="2"/>
  <c r="H201" i="2"/>
  <c r="H211" i="2"/>
  <c r="H106" i="2"/>
  <c r="H259" i="2"/>
  <c r="H176" i="2"/>
  <c r="H70" i="2"/>
  <c r="H361" i="2"/>
  <c r="H349" i="2"/>
  <c r="H341" i="2"/>
  <c r="H333" i="2"/>
  <c r="H325" i="2"/>
  <c r="H144" i="2"/>
  <c r="H261" i="2"/>
  <c r="H40" i="2"/>
  <c r="H141" i="2"/>
  <c r="H197" i="2"/>
  <c r="H95" i="2"/>
  <c r="H255" i="2"/>
  <c r="H137" i="2"/>
  <c r="H53" i="2"/>
  <c r="H147" i="2"/>
  <c r="H73" i="2"/>
  <c r="H33" i="2"/>
  <c r="H6" i="2"/>
  <c r="H175" i="2"/>
  <c r="H45" i="2"/>
  <c r="H278" i="2"/>
  <c r="H256" i="2"/>
  <c r="H49" i="2"/>
  <c r="H98" i="2"/>
  <c r="H283" i="2"/>
  <c r="H46" i="2"/>
  <c r="H109" i="2"/>
  <c r="H291" i="2"/>
  <c r="H178" i="2"/>
  <c r="H20" i="2"/>
  <c r="H263" i="2"/>
  <c r="H313" i="2"/>
  <c r="H199" i="2"/>
  <c r="H126" i="2"/>
  <c r="H212" i="2"/>
  <c r="H314" i="2"/>
  <c r="H146" i="2"/>
  <c r="H303" i="2"/>
  <c r="H52" i="2"/>
  <c r="H157" i="2"/>
  <c r="H160" i="2"/>
  <c r="H298" i="2"/>
  <c r="H250" i="2"/>
  <c r="H96" i="2"/>
  <c r="H42" i="2"/>
  <c r="E6" i="1" l="1"/>
  <c r="V355" i="2"/>
  <c r="Y355" i="2" s="1"/>
  <c r="H363" i="2"/>
  <c r="E7" i="1"/>
  <c r="D355" i="7" l="1"/>
  <c r="G355" i="7"/>
  <c r="X355" i="2"/>
  <c r="F355" i="7" s="1"/>
  <c r="I355" i="7" s="1"/>
  <c r="C356" i="7" s="1"/>
  <c r="AA355" i="2" l="1"/>
  <c r="U356" i="2"/>
  <c r="V356" i="2" l="1"/>
  <c r="Y356" i="2" s="1"/>
  <c r="G356" i="7" l="1"/>
  <c r="X356" i="2"/>
  <c r="F356" i="7" s="1"/>
  <c r="D356" i="7"/>
  <c r="AA356" i="2" l="1"/>
  <c r="I356" i="7"/>
  <c r="C357" i="7" s="1"/>
  <c r="U357" i="2" l="1"/>
  <c r="V357" i="2" l="1"/>
  <c r="Y357" i="2" s="1"/>
  <c r="D357" i="7" l="1"/>
  <c r="X357" i="2"/>
  <c r="F357" i="7" s="1"/>
  <c r="G357" i="7"/>
  <c r="I357" i="7" l="1"/>
  <c r="C358" i="7" s="1"/>
  <c r="AA357" i="2"/>
  <c r="U358" i="2"/>
  <c r="V358" i="2" l="1"/>
  <c r="Y358" i="2" s="1"/>
  <c r="X358" i="2" l="1"/>
  <c r="F358" i="7" s="1"/>
  <c r="D358" i="7"/>
  <c r="G358" i="7"/>
  <c r="I358" i="7" l="1"/>
  <c r="C359" i="7" s="1"/>
  <c r="AA358" i="2"/>
  <c r="U359" i="2" s="1"/>
  <c r="V359" i="2" l="1"/>
  <c r="Y359" i="2" s="1"/>
  <c r="G359" i="7" l="1"/>
  <c r="X359" i="2"/>
  <c r="F359" i="7" s="1"/>
  <c r="D359" i="7"/>
  <c r="AA359" i="2" l="1"/>
  <c r="I359" i="7"/>
  <c r="C360" i="7" s="1"/>
  <c r="U360" i="2" l="1"/>
  <c r="V360" i="2" l="1"/>
  <c r="Y360" i="2" s="1"/>
  <c r="X360" i="2" l="1"/>
  <c r="F360" i="7" s="1"/>
  <c r="D360" i="7"/>
  <c r="G360" i="7"/>
  <c r="AA360" i="2" l="1"/>
  <c r="I360" i="7"/>
  <c r="C361" i="7" s="1"/>
  <c r="U361" i="2" l="1"/>
  <c r="V361" i="2" l="1"/>
  <c r="Y361" i="2" s="1"/>
  <c r="X361" i="2" l="1"/>
  <c r="F361" i="7" s="1"/>
  <c r="I361" i="7" s="1"/>
  <c r="C362" i="7" s="1"/>
  <c r="D361" i="7"/>
  <c r="G361" i="7"/>
  <c r="AA361" i="2" l="1"/>
  <c r="U362" i="2"/>
  <c r="V362" i="2" l="1"/>
  <c r="X362" i="2" l="1"/>
  <c r="F362" i="7" s="1"/>
  <c r="Y362" i="2"/>
  <c r="D362" i="7"/>
  <c r="G362" i="7"/>
  <c r="AA362" i="2" l="1"/>
  <c r="AB362" i="2" s="1"/>
  <c r="I362" i="7"/>
  <c r="C363" i="7" s="1"/>
  <c r="U363" i="2"/>
  <c r="V363" i="2" l="1"/>
  <c r="Y363" i="2" s="1"/>
  <c r="M9" i="1" s="1"/>
  <c r="E9" i="6" s="1"/>
  <c r="D14" i="6" s="1"/>
  <c r="AB179" i="2"/>
  <c r="AB53" i="2"/>
  <c r="AB152" i="2"/>
  <c r="AB92" i="2"/>
  <c r="AB63" i="2"/>
  <c r="AB183" i="2"/>
  <c r="AB172" i="2"/>
  <c r="AB41" i="2"/>
  <c r="AB251" i="2"/>
  <c r="AB273" i="2"/>
  <c r="AB160" i="2"/>
  <c r="AB91" i="2"/>
  <c r="AB96" i="2"/>
  <c r="AB79" i="2"/>
  <c r="AB126" i="2"/>
  <c r="AB81" i="2"/>
  <c r="AB18" i="2"/>
  <c r="AB167" i="2"/>
  <c r="AB203" i="2"/>
  <c r="AB84" i="2"/>
  <c r="AB66" i="2"/>
  <c r="AB201" i="2"/>
  <c r="AB195" i="2"/>
  <c r="AB136" i="2"/>
  <c r="AB215" i="2"/>
  <c r="AB120" i="2"/>
  <c r="AB114" i="2"/>
  <c r="AB247" i="2"/>
  <c r="AB67" i="2"/>
  <c r="AB255" i="2"/>
  <c r="AB54" i="2"/>
  <c r="AB125" i="2"/>
  <c r="AB210" i="2"/>
  <c r="AB288" i="2"/>
  <c r="AB191" i="2"/>
  <c r="AB233" i="2"/>
  <c r="AB212" i="2"/>
  <c r="AB108" i="2"/>
  <c r="AB291" i="2"/>
  <c r="AB143" i="2"/>
  <c r="AB283" i="2"/>
  <c r="AB20" i="2"/>
  <c r="AB28" i="2"/>
  <c r="AB17" i="2"/>
  <c r="AB200" i="2"/>
  <c r="AB272" i="2"/>
  <c r="AB62" i="2"/>
  <c r="AB205" i="2"/>
  <c r="AB277" i="2"/>
  <c r="AB52" i="2"/>
  <c r="AB256" i="2"/>
  <c r="AB287" i="2"/>
  <c r="AB30" i="2"/>
  <c r="AB138" i="2"/>
  <c r="AB261" i="2"/>
  <c r="AB265" i="2"/>
  <c r="AB241" i="2"/>
  <c r="AB8" i="2"/>
  <c r="AB29" i="2"/>
  <c r="AB281" i="2"/>
  <c r="AB110" i="2"/>
  <c r="AB211" i="2"/>
  <c r="AB103" i="2"/>
  <c r="AB275" i="2"/>
  <c r="AB95" i="2"/>
  <c r="AB109" i="2"/>
  <c r="AB65" i="2"/>
  <c r="AB169" i="2"/>
  <c r="AB276" i="2"/>
  <c r="AB151" i="2"/>
  <c r="AB58" i="2"/>
  <c r="AB47" i="2"/>
  <c r="AB159" i="2"/>
  <c r="AB78" i="2"/>
  <c r="AB93" i="2"/>
  <c r="AB119" i="2"/>
  <c r="AB228" i="2"/>
  <c r="AB271" i="2"/>
  <c r="AB209" i="2"/>
  <c r="AB82" i="2"/>
  <c r="AB14" i="2"/>
  <c r="AB207" i="2"/>
  <c r="AB286" i="2"/>
  <c r="AB64" i="2"/>
  <c r="AB128" i="2"/>
  <c r="AB194" i="2"/>
  <c r="AB140" i="2"/>
  <c r="AB178" i="2"/>
  <c r="AB188" i="2"/>
  <c r="AB173" i="2"/>
  <c r="AB7" i="2"/>
  <c r="AB133" i="2"/>
  <c r="AB244" i="2"/>
  <c r="AB141" i="2"/>
  <c r="AB187" i="2"/>
  <c r="AB164" i="2"/>
  <c r="AB170" i="2"/>
  <c r="AB130" i="2"/>
  <c r="AB48" i="2"/>
  <c r="AB23" i="2"/>
  <c r="AB4" i="2"/>
  <c r="J4" i="7" s="1"/>
  <c r="AB193" i="2"/>
  <c r="AB94" i="2"/>
  <c r="AB149" i="2"/>
  <c r="AB242" i="2"/>
  <c r="AB213" i="2"/>
  <c r="AB127" i="2"/>
  <c r="AB5" i="2"/>
  <c r="AB146" i="2"/>
  <c r="AB238" i="2"/>
  <c r="AB104" i="2"/>
  <c r="AB157" i="2"/>
  <c r="AB73" i="2"/>
  <c r="AB86" i="2"/>
  <c r="AB25" i="2"/>
  <c r="AB117" i="2"/>
  <c r="AB253" i="2"/>
  <c r="AB35" i="2"/>
  <c r="AB161" i="2"/>
  <c r="AB181" i="2"/>
  <c r="AB227" i="2"/>
  <c r="AB112" i="2"/>
  <c r="AB282" i="2"/>
  <c r="AB19" i="2"/>
  <c r="AB175" i="2"/>
  <c r="AB124" i="2"/>
  <c r="AB250" i="2"/>
  <c r="AB268" i="2"/>
  <c r="AB22" i="2"/>
  <c r="AB180" i="2"/>
  <c r="AB171" i="2"/>
  <c r="AB145" i="2"/>
  <c r="AB235" i="2"/>
  <c r="AB168" i="2"/>
  <c r="AB71" i="2"/>
  <c r="AB236" i="2"/>
  <c r="AB223" i="2"/>
  <c r="AB234" i="2"/>
  <c r="AB51" i="2"/>
  <c r="AB68" i="2"/>
  <c r="AB50" i="2"/>
  <c r="AB21" i="2"/>
  <c r="AB148" i="2"/>
  <c r="AB135" i="2"/>
  <c r="AB97" i="2"/>
  <c r="AB289" i="2"/>
  <c r="AB278" i="2"/>
  <c r="AB245" i="2"/>
  <c r="AB177" i="2"/>
  <c r="AB87" i="2"/>
  <c r="AB280" i="2"/>
  <c r="AB98" i="2"/>
  <c r="AB292" i="2"/>
  <c r="AB158" i="2"/>
  <c r="AB46" i="2"/>
  <c r="AB38" i="2"/>
  <c r="AB137" i="2"/>
  <c r="AB10" i="2"/>
  <c r="AB85" i="2"/>
  <c r="AB267" i="2"/>
  <c r="AB105" i="2"/>
  <c r="AB232" i="2"/>
  <c r="AB61" i="2"/>
  <c r="AB284" i="2"/>
  <c r="AB31" i="2"/>
  <c r="AB199" i="2"/>
  <c r="AB155" i="2"/>
  <c r="AB106" i="2"/>
  <c r="AB202" i="2"/>
  <c r="AB225" i="2"/>
  <c r="AB57" i="2"/>
  <c r="AB176" i="2"/>
  <c r="AB249" i="2"/>
  <c r="AB44" i="2"/>
  <c r="AB214" i="2"/>
  <c r="AB208" i="2"/>
  <c r="AB102" i="2"/>
  <c r="AB40" i="2"/>
  <c r="AB182" i="2"/>
  <c r="AB60" i="2"/>
  <c r="AB198" i="2"/>
  <c r="AB74" i="2"/>
  <c r="AB132" i="2"/>
  <c r="AB115" i="2"/>
  <c r="AB107" i="2"/>
  <c r="AB72" i="2"/>
  <c r="AB122" i="2"/>
  <c r="AB56" i="2"/>
  <c r="AB32" i="2"/>
  <c r="AB154" i="2"/>
  <c r="AB70" i="2"/>
  <c r="AB264" i="2"/>
  <c r="AB258" i="2"/>
  <c r="AB252" i="2"/>
  <c r="AB186" i="2"/>
  <c r="AB259" i="2"/>
  <c r="AB45" i="2"/>
  <c r="AB196" i="2"/>
  <c r="AB219" i="2"/>
  <c r="AB285" i="2"/>
  <c r="AB113" i="2"/>
  <c r="AB221" i="2"/>
  <c r="AB279" i="2"/>
  <c r="AB290" i="2"/>
  <c r="AB254" i="2"/>
  <c r="AB217" i="2"/>
  <c r="AB39" i="2"/>
  <c r="AB12" i="2"/>
  <c r="AB230" i="2"/>
  <c r="AB49" i="2"/>
  <c r="AB257" i="2"/>
  <c r="AB100" i="2"/>
  <c r="AB116" i="2"/>
  <c r="AB237" i="2"/>
  <c r="AB11" i="2"/>
  <c r="AB139" i="2"/>
  <c r="AB162" i="2"/>
  <c r="AB33" i="2"/>
  <c r="AB37" i="2"/>
  <c r="AB248" i="2"/>
  <c r="AB262" i="2"/>
  <c r="AB274" i="2"/>
  <c r="AB27" i="2"/>
  <c r="AB218" i="2"/>
  <c r="AB184" i="2"/>
  <c r="AB263" i="2"/>
  <c r="AB206" i="2"/>
  <c r="AB174" i="2"/>
  <c r="AB6" i="2"/>
  <c r="AB269" i="2"/>
  <c r="AB76" i="2"/>
  <c r="AB246" i="2"/>
  <c r="AB42" i="2"/>
  <c r="AB270" i="2"/>
  <c r="AB90" i="2"/>
  <c r="AB69" i="2"/>
  <c r="AB294" i="2"/>
  <c r="AB36" i="2"/>
  <c r="AB89" i="2"/>
  <c r="AB197" i="2"/>
  <c r="AB231" i="2"/>
  <c r="AB216" i="2"/>
  <c r="AB77" i="2"/>
  <c r="AB34" i="2"/>
  <c r="AB190" i="2"/>
  <c r="AB121" i="2"/>
  <c r="AB9" i="2"/>
  <c r="AB16" i="2"/>
  <c r="AB156" i="2"/>
  <c r="AB204" i="2"/>
  <c r="AB220" i="2"/>
  <c r="AB163" i="2"/>
  <c r="AB15" i="2"/>
  <c r="AB75" i="2"/>
  <c r="AB222" i="2"/>
  <c r="AB189" i="2"/>
  <c r="AB260" i="2"/>
  <c r="AB80" i="2"/>
  <c r="AB26" i="2"/>
  <c r="AB224" i="2"/>
  <c r="AB99" i="2"/>
  <c r="AB83" i="2"/>
  <c r="AB185" i="2"/>
  <c r="AB59" i="2"/>
  <c r="AB239" i="2"/>
  <c r="AB134" i="2"/>
  <c r="AB144" i="2"/>
  <c r="AB293" i="2"/>
  <c r="AB147" i="2"/>
  <c r="AB226" i="2"/>
  <c r="AB129" i="2"/>
  <c r="AB266" i="2"/>
  <c r="AB153" i="2"/>
  <c r="AB111" i="2"/>
  <c r="AB88" i="2"/>
  <c r="AB295" i="2"/>
  <c r="AB43" i="2"/>
  <c r="AB131" i="2"/>
  <c r="AB240" i="2"/>
  <c r="AB123" i="2"/>
  <c r="AB229" i="2"/>
  <c r="AB166" i="2"/>
  <c r="AB13" i="2"/>
  <c r="AB192" i="2"/>
  <c r="AB24" i="2"/>
  <c r="AB150" i="2"/>
  <c r="AB142" i="2"/>
  <c r="AB165" i="2"/>
  <c r="AB55" i="2"/>
  <c r="AB101" i="2"/>
  <c r="AB118" i="2"/>
  <c r="AB243"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61" i="2"/>
  <c r="J362" i="7" s="1"/>
  <c r="AB359" i="2"/>
  <c r="AB358" i="2"/>
  <c r="AB357" i="2"/>
  <c r="AB360" i="2"/>
  <c r="D363" i="7" l="1"/>
  <c r="J324" i="7"/>
  <c r="W324" i="2"/>
  <c r="J323" i="7"/>
  <c r="W323" i="2"/>
  <c r="J266" i="7"/>
  <c r="W266" i="2"/>
  <c r="J246" i="7"/>
  <c r="W246" i="2"/>
  <c r="J264" i="7"/>
  <c r="W264" i="2"/>
  <c r="J135" i="7"/>
  <c r="W135" i="2"/>
  <c r="J164" i="7"/>
  <c r="W164" i="2"/>
  <c r="J205" i="7"/>
  <c r="W205" i="2"/>
  <c r="J136" i="7"/>
  <c r="W136" i="2"/>
  <c r="J41" i="7"/>
  <c r="W41" i="2"/>
  <c r="J354" i="7"/>
  <c r="W354" i="2"/>
  <c r="J346" i="7"/>
  <c r="W346" i="2"/>
  <c r="J338" i="7"/>
  <c r="W338" i="2"/>
  <c r="J330" i="7"/>
  <c r="W330" i="2"/>
  <c r="J322" i="7"/>
  <c r="W322" i="2"/>
  <c r="J314" i="7"/>
  <c r="W314" i="2"/>
  <c r="J306" i="7"/>
  <c r="W306" i="2"/>
  <c r="J298" i="7"/>
  <c r="W298" i="2"/>
  <c r="J142" i="7"/>
  <c r="W142" i="2"/>
  <c r="J240" i="7"/>
  <c r="W240" i="2"/>
  <c r="J129" i="7"/>
  <c r="W129" i="2"/>
  <c r="J185" i="7"/>
  <c r="W185" i="2"/>
  <c r="J222" i="7"/>
  <c r="W222" i="2"/>
  <c r="J9" i="7"/>
  <c r="W9" i="2"/>
  <c r="J89" i="7"/>
  <c r="W89" i="2"/>
  <c r="J76" i="7"/>
  <c r="W76" i="2"/>
  <c r="J27" i="7"/>
  <c r="W27" i="2"/>
  <c r="J11" i="7"/>
  <c r="W11" i="2"/>
  <c r="J39" i="7"/>
  <c r="W39" i="2"/>
  <c r="J219" i="7"/>
  <c r="W219" i="2"/>
  <c r="J70" i="7"/>
  <c r="W70" i="2"/>
  <c r="J132" i="7"/>
  <c r="W132" i="2"/>
  <c r="J214" i="7"/>
  <c r="W214" i="2"/>
  <c r="J155" i="7"/>
  <c r="W155" i="2"/>
  <c r="J85" i="7"/>
  <c r="W85" i="2"/>
  <c r="J280" i="7"/>
  <c r="W280" i="2"/>
  <c r="J148" i="7"/>
  <c r="W148" i="2"/>
  <c r="J71" i="7"/>
  <c r="W71" i="2"/>
  <c r="J250" i="7"/>
  <c r="W250" i="2"/>
  <c r="J161" i="7"/>
  <c r="W161" i="2"/>
  <c r="J104" i="7"/>
  <c r="W104" i="2"/>
  <c r="J94" i="7"/>
  <c r="W94" i="2"/>
  <c r="J187" i="7"/>
  <c r="W187" i="2"/>
  <c r="J140" i="7"/>
  <c r="W140" i="2"/>
  <c r="J209" i="7"/>
  <c r="W209" i="2"/>
  <c r="J58" i="7"/>
  <c r="W58" i="2"/>
  <c r="J103" i="7"/>
  <c r="W103" i="2"/>
  <c r="J261" i="7"/>
  <c r="W261" i="2"/>
  <c r="J62" i="7"/>
  <c r="W62" i="2"/>
  <c r="J291" i="7"/>
  <c r="W291" i="2"/>
  <c r="J54" i="7"/>
  <c r="W54" i="2"/>
  <c r="J195" i="7"/>
  <c r="W195" i="2"/>
  <c r="J126" i="7"/>
  <c r="W126" i="2"/>
  <c r="J172" i="7"/>
  <c r="W172" i="2"/>
  <c r="J340" i="7"/>
  <c r="W340" i="2"/>
  <c r="J347" i="7"/>
  <c r="W347" i="2"/>
  <c r="J299" i="7"/>
  <c r="W299" i="2"/>
  <c r="J59" i="7"/>
  <c r="W59" i="2"/>
  <c r="J139" i="7"/>
  <c r="W139" i="2"/>
  <c r="J267" i="7"/>
  <c r="W267" i="2"/>
  <c r="J149" i="7"/>
  <c r="W149" i="2"/>
  <c r="J47" i="7"/>
  <c r="W47" i="2"/>
  <c r="J125" i="7"/>
  <c r="W125" i="2"/>
  <c r="J81" i="7"/>
  <c r="W81" i="2"/>
  <c r="J360" i="7"/>
  <c r="W360" i="2"/>
  <c r="J353" i="7"/>
  <c r="W353" i="2"/>
  <c r="J345" i="7"/>
  <c r="W345" i="2"/>
  <c r="J337" i="7"/>
  <c r="W337" i="2"/>
  <c r="J329" i="7"/>
  <c r="W329" i="2"/>
  <c r="J321" i="7"/>
  <c r="W321" i="2"/>
  <c r="J313" i="7"/>
  <c r="W313" i="2"/>
  <c r="J305" i="7"/>
  <c r="W305" i="2"/>
  <c r="J297" i="7"/>
  <c r="W297" i="2"/>
  <c r="J150" i="7"/>
  <c r="W150" i="2"/>
  <c r="J131" i="7"/>
  <c r="W131" i="2"/>
  <c r="J226" i="7"/>
  <c r="W226" i="2"/>
  <c r="J83" i="7"/>
  <c r="W83" i="2"/>
  <c r="J75" i="7"/>
  <c r="W75" i="2"/>
  <c r="J121" i="7"/>
  <c r="W121" i="2"/>
  <c r="J36" i="7"/>
  <c r="W36" i="2"/>
  <c r="J269" i="7"/>
  <c r="W269" i="2"/>
  <c r="J274" i="7"/>
  <c r="W274" i="2"/>
  <c r="J237" i="7"/>
  <c r="W237" i="2"/>
  <c r="J217" i="7"/>
  <c r="W217" i="2"/>
  <c r="J196" i="7"/>
  <c r="W196" i="2"/>
  <c r="J154" i="7"/>
  <c r="W154" i="2"/>
  <c r="J74" i="7"/>
  <c r="W74" i="2"/>
  <c r="J44" i="7"/>
  <c r="W44" i="2"/>
  <c r="J199" i="7"/>
  <c r="W199" i="2"/>
  <c r="J10" i="7"/>
  <c r="W10" i="2"/>
  <c r="J87" i="7"/>
  <c r="W87" i="2"/>
  <c r="J21" i="7"/>
  <c r="W21" i="2"/>
  <c r="J168" i="7"/>
  <c r="W168" i="2"/>
  <c r="J124" i="7"/>
  <c r="W124" i="2"/>
  <c r="J35" i="7"/>
  <c r="W35" i="2"/>
  <c r="J238" i="7"/>
  <c r="W238" i="2"/>
  <c r="J193" i="7"/>
  <c r="W193" i="2"/>
  <c r="J141" i="7"/>
  <c r="W141" i="2"/>
  <c r="J194" i="7"/>
  <c r="W194" i="2"/>
  <c r="J271" i="7"/>
  <c r="W271" i="2"/>
  <c r="J151" i="7"/>
  <c r="W151" i="2"/>
  <c r="J211" i="7"/>
  <c r="W211" i="2"/>
  <c r="J138" i="7"/>
  <c r="W138" i="2"/>
  <c r="J272" i="7"/>
  <c r="W272" i="2"/>
  <c r="J108" i="7"/>
  <c r="W108" i="2"/>
  <c r="J255" i="7"/>
  <c r="W255" i="2"/>
  <c r="J201" i="7"/>
  <c r="W201" i="2"/>
  <c r="J79" i="7"/>
  <c r="W79" i="2"/>
  <c r="J183" i="7"/>
  <c r="W183" i="2"/>
  <c r="G363" i="7"/>
  <c r="J348" i="7"/>
  <c r="W348" i="2"/>
  <c r="J315" i="7"/>
  <c r="W315" i="2"/>
  <c r="J218" i="7"/>
  <c r="W218" i="2"/>
  <c r="J208" i="7"/>
  <c r="W208" i="2"/>
  <c r="J268" i="7"/>
  <c r="W268" i="2"/>
  <c r="J82" i="7"/>
  <c r="W82" i="2"/>
  <c r="J344" i="7"/>
  <c r="W344" i="2"/>
  <c r="J320" i="7"/>
  <c r="W320" i="2"/>
  <c r="J312" i="7"/>
  <c r="W312" i="2"/>
  <c r="J304" i="7"/>
  <c r="W304" i="2"/>
  <c r="J296" i="7"/>
  <c r="W296" i="2"/>
  <c r="J24" i="7"/>
  <c r="W24" i="2"/>
  <c r="J43" i="7"/>
  <c r="W43" i="2"/>
  <c r="J147" i="7"/>
  <c r="W147" i="2"/>
  <c r="J99" i="7"/>
  <c r="W99" i="2"/>
  <c r="J15" i="7"/>
  <c r="W15" i="2"/>
  <c r="J190" i="7"/>
  <c r="W190" i="2"/>
  <c r="J294" i="7"/>
  <c r="W294" i="2"/>
  <c r="J6" i="7"/>
  <c r="W6" i="2"/>
  <c r="J262" i="7"/>
  <c r="W262" i="2"/>
  <c r="J116" i="7"/>
  <c r="W116" i="2"/>
  <c r="J254" i="7"/>
  <c r="W254" i="2"/>
  <c r="J45" i="7"/>
  <c r="W45" i="2"/>
  <c r="J32" i="7"/>
  <c r="W32" i="2"/>
  <c r="J198" i="7"/>
  <c r="W198" i="2"/>
  <c r="J249" i="7"/>
  <c r="W249" i="2"/>
  <c r="J31" i="7"/>
  <c r="W31" i="2"/>
  <c r="J137" i="7"/>
  <c r="W137" i="2"/>
  <c r="J177" i="7"/>
  <c r="W177" i="2"/>
  <c r="J50" i="7"/>
  <c r="W50" i="2"/>
  <c r="J235" i="7"/>
  <c r="W235" i="2"/>
  <c r="J175" i="7"/>
  <c r="W175" i="2"/>
  <c r="J253" i="7"/>
  <c r="W253" i="2"/>
  <c r="J146" i="7"/>
  <c r="W146" i="2"/>
  <c r="J244" i="7"/>
  <c r="W244" i="2"/>
  <c r="J128" i="7"/>
  <c r="W128" i="2"/>
  <c r="J228" i="7"/>
  <c r="W228" i="2"/>
  <c r="J276" i="7"/>
  <c r="W276" i="2"/>
  <c r="J110" i="7"/>
  <c r="W110" i="2"/>
  <c r="J30" i="7"/>
  <c r="W30" i="2"/>
  <c r="J200" i="7"/>
  <c r="W200" i="2"/>
  <c r="J212" i="7"/>
  <c r="W212" i="2"/>
  <c r="J67" i="7"/>
  <c r="W67" i="2"/>
  <c r="J66" i="7"/>
  <c r="W66" i="2"/>
  <c r="J96" i="7"/>
  <c r="W96" i="2"/>
  <c r="J63" i="7"/>
  <c r="W63" i="2"/>
  <c r="J356" i="7"/>
  <c r="W356" i="2"/>
  <c r="J355" i="7"/>
  <c r="W355" i="2"/>
  <c r="J123" i="7"/>
  <c r="W123" i="2"/>
  <c r="J16" i="7"/>
  <c r="W16" i="2"/>
  <c r="J285" i="7"/>
  <c r="W285" i="2"/>
  <c r="J98" i="7"/>
  <c r="W98" i="2"/>
  <c r="J157" i="7"/>
  <c r="W157" i="2"/>
  <c r="J265" i="7"/>
  <c r="W265" i="2"/>
  <c r="J357" i="7"/>
  <c r="W357" i="2"/>
  <c r="J328" i="7"/>
  <c r="W328" i="2"/>
  <c r="J358" i="7"/>
  <c r="W358" i="2"/>
  <c r="J351" i="7"/>
  <c r="W351" i="2"/>
  <c r="J343" i="7"/>
  <c r="W343" i="2"/>
  <c r="J335" i="7"/>
  <c r="W335" i="2"/>
  <c r="J327" i="7"/>
  <c r="W327" i="2"/>
  <c r="J319" i="7"/>
  <c r="W319" i="2"/>
  <c r="J311" i="7"/>
  <c r="W311" i="2"/>
  <c r="J303" i="7"/>
  <c r="W303" i="2"/>
  <c r="J243" i="7"/>
  <c r="W243" i="2"/>
  <c r="J192" i="7"/>
  <c r="W192" i="2"/>
  <c r="J295" i="7"/>
  <c r="W295" i="2"/>
  <c r="J293" i="7"/>
  <c r="W293" i="2"/>
  <c r="J224" i="7"/>
  <c r="W224" i="2"/>
  <c r="J163" i="7"/>
  <c r="W163" i="2"/>
  <c r="J34" i="7"/>
  <c r="W34" i="2"/>
  <c r="J69" i="7"/>
  <c r="W69" i="2"/>
  <c r="J174" i="7"/>
  <c r="W174" i="2"/>
  <c r="J248" i="7"/>
  <c r="W248" i="2"/>
  <c r="J100" i="7"/>
  <c r="W100" i="2"/>
  <c r="J290" i="7"/>
  <c r="W290" i="2"/>
  <c r="J259" i="7"/>
  <c r="W259" i="2"/>
  <c r="J56" i="7"/>
  <c r="W56" i="2"/>
  <c r="J60" i="7"/>
  <c r="W60" i="2"/>
  <c r="J176" i="7"/>
  <c r="W176" i="2"/>
  <c r="J284" i="7"/>
  <c r="W284" i="2"/>
  <c r="J38" i="7"/>
  <c r="W38" i="2"/>
  <c r="J245" i="7"/>
  <c r="W245" i="2"/>
  <c r="J68" i="7"/>
  <c r="W68" i="2"/>
  <c r="J145" i="7"/>
  <c r="W145" i="2"/>
  <c r="J19" i="7"/>
  <c r="W19" i="2"/>
  <c r="J117" i="7"/>
  <c r="W117" i="2"/>
  <c r="J5" i="7"/>
  <c r="W5" i="2"/>
  <c r="J23" i="7"/>
  <c r="W23" i="2"/>
  <c r="J133" i="7"/>
  <c r="W133" i="2"/>
  <c r="J64" i="7"/>
  <c r="W64" i="2"/>
  <c r="J119" i="7"/>
  <c r="W119" i="2"/>
  <c r="J169" i="7"/>
  <c r="W169" i="2"/>
  <c r="J281" i="7"/>
  <c r="W281" i="2"/>
  <c r="J287" i="7"/>
  <c r="W287" i="2"/>
  <c r="J17" i="7"/>
  <c r="W17" i="2"/>
  <c r="J233" i="7"/>
  <c r="W233" i="2"/>
  <c r="J247" i="7"/>
  <c r="W247" i="2"/>
  <c r="J84" i="7"/>
  <c r="W84" i="2"/>
  <c r="J91" i="7"/>
  <c r="W91" i="2"/>
  <c r="J92" i="7"/>
  <c r="W92" i="2"/>
  <c r="X363" i="2"/>
  <c r="F363" i="7" s="1"/>
  <c r="I363" i="7" s="1"/>
  <c r="J332" i="7"/>
  <c r="W332" i="2"/>
  <c r="J331" i="7"/>
  <c r="W331" i="2"/>
  <c r="J165" i="7"/>
  <c r="W165" i="2"/>
  <c r="J197" i="7"/>
  <c r="W197" i="2"/>
  <c r="J115" i="7"/>
  <c r="W115" i="2"/>
  <c r="J236" i="7"/>
  <c r="W236" i="2"/>
  <c r="J178" i="7"/>
  <c r="W178" i="2"/>
  <c r="J143" i="7"/>
  <c r="W143" i="2"/>
  <c r="J336" i="7"/>
  <c r="W336" i="2"/>
  <c r="J350" i="7"/>
  <c r="W350" i="2"/>
  <c r="J342" i="7"/>
  <c r="W342" i="2"/>
  <c r="J334" i="7"/>
  <c r="W334" i="2"/>
  <c r="J326" i="7"/>
  <c r="W326" i="2"/>
  <c r="J318" i="7"/>
  <c r="W318" i="2"/>
  <c r="J310" i="7"/>
  <c r="W310" i="2"/>
  <c r="J302" i="7"/>
  <c r="W302" i="2"/>
  <c r="J118" i="7"/>
  <c r="W118" i="2"/>
  <c r="J13" i="7"/>
  <c r="W13" i="2"/>
  <c r="J88" i="7"/>
  <c r="W88" i="2"/>
  <c r="J144" i="7"/>
  <c r="W144" i="2"/>
  <c r="J26" i="7"/>
  <c r="W26" i="2"/>
  <c r="J220" i="7"/>
  <c r="W220" i="2"/>
  <c r="J77" i="7"/>
  <c r="W77" i="2"/>
  <c r="J90" i="7"/>
  <c r="W90" i="2"/>
  <c r="J206" i="7"/>
  <c r="W206" i="2"/>
  <c r="J37" i="7"/>
  <c r="W37" i="2"/>
  <c r="J257" i="7"/>
  <c r="W257" i="2"/>
  <c r="J279" i="7"/>
  <c r="W279" i="2"/>
  <c r="J186" i="7"/>
  <c r="W186" i="2"/>
  <c r="J122" i="7"/>
  <c r="W122" i="2"/>
  <c r="J182" i="7"/>
  <c r="W182" i="2"/>
  <c r="J57" i="7"/>
  <c r="W57" i="2"/>
  <c r="J61" i="7"/>
  <c r="W61" i="2"/>
  <c r="J46" i="7"/>
  <c r="W46" i="2"/>
  <c r="J278" i="7"/>
  <c r="W278" i="2"/>
  <c r="J51" i="7"/>
  <c r="W51" i="2"/>
  <c r="J171" i="7"/>
  <c r="W171" i="2"/>
  <c r="J282" i="7"/>
  <c r="W282" i="2"/>
  <c r="J25" i="7"/>
  <c r="W25" i="2"/>
  <c r="J127" i="7"/>
  <c r="W127" i="2"/>
  <c r="J48" i="7"/>
  <c r="W48" i="2"/>
  <c r="J7" i="7"/>
  <c r="W7" i="2"/>
  <c r="J286" i="7"/>
  <c r="W286" i="2"/>
  <c r="J93" i="7"/>
  <c r="W93" i="2"/>
  <c r="J65" i="7"/>
  <c r="W65" i="2"/>
  <c r="J29" i="7"/>
  <c r="W29" i="2"/>
  <c r="J256" i="7"/>
  <c r="W256" i="2"/>
  <c r="J28" i="7"/>
  <c r="W28" i="2"/>
  <c r="J191" i="7"/>
  <c r="W191" i="2"/>
  <c r="J114" i="7"/>
  <c r="W114" i="2"/>
  <c r="J203" i="7"/>
  <c r="W203" i="2"/>
  <c r="J160" i="7"/>
  <c r="W160" i="2"/>
  <c r="J152" i="7"/>
  <c r="W152" i="2"/>
  <c r="J339" i="7"/>
  <c r="W339" i="2"/>
  <c r="J307" i="7"/>
  <c r="W307" i="2"/>
  <c r="J189" i="7"/>
  <c r="W189" i="2"/>
  <c r="J12" i="7"/>
  <c r="W12" i="2"/>
  <c r="J106" i="7"/>
  <c r="W106" i="2"/>
  <c r="J181" i="7"/>
  <c r="W181" i="2"/>
  <c r="J275" i="7"/>
  <c r="W275" i="2"/>
  <c r="J352" i="7"/>
  <c r="W352" i="2"/>
  <c r="J359" i="7"/>
  <c r="W359" i="2"/>
  <c r="J361" i="7"/>
  <c r="W361" i="2"/>
  <c r="J349" i="7"/>
  <c r="W349" i="2"/>
  <c r="J341" i="7"/>
  <c r="W341" i="2"/>
  <c r="J333" i="7"/>
  <c r="W333" i="2"/>
  <c r="J325" i="7"/>
  <c r="W325" i="2"/>
  <c r="J317" i="7"/>
  <c r="W317" i="2"/>
  <c r="J309" i="7"/>
  <c r="W309" i="2"/>
  <c r="J301" i="7"/>
  <c r="W301" i="2"/>
  <c r="J101" i="7"/>
  <c r="W101" i="2"/>
  <c r="J166" i="7"/>
  <c r="W166" i="2"/>
  <c r="J111" i="7"/>
  <c r="W111" i="2"/>
  <c r="J134" i="7"/>
  <c r="W134" i="2"/>
  <c r="J80" i="7"/>
  <c r="W80" i="2"/>
  <c r="J204" i="7"/>
  <c r="W204" i="2"/>
  <c r="J216" i="7"/>
  <c r="W216" i="2"/>
  <c r="J270" i="7"/>
  <c r="W270" i="2"/>
  <c r="J263" i="7"/>
  <c r="W263" i="2"/>
  <c r="J33" i="7"/>
  <c r="W33" i="2"/>
  <c r="J49" i="7"/>
  <c r="W49" i="2"/>
  <c r="J221" i="7"/>
  <c r="W221" i="2"/>
  <c r="J252" i="7"/>
  <c r="W252" i="2"/>
  <c r="J72" i="7"/>
  <c r="W72" i="2"/>
  <c r="J40" i="7"/>
  <c r="W40" i="2"/>
  <c r="J225" i="7"/>
  <c r="W225" i="2"/>
  <c r="J232" i="7"/>
  <c r="W232" i="2"/>
  <c r="J158" i="7"/>
  <c r="W158" i="2"/>
  <c r="J289" i="7"/>
  <c r="W289" i="2"/>
  <c r="J234" i="7"/>
  <c r="W234" i="2"/>
  <c r="J180" i="7"/>
  <c r="W180" i="2"/>
  <c r="J112" i="7"/>
  <c r="W112" i="2"/>
  <c r="J86" i="7"/>
  <c r="W86" i="2"/>
  <c r="J213" i="7"/>
  <c r="W213" i="2"/>
  <c r="J130" i="7"/>
  <c r="W130" i="2"/>
  <c r="J173" i="7"/>
  <c r="W173" i="2"/>
  <c r="J207" i="7"/>
  <c r="W207" i="2"/>
  <c r="J78" i="7"/>
  <c r="W78" i="2"/>
  <c r="J109" i="7"/>
  <c r="W109" i="2"/>
  <c r="J8" i="7"/>
  <c r="W8" i="2"/>
  <c r="J52" i="7"/>
  <c r="W52" i="2"/>
  <c r="J20" i="7"/>
  <c r="W20" i="2"/>
  <c r="J288" i="7"/>
  <c r="W288" i="2"/>
  <c r="J120" i="7"/>
  <c r="W120" i="2"/>
  <c r="J167" i="7"/>
  <c r="W167" i="2"/>
  <c r="J273" i="7"/>
  <c r="W273" i="2"/>
  <c r="J53" i="7"/>
  <c r="W53" i="2"/>
  <c r="W362" i="2"/>
  <c r="J316" i="7"/>
  <c r="W316" i="2"/>
  <c r="J308" i="7"/>
  <c r="W308" i="2"/>
  <c r="J300" i="7"/>
  <c r="W300" i="2"/>
  <c r="J55" i="7"/>
  <c r="W55" i="2"/>
  <c r="J229" i="7"/>
  <c r="W229" i="2"/>
  <c r="J153" i="7"/>
  <c r="W153" i="2"/>
  <c r="J239" i="7"/>
  <c r="W239" i="2"/>
  <c r="J260" i="7"/>
  <c r="W260" i="2"/>
  <c r="J156" i="7"/>
  <c r="W156" i="2"/>
  <c r="J231" i="7"/>
  <c r="W231" i="2"/>
  <c r="J42" i="7"/>
  <c r="W42" i="2"/>
  <c r="J184" i="7"/>
  <c r="W184" i="2"/>
  <c r="J162" i="7"/>
  <c r="W162" i="2"/>
  <c r="J230" i="7"/>
  <c r="W230" i="2"/>
  <c r="J113" i="7"/>
  <c r="W113" i="2"/>
  <c r="J258" i="7"/>
  <c r="W258" i="2"/>
  <c r="J107" i="7"/>
  <c r="W107" i="2"/>
  <c r="J102" i="7"/>
  <c r="W102" i="2"/>
  <c r="J202" i="7"/>
  <c r="W202" i="2"/>
  <c r="J105" i="7"/>
  <c r="W105" i="2"/>
  <c r="J292" i="7"/>
  <c r="W292" i="2"/>
  <c r="J97" i="7"/>
  <c r="W97" i="2"/>
  <c r="J223" i="7"/>
  <c r="W223" i="2"/>
  <c r="J22" i="7"/>
  <c r="W22" i="2"/>
  <c r="J227" i="7"/>
  <c r="W227" i="2"/>
  <c r="J73" i="7"/>
  <c r="W73" i="2"/>
  <c r="J242" i="7"/>
  <c r="W242" i="2"/>
  <c r="J170" i="7"/>
  <c r="W170" i="2"/>
  <c r="J188" i="7"/>
  <c r="W188" i="2"/>
  <c r="J14" i="7"/>
  <c r="W14" i="2"/>
  <c r="J159" i="7"/>
  <c r="W159" i="2"/>
  <c r="J95" i="7"/>
  <c r="W95" i="2"/>
  <c r="J241" i="7"/>
  <c r="W241" i="2"/>
  <c r="J277" i="7"/>
  <c r="W277" i="2"/>
  <c r="J283" i="7"/>
  <c r="W283" i="2"/>
  <c r="J210" i="7"/>
  <c r="W210" i="2"/>
  <c r="J215" i="7"/>
  <c r="W215" i="2"/>
  <c r="J18" i="7"/>
  <c r="W18" i="2"/>
  <c r="J251" i="7"/>
  <c r="W251" i="2"/>
  <c r="J179" i="7"/>
  <c r="W179" i="2"/>
  <c r="AA363" i="2" l="1"/>
  <c r="AB363" i="2" s="1"/>
  <c r="E22" i="7"/>
  <c r="H22" i="7" s="1"/>
  <c r="Z22" i="2"/>
  <c r="E145" i="7"/>
  <c r="H145" i="7" s="1"/>
  <c r="Z145" i="2"/>
  <c r="E157" i="7"/>
  <c r="H157" i="7" s="1"/>
  <c r="Z157" i="2"/>
  <c r="E268" i="7"/>
  <c r="H268" i="7" s="1"/>
  <c r="Z268" i="2"/>
  <c r="E132" i="7"/>
  <c r="H132" i="7" s="1"/>
  <c r="Z132" i="2"/>
  <c r="E246" i="7"/>
  <c r="H246" i="7" s="1"/>
  <c r="Z246" i="2"/>
  <c r="E53" i="7"/>
  <c r="H53" i="7" s="1"/>
  <c r="Z53" i="2"/>
  <c r="E288" i="7"/>
  <c r="H288" i="7" s="1"/>
  <c r="Z288" i="2"/>
  <c r="E109" i="7"/>
  <c r="H109" i="7" s="1"/>
  <c r="Z109" i="2"/>
  <c r="E130" i="7"/>
  <c r="H130" i="7" s="1"/>
  <c r="Z130" i="2"/>
  <c r="E180" i="7"/>
  <c r="H180" i="7" s="1"/>
  <c r="Z180" i="2"/>
  <c r="E232" i="7"/>
  <c r="H232" i="7" s="1"/>
  <c r="Z232" i="2"/>
  <c r="E252" i="7"/>
  <c r="H252" i="7" s="1"/>
  <c r="Z252" i="2"/>
  <c r="E263" i="7"/>
  <c r="H263" i="7" s="1"/>
  <c r="Z263" i="2"/>
  <c r="Z80" i="2"/>
  <c r="E80" i="7"/>
  <c r="H80" i="7" s="1"/>
  <c r="E101" i="7"/>
  <c r="H101" i="7" s="1"/>
  <c r="Z101" i="2"/>
  <c r="E325" i="7"/>
  <c r="H325" i="7" s="1"/>
  <c r="Z325" i="2"/>
  <c r="E361" i="7"/>
  <c r="H361" i="7" s="1"/>
  <c r="Z361" i="2"/>
  <c r="E181" i="7"/>
  <c r="H181" i="7" s="1"/>
  <c r="Z181" i="2"/>
  <c r="E307" i="7"/>
  <c r="H307" i="7" s="1"/>
  <c r="Z307" i="2"/>
  <c r="Z203" i="2"/>
  <c r="E203" i="7"/>
  <c r="H203" i="7" s="1"/>
  <c r="E256" i="7"/>
  <c r="H256" i="7" s="1"/>
  <c r="Z256" i="2"/>
  <c r="E286" i="7"/>
  <c r="H286" i="7" s="1"/>
  <c r="Z286" i="2"/>
  <c r="Z25" i="2"/>
  <c r="E25" i="7"/>
  <c r="H25" i="7" s="1"/>
  <c r="E278" i="7"/>
  <c r="H278" i="7" s="1"/>
  <c r="Z278" i="2"/>
  <c r="E182" i="7"/>
  <c r="H182" i="7" s="1"/>
  <c r="Z182" i="2"/>
  <c r="E257" i="7"/>
  <c r="H257" i="7" s="1"/>
  <c r="Z257" i="2"/>
  <c r="E77" i="7"/>
  <c r="H77" i="7" s="1"/>
  <c r="Z77" i="2"/>
  <c r="E88" i="7"/>
  <c r="H88" i="7" s="1"/>
  <c r="Z88" i="2"/>
  <c r="E310" i="7"/>
  <c r="H310" i="7" s="1"/>
  <c r="Z310" i="2"/>
  <c r="E342" i="7"/>
  <c r="H342" i="7" s="1"/>
  <c r="Z342" i="2"/>
  <c r="E178" i="7"/>
  <c r="H178" i="7" s="1"/>
  <c r="Z178" i="2"/>
  <c r="E165" i="7"/>
  <c r="H165" i="7" s="1"/>
  <c r="Z165" i="2"/>
  <c r="E201" i="7"/>
  <c r="H201" i="7" s="1"/>
  <c r="Z201" i="2"/>
  <c r="E138" i="7"/>
  <c r="H138" i="7" s="1"/>
  <c r="Z138" i="2"/>
  <c r="E194" i="7"/>
  <c r="H194" i="7" s="1"/>
  <c r="Z194" i="2"/>
  <c r="E35" i="7"/>
  <c r="H35" i="7" s="1"/>
  <c r="Z35" i="2"/>
  <c r="E87" i="7"/>
  <c r="H87" i="7" s="1"/>
  <c r="Z87" i="2"/>
  <c r="E74" i="7"/>
  <c r="H74" i="7" s="1"/>
  <c r="Z74" i="2"/>
  <c r="E237" i="7"/>
  <c r="H237" i="7" s="1"/>
  <c r="Z237" i="2"/>
  <c r="E121" i="7"/>
  <c r="H121" i="7" s="1"/>
  <c r="Z121" i="2"/>
  <c r="E131" i="7"/>
  <c r="H131" i="7" s="1"/>
  <c r="Z131" i="2"/>
  <c r="E313" i="7"/>
  <c r="H313" i="7" s="1"/>
  <c r="Z313" i="2"/>
  <c r="E345" i="7"/>
  <c r="H345" i="7" s="1"/>
  <c r="Z345" i="2"/>
  <c r="E125" i="7"/>
  <c r="H125" i="7" s="1"/>
  <c r="Z125" i="2"/>
  <c r="E139" i="7"/>
  <c r="H139" i="7" s="1"/>
  <c r="Z139" i="2"/>
  <c r="E340" i="7"/>
  <c r="H340" i="7" s="1"/>
  <c r="Z340" i="2"/>
  <c r="E55" i="7"/>
  <c r="H55" i="7" s="1"/>
  <c r="Z55" i="2"/>
  <c r="E174" i="7"/>
  <c r="H174" i="7" s="1"/>
  <c r="Z174" i="2"/>
  <c r="E200" i="7"/>
  <c r="H200" i="7" s="1"/>
  <c r="Z200" i="2"/>
  <c r="E348" i="7"/>
  <c r="H348" i="7" s="1"/>
  <c r="Z348" i="2"/>
  <c r="E261" i="7"/>
  <c r="H261" i="7" s="1"/>
  <c r="Z261" i="2"/>
  <c r="E346" i="7"/>
  <c r="H346" i="7" s="1"/>
  <c r="Z346" i="2"/>
  <c r="E283" i="7"/>
  <c r="H283" i="7" s="1"/>
  <c r="Z283" i="2"/>
  <c r="E242" i="7"/>
  <c r="H242" i="7" s="1"/>
  <c r="Z242" i="2"/>
  <c r="E223" i="7"/>
  <c r="H223" i="7" s="1"/>
  <c r="Z223" i="2"/>
  <c r="E202" i="7"/>
  <c r="H202" i="7" s="1"/>
  <c r="Z202" i="2"/>
  <c r="E113" i="7"/>
  <c r="H113" i="7" s="1"/>
  <c r="Z113" i="2"/>
  <c r="E42" i="7"/>
  <c r="H42" i="7" s="1"/>
  <c r="Z42" i="2"/>
  <c r="E239" i="7"/>
  <c r="H239" i="7" s="1"/>
  <c r="Z239" i="2"/>
  <c r="Z300" i="2"/>
  <c r="E300" i="7"/>
  <c r="H300" i="7" s="1"/>
  <c r="E91" i="7"/>
  <c r="H91" i="7" s="1"/>
  <c r="Z91" i="2"/>
  <c r="E17" i="7"/>
  <c r="H17" i="7" s="1"/>
  <c r="Z17" i="2"/>
  <c r="E119" i="7"/>
  <c r="H119" i="7" s="1"/>
  <c r="Z119" i="2"/>
  <c r="E5" i="7"/>
  <c r="H5" i="7" s="1"/>
  <c r="Z5" i="2"/>
  <c r="C4" i="3"/>
  <c r="C11" i="3"/>
  <c r="C10" i="3"/>
  <c r="C2" i="3"/>
  <c r="C9" i="3"/>
  <c r="C3" i="3"/>
  <c r="C12" i="3"/>
  <c r="C8" i="3"/>
  <c r="C6" i="3"/>
  <c r="C7" i="3"/>
  <c r="C5" i="3"/>
  <c r="E68" i="7"/>
  <c r="H68" i="7" s="1"/>
  <c r="Z68" i="2"/>
  <c r="E176" i="7"/>
  <c r="H176" i="7" s="1"/>
  <c r="Z176" i="2"/>
  <c r="E290" i="7"/>
  <c r="H290" i="7" s="1"/>
  <c r="Z290" i="2"/>
  <c r="E69" i="7"/>
  <c r="H69" i="7" s="1"/>
  <c r="Z69" i="2"/>
  <c r="E293" i="7"/>
  <c r="H293" i="7" s="1"/>
  <c r="Z293" i="2"/>
  <c r="E303" i="7"/>
  <c r="H303" i="7" s="1"/>
  <c r="Z303" i="2"/>
  <c r="E335" i="7"/>
  <c r="H335" i="7" s="1"/>
  <c r="Z335" i="2"/>
  <c r="E328" i="7"/>
  <c r="H328" i="7" s="1"/>
  <c r="Z328" i="2"/>
  <c r="E98" i="7"/>
  <c r="H98" i="7" s="1"/>
  <c r="Z98" i="2"/>
  <c r="E355" i="7"/>
  <c r="H355" i="7" s="1"/>
  <c r="Z355" i="2"/>
  <c r="E66" i="7"/>
  <c r="H66" i="7" s="1"/>
  <c r="Z66" i="2"/>
  <c r="E30" i="7"/>
  <c r="H30" i="7" s="1"/>
  <c r="Z30" i="2"/>
  <c r="E128" i="7"/>
  <c r="H128" i="7" s="1"/>
  <c r="Z128" i="2"/>
  <c r="E175" i="7"/>
  <c r="H175" i="7" s="1"/>
  <c r="Z175" i="2"/>
  <c r="E137" i="7"/>
  <c r="H137" i="7" s="1"/>
  <c r="Z137" i="2"/>
  <c r="E32" i="7"/>
  <c r="H32" i="7" s="1"/>
  <c r="Z32" i="2"/>
  <c r="E262" i="7"/>
  <c r="H262" i="7" s="1"/>
  <c r="Z262" i="2"/>
  <c r="E15" i="7"/>
  <c r="H15" i="7" s="1"/>
  <c r="Z15" i="2"/>
  <c r="E24" i="7"/>
  <c r="H24" i="7" s="1"/>
  <c r="Z24" i="2"/>
  <c r="E320" i="7"/>
  <c r="H320" i="7" s="1"/>
  <c r="Z320" i="2"/>
  <c r="E208" i="7"/>
  <c r="H208" i="7" s="1"/>
  <c r="Z208" i="2"/>
  <c r="E54" i="7"/>
  <c r="H54" i="7" s="1"/>
  <c r="Z54" i="2"/>
  <c r="E103" i="7"/>
  <c r="H103" i="7" s="1"/>
  <c r="Z103" i="2"/>
  <c r="E187" i="7"/>
  <c r="H187" i="7" s="1"/>
  <c r="Z187" i="2"/>
  <c r="E250" i="7"/>
  <c r="H250" i="7" s="1"/>
  <c r="Z250" i="2"/>
  <c r="E85" i="7"/>
  <c r="H85" i="7" s="1"/>
  <c r="Z85" i="2"/>
  <c r="E70" i="7"/>
  <c r="H70" i="7" s="1"/>
  <c r="Z70" i="2"/>
  <c r="E27" i="7"/>
  <c r="H27" i="7" s="1"/>
  <c r="Z27" i="2"/>
  <c r="E222" i="7"/>
  <c r="H222" i="7" s="1"/>
  <c r="Z222" i="2"/>
  <c r="E142" i="7"/>
  <c r="H142" i="7" s="1"/>
  <c r="Z142" i="2"/>
  <c r="E322" i="7"/>
  <c r="H322" i="7" s="1"/>
  <c r="Z322" i="2"/>
  <c r="E354" i="7"/>
  <c r="H354" i="7" s="1"/>
  <c r="Z354" i="2"/>
  <c r="E164" i="7"/>
  <c r="H164" i="7" s="1"/>
  <c r="Z164" i="2"/>
  <c r="E266" i="7"/>
  <c r="H266" i="7" s="1"/>
  <c r="Z266" i="2"/>
  <c r="E179" i="7"/>
  <c r="H179" i="7" s="1"/>
  <c r="Z179" i="2"/>
  <c r="E260" i="7"/>
  <c r="H260" i="7" s="1"/>
  <c r="Z260" i="2"/>
  <c r="E23" i="7"/>
  <c r="H23" i="7" s="1"/>
  <c r="Z23" i="2"/>
  <c r="E327" i="7"/>
  <c r="H327" i="7" s="1"/>
  <c r="Z327" i="2"/>
  <c r="E253" i="7"/>
  <c r="H253" i="7" s="1"/>
  <c r="Z253" i="2"/>
  <c r="E190" i="7"/>
  <c r="H190" i="7" s="1"/>
  <c r="Z190" i="2"/>
  <c r="E11" i="7"/>
  <c r="H11" i="7" s="1"/>
  <c r="Z11" i="2"/>
  <c r="E159" i="7"/>
  <c r="H159" i="7" s="1"/>
  <c r="Z159" i="2"/>
  <c r="E273" i="7"/>
  <c r="H273" i="7" s="1"/>
  <c r="Z273" i="2"/>
  <c r="E20" i="7"/>
  <c r="H20" i="7" s="1"/>
  <c r="Z20" i="2"/>
  <c r="E78" i="7"/>
  <c r="H78" i="7" s="1"/>
  <c r="Z78" i="2"/>
  <c r="E213" i="7"/>
  <c r="H213" i="7" s="1"/>
  <c r="Z213" i="2"/>
  <c r="E234" i="7"/>
  <c r="H234" i="7" s="1"/>
  <c r="Z234" i="2"/>
  <c r="E225" i="7"/>
  <c r="H225" i="7" s="1"/>
  <c r="Z225" i="2"/>
  <c r="E221" i="7"/>
  <c r="H221" i="7" s="1"/>
  <c r="Z221" i="2"/>
  <c r="E270" i="7"/>
  <c r="H270" i="7" s="1"/>
  <c r="Z270" i="2"/>
  <c r="E134" i="7"/>
  <c r="H134" i="7" s="1"/>
  <c r="Z134" i="2"/>
  <c r="E301" i="7"/>
  <c r="H301" i="7" s="1"/>
  <c r="Z301" i="2"/>
  <c r="E333" i="7"/>
  <c r="H333" i="7" s="1"/>
  <c r="Z333" i="2"/>
  <c r="E359" i="7"/>
  <c r="H359" i="7" s="1"/>
  <c r="Z359" i="2"/>
  <c r="E106" i="7"/>
  <c r="H106" i="7" s="1"/>
  <c r="Z106" i="2"/>
  <c r="E339" i="7"/>
  <c r="H339" i="7" s="1"/>
  <c r="Z339" i="2"/>
  <c r="Z114" i="2"/>
  <c r="E114" i="7"/>
  <c r="H114" i="7" s="1"/>
  <c r="E29" i="7"/>
  <c r="H29" i="7" s="1"/>
  <c r="Z29" i="2"/>
  <c r="E7" i="7"/>
  <c r="H7" i="7" s="1"/>
  <c r="Z7" i="2"/>
  <c r="E282" i="7"/>
  <c r="H282" i="7" s="1"/>
  <c r="Z282" i="2"/>
  <c r="E46" i="7"/>
  <c r="H46" i="7" s="1"/>
  <c r="Z46" i="2"/>
  <c r="E122" i="7"/>
  <c r="H122" i="7" s="1"/>
  <c r="Z122" i="2"/>
  <c r="E37" i="7"/>
  <c r="H37" i="7" s="1"/>
  <c r="Z37" i="2"/>
  <c r="E220" i="7"/>
  <c r="H220" i="7" s="1"/>
  <c r="Z220" i="2"/>
  <c r="E13" i="7"/>
  <c r="H13" i="7" s="1"/>
  <c r="Z13" i="2"/>
  <c r="E318" i="7"/>
  <c r="H318" i="7" s="1"/>
  <c r="Z318" i="2"/>
  <c r="E350" i="7"/>
  <c r="H350" i="7" s="1"/>
  <c r="Z350" i="2"/>
  <c r="E236" i="7"/>
  <c r="H236" i="7" s="1"/>
  <c r="Z236" i="2"/>
  <c r="E331" i="7"/>
  <c r="H331" i="7" s="1"/>
  <c r="Z331" i="2"/>
  <c r="E255" i="7"/>
  <c r="H255" i="7" s="1"/>
  <c r="Z255" i="2"/>
  <c r="E211" i="7"/>
  <c r="H211" i="7" s="1"/>
  <c r="Z211" i="2"/>
  <c r="E141" i="7"/>
  <c r="H141" i="7" s="1"/>
  <c r="Z141" i="2"/>
  <c r="E124" i="7"/>
  <c r="H124" i="7" s="1"/>
  <c r="Z124" i="2"/>
  <c r="E10" i="7"/>
  <c r="H10" i="7" s="1"/>
  <c r="Z10" i="2"/>
  <c r="E154" i="7"/>
  <c r="H154" i="7" s="1"/>
  <c r="Z154" i="2"/>
  <c r="E274" i="7"/>
  <c r="H274" i="7" s="1"/>
  <c r="Z274" i="2"/>
  <c r="E75" i="7"/>
  <c r="H75" i="7" s="1"/>
  <c r="Z75" i="2"/>
  <c r="E150" i="7"/>
  <c r="H150" i="7" s="1"/>
  <c r="Z150" i="2"/>
  <c r="E321" i="7"/>
  <c r="H321" i="7" s="1"/>
  <c r="Z321" i="2"/>
  <c r="E353" i="7"/>
  <c r="H353" i="7" s="1"/>
  <c r="Z353" i="2"/>
  <c r="E47" i="7"/>
  <c r="H47" i="7" s="1"/>
  <c r="Z47" i="2"/>
  <c r="E59" i="7"/>
  <c r="H59" i="7" s="1"/>
  <c r="Z59" i="2"/>
  <c r="E170" i="7"/>
  <c r="H170" i="7" s="1"/>
  <c r="Z170" i="2"/>
  <c r="E362" i="7"/>
  <c r="H362" i="7" s="1"/>
  <c r="Z362" i="2"/>
  <c r="E284" i="7"/>
  <c r="H284" i="7" s="1"/>
  <c r="Z284" i="2"/>
  <c r="E358" i="7"/>
  <c r="H358" i="7" s="1"/>
  <c r="Z358" i="2"/>
  <c r="E177" i="7"/>
  <c r="H177" i="7" s="1"/>
  <c r="Z177" i="2"/>
  <c r="E312" i="7"/>
  <c r="H312" i="7" s="1"/>
  <c r="Z312" i="2"/>
  <c r="E280" i="7"/>
  <c r="H280" i="7" s="1"/>
  <c r="Z280" i="2"/>
  <c r="E314" i="7"/>
  <c r="H314" i="7" s="1"/>
  <c r="Z314" i="2"/>
  <c r="E277" i="7"/>
  <c r="H277" i="7" s="1"/>
  <c r="Z277" i="2"/>
  <c r="E73" i="7"/>
  <c r="H73" i="7" s="1"/>
  <c r="Z73" i="2"/>
  <c r="E97" i="7"/>
  <c r="H97" i="7" s="1"/>
  <c r="Z97" i="2"/>
  <c r="E102" i="7"/>
  <c r="H102" i="7" s="1"/>
  <c r="Z102" i="2"/>
  <c r="E230" i="7"/>
  <c r="H230" i="7" s="1"/>
  <c r="Z230" i="2"/>
  <c r="E231" i="7"/>
  <c r="H231" i="7" s="1"/>
  <c r="Z231" i="2"/>
  <c r="E153" i="7"/>
  <c r="H153" i="7" s="1"/>
  <c r="Z153" i="2"/>
  <c r="E308" i="7"/>
  <c r="H308" i="7" s="1"/>
  <c r="Z308" i="2"/>
  <c r="E84" i="7"/>
  <c r="H84" i="7" s="1"/>
  <c r="Z84" i="2"/>
  <c r="E287" i="7"/>
  <c r="H287" i="7" s="1"/>
  <c r="Z287" i="2"/>
  <c r="E64" i="7"/>
  <c r="H64" i="7" s="1"/>
  <c r="Z64" i="2"/>
  <c r="E117" i="7"/>
  <c r="H117" i="7" s="1"/>
  <c r="Z117" i="2"/>
  <c r="E245" i="7"/>
  <c r="H245" i="7" s="1"/>
  <c r="Z245" i="2"/>
  <c r="E60" i="7"/>
  <c r="H60" i="7" s="1"/>
  <c r="Z60" i="2"/>
  <c r="E100" i="7"/>
  <c r="H100" i="7" s="1"/>
  <c r="Z100" i="2"/>
  <c r="E34" i="7"/>
  <c r="H34" i="7" s="1"/>
  <c r="Z34" i="2"/>
  <c r="E295" i="7"/>
  <c r="H295" i="7" s="1"/>
  <c r="Z295" i="2"/>
  <c r="E311" i="7"/>
  <c r="H311" i="7" s="1"/>
  <c r="Z311" i="2"/>
  <c r="E343" i="7"/>
  <c r="H343" i="7" s="1"/>
  <c r="Z343" i="2"/>
  <c r="E357" i="7"/>
  <c r="H357" i="7" s="1"/>
  <c r="Z357" i="2"/>
  <c r="E285" i="7"/>
  <c r="H285" i="7" s="1"/>
  <c r="Z285" i="2"/>
  <c r="E356" i="7"/>
  <c r="H356" i="7" s="1"/>
  <c r="Z356" i="2"/>
  <c r="E67" i="7"/>
  <c r="H67" i="7" s="1"/>
  <c r="Z67" i="2"/>
  <c r="E110" i="7"/>
  <c r="H110" i="7" s="1"/>
  <c r="Z110" i="2"/>
  <c r="E244" i="7"/>
  <c r="H244" i="7" s="1"/>
  <c r="Z244" i="2"/>
  <c r="E235" i="7"/>
  <c r="H235" i="7" s="1"/>
  <c r="Z235" i="2"/>
  <c r="E31" i="7"/>
  <c r="H31" i="7" s="1"/>
  <c r="Z31" i="2"/>
  <c r="E45" i="7"/>
  <c r="H45" i="7" s="1"/>
  <c r="Z45" i="2"/>
  <c r="E6" i="7"/>
  <c r="H6" i="7" s="1"/>
  <c r="Z6" i="2"/>
  <c r="E99" i="7"/>
  <c r="H99" i="7" s="1"/>
  <c r="Z99" i="2"/>
  <c r="E296" i="7"/>
  <c r="H296" i="7" s="1"/>
  <c r="Z296" i="2"/>
  <c r="E344" i="7"/>
  <c r="H344" i="7" s="1"/>
  <c r="Z344" i="2"/>
  <c r="E218" i="7"/>
  <c r="H218" i="7" s="1"/>
  <c r="Z218" i="2"/>
  <c r="E172" i="7"/>
  <c r="H172" i="7" s="1"/>
  <c r="Z172" i="2"/>
  <c r="E291" i="7"/>
  <c r="H291" i="7" s="1"/>
  <c r="Z291" i="2"/>
  <c r="E58" i="7"/>
  <c r="H58" i="7" s="1"/>
  <c r="Z58" i="2"/>
  <c r="Z94" i="2"/>
  <c r="E94" i="7"/>
  <c r="H94" i="7" s="1"/>
  <c r="E71" i="7"/>
  <c r="H71" i="7" s="1"/>
  <c r="Z71" i="2"/>
  <c r="E155" i="7"/>
  <c r="H155" i="7" s="1"/>
  <c r="Z155" i="2"/>
  <c r="E219" i="7"/>
  <c r="H219" i="7" s="1"/>
  <c r="Z219" i="2"/>
  <c r="E76" i="7"/>
  <c r="H76" i="7" s="1"/>
  <c r="Z76" i="2"/>
  <c r="E185" i="7"/>
  <c r="H185" i="7" s="1"/>
  <c r="Z185" i="2"/>
  <c r="E298" i="7"/>
  <c r="H298" i="7" s="1"/>
  <c r="Z298" i="2"/>
  <c r="E330" i="7"/>
  <c r="H330" i="7" s="1"/>
  <c r="Z330" i="2"/>
  <c r="E41" i="7"/>
  <c r="H41" i="7" s="1"/>
  <c r="Z41" i="2"/>
  <c r="E135" i="7"/>
  <c r="H135" i="7" s="1"/>
  <c r="Z135" i="2"/>
  <c r="E323" i="7"/>
  <c r="H323" i="7" s="1"/>
  <c r="Z323" i="2"/>
  <c r="E210" i="7"/>
  <c r="H210" i="7" s="1"/>
  <c r="Z210" i="2"/>
  <c r="E105" i="7"/>
  <c r="H105" i="7" s="1"/>
  <c r="Z105" i="2"/>
  <c r="E92" i="7"/>
  <c r="H92" i="7" s="1"/>
  <c r="Z92" i="2"/>
  <c r="E224" i="7"/>
  <c r="H224" i="7" s="1"/>
  <c r="Z224" i="2"/>
  <c r="E96" i="7"/>
  <c r="H96" i="7" s="1"/>
  <c r="Z96" i="2"/>
  <c r="E116" i="7"/>
  <c r="H116" i="7" s="1"/>
  <c r="Z116" i="2"/>
  <c r="E161" i="7"/>
  <c r="H161" i="7" s="1"/>
  <c r="Z161" i="2"/>
  <c r="E240" i="7"/>
  <c r="H240" i="7" s="1"/>
  <c r="Z240" i="2"/>
  <c r="E251" i="7"/>
  <c r="H251" i="7" s="1"/>
  <c r="Z251" i="2"/>
  <c r="E14" i="7"/>
  <c r="H14" i="7" s="1"/>
  <c r="Z14" i="2"/>
  <c r="E167" i="7"/>
  <c r="H167" i="7" s="1"/>
  <c r="Z167" i="2"/>
  <c r="E52" i="7"/>
  <c r="H52" i="7" s="1"/>
  <c r="Z52" i="2"/>
  <c r="E207" i="7"/>
  <c r="H207" i="7" s="1"/>
  <c r="Z207" i="2"/>
  <c r="E86" i="7"/>
  <c r="H86" i="7" s="1"/>
  <c r="Z86" i="2"/>
  <c r="E289" i="7"/>
  <c r="H289" i="7" s="1"/>
  <c r="Z289" i="2"/>
  <c r="E40" i="7"/>
  <c r="H40" i="7" s="1"/>
  <c r="Z40" i="2"/>
  <c r="E49" i="7"/>
  <c r="H49" i="7" s="1"/>
  <c r="Z49" i="2"/>
  <c r="E216" i="7"/>
  <c r="H216" i="7" s="1"/>
  <c r="Z216" i="2"/>
  <c r="E111" i="7"/>
  <c r="H111" i="7" s="1"/>
  <c r="Z111" i="2"/>
  <c r="E309" i="7"/>
  <c r="H309" i="7" s="1"/>
  <c r="Z309" i="2"/>
  <c r="E341" i="7"/>
  <c r="H341" i="7" s="1"/>
  <c r="Z341" i="2"/>
  <c r="E352" i="7"/>
  <c r="H352" i="7" s="1"/>
  <c r="Z352" i="2"/>
  <c r="E12" i="7"/>
  <c r="H12" i="7" s="1"/>
  <c r="Z12" i="2"/>
  <c r="E152" i="7"/>
  <c r="H152" i="7" s="1"/>
  <c r="Z152" i="2"/>
  <c r="E191" i="7"/>
  <c r="H191" i="7" s="1"/>
  <c r="Z191" i="2"/>
  <c r="E65" i="7"/>
  <c r="H65" i="7" s="1"/>
  <c r="Z65" i="2"/>
  <c r="E48" i="7"/>
  <c r="H48" i="7" s="1"/>
  <c r="Z48" i="2"/>
  <c r="E171" i="7"/>
  <c r="H171" i="7" s="1"/>
  <c r="Z171" i="2"/>
  <c r="E61" i="7"/>
  <c r="H61" i="7" s="1"/>
  <c r="Z61" i="2"/>
  <c r="E186" i="7"/>
  <c r="H186" i="7" s="1"/>
  <c r="Z186" i="2"/>
  <c r="E206" i="7"/>
  <c r="H206" i="7" s="1"/>
  <c r="Z206" i="2"/>
  <c r="E26" i="7"/>
  <c r="H26" i="7" s="1"/>
  <c r="Z26" i="2"/>
  <c r="E118" i="7"/>
  <c r="H118" i="7" s="1"/>
  <c r="Z118" i="2"/>
  <c r="E326" i="7"/>
  <c r="H326" i="7" s="1"/>
  <c r="Z326" i="2"/>
  <c r="E336" i="7"/>
  <c r="H336" i="7" s="1"/>
  <c r="Z336" i="2"/>
  <c r="E115" i="7"/>
  <c r="H115" i="7" s="1"/>
  <c r="Z115" i="2"/>
  <c r="E332" i="7"/>
  <c r="H332" i="7" s="1"/>
  <c r="Z332" i="2"/>
  <c r="Z183" i="2"/>
  <c r="E183" i="7"/>
  <c r="H183" i="7" s="1"/>
  <c r="E108" i="7"/>
  <c r="H108" i="7" s="1"/>
  <c r="Z108" i="2"/>
  <c r="E151" i="7"/>
  <c r="H151" i="7" s="1"/>
  <c r="Z151" i="2"/>
  <c r="E193" i="7"/>
  <c r="H193" i="7" s="1"/>
  <c r="Z193" i="2"/>
  <c r="E168" i="7"/>
  <c r="H168" i="7" s="1"/>
  <c r="Z168" i="2"/>
  <c r="E199" i="7"/>
  <c r="H199" i="7" s="1"/>
  <c r="Z199" i="2"/>
  <c r="E196" i="7"/>
  <c r="H196" i="7" s="1"/>
  <c r="Z196" i="2"/>
  <c r="E269" i="7"/>
  <c r="H269" i="7" s="1"/>
  <c r="Z269" i="2"/>
  <c r="E83" i="7"/>
  <c r="H83" i="7" s="1"/>
  <c r="Z83" i="2"/>
  <c r="E297" i="7"/>
  <c r="H297" i="7" s="1"/>
  <c r="Z297" i="2"/>
  <c r="E329" i="7"/>
  <c r="H329" i="7" s="1"/>
  <c r="Z329" i="2"/>
  <c r="E360" i="7"/>
  <c r="H360" i="7" s="1"/>
  <c r="Z360" i="2"/>
  <c r="E149" i="7"/>
  <c r="H149" i="7" s="1"/>
  <c r="Z149" i="2"/>
  <c r="E299" i="7"/>
  <c r="H299" i="7" s="1"/>
  <c r="Z299" i="2"/>
  <c r="E95" i="7"/>
  <c r="H95" i="7" s="1"/>
  <c r="Z95" i="2"/>
  <c r="E258" i="7"/>
  <c r="H258" i="7" s="1"/>
  <c r="Z258" i="2"/>
  <c r="E233" i="7"/>
  <c r="H233" i="7" s="1"/>
  <c r="Z233" i="2"/>
  <c r="E259" i="7"/>
  <c r="H259" i="7" s="1"/>
  <c r="Z259" i="2"/>
  <c r="E123" i="7"/>
  <c r="H123" i="7" s="1"/>
  <c r="Z123" i="2"/>
  <c r="E198" i="7"/>
  <c r="H198" i="7" s="1"/>
  <c r="Z198" i="2"/>
  <c r="E140" i="7"/>
  <c r="H140" i="7" s="1"/>
  <c r="Z140" i="2"/>
  <c r="E205" i="7"/>
  <c r="H205" i="7" s="1"/>
  <c r="Z205" i="2"/>
  <c r="E215" i="7"/>
  <c r="H215" i="7" s="1"/>
  <c r="Z215" i="2"/>
  <c r="Z241" i="2"/>
  <c r="E241" i="7"/>
  <c r="H241" i="7" s="1"/>
  <c r="E188" i="7"/>
  <c r="H188" i="7" s="1"/>
  <c r="Z188" i="2"/>
  <c r="E227" i="7"/>
  <c r="H227" i="7" s="1"/>
  <c r="Z227" i="2"/>
  <c r="E292" i="7"/>
  <c r="H292" i="7" s="1"/>
  <c r="Z292" i="2"/>
  <c r="E107" i="7"/>
  <c r="H107" i="7" s="1"/>
  <c r="Z107" i="2"/>
  <c r="E162" i="7"/>
  <c r="H162" i="7" s="1"/>
  <c r="Z162" i="2"/>
  <c r="E156" i="7"/>
  <c r="H156" i="7" s="1"/>
  <c r="Z156" i="2"/>
  <c r="E229" i="7"/>
  <c r="H229" i="7" s="1"/>
  <c r="Z229" i="2"/>
  <c r="E316" i="7"/>
  <c r="H316" i="7" s="1"/>
  <c r="Z316" i="2"/>
  <c r="E247" i="7"/>
  <c r="H247" i="7" s="1"/>
  <c r="Z247" i="2"/>
  <c r="E281" i="7"/>
  <c r="H281" i="7" s="1"/>
  <c r="Z281" i="2"/>
  <c r="Z133" i="2"/>
  <c r="E133" i="7"/>
  <c r="H133" i="7" s="1"/>
  <c r="E19" i="7"/>
  <c r="H19" i="7" s="1"/>
  <c r="Z19" i="2"/>
  <c r="E38" i="7"/>
  <c r="H38" i="7" s="1"/>
  <c r="Z38" i="2"/>
  <c r="E56" i="7"/>
  <c r="H56" i="7" s="1"/>
  <c r="Z56" i="2"/>
  <c r="E248" i="7"/>
  <c r="H248" i="7" s="1"/>
  <c r="Z248" i="2"/>
  <c r="E163" i="7"/>
  <c r="H163" i="7" s="1"/>
  <c r="Z163" i="2"/>
  <c r="E192" i="7"/>
  <c r="H192" i="7" s="1"/>
  <c r="Z192" i="2"/>
  <c r="E319" i="7"/>
  <c r="H319" i="7" s="1"/>
  <c r="Z319" i="2"/>
  <c r="E351" i="7"/>
  <c r="H351" i="7" s="1"/>
  <c r="Z351" i="2"/>
  <c r="E265" i="7"/>
  <c r="H265" i="7" s="1"/>
  <c r="Z265" i="2"/>
  <c r="Z16" i="2"/>
  <c r="E16" i="7"/>
  <c r="H16" i="7" s="1"/>
  <c r="E63" i="7"/>
  <c r="H63" i="7" s="1"/>
  <c r="Z63" i="2"/>
  <c r="E212" i="7"/>
  <c r="H212" i="7" s="1"/>
  <c r="Z212" i="2"/>
  <c r="E276" i="7"/>
  <c r="H276" i="7" s="1"/>
  <c r="Z276" i="2"/>
  <c r="E146" i="7"/>
  <c r="H146" i="7" s="1"/>
  <c r="Z146" i="2"/>
  <c r="Z50" i="2"/>
  <c r="E50" i="7"/>
  <c r="H50" i="7" s="1"/>
  <c r="E249" i="7"/>
  <c r="H249" i="7" s="1"/>
  <c r="Z249" i="2"/>
  <c r="E254" i="7"/>
  <c r="H254" i="7" s="1"/>
  <c r="Z254" i="2"/>
  <c r="E294" i="7"/>
  <c r="H294" i="7" s="1"/>
  <c r="Z294" i="2"/>
  <c r="E147" i="7"/>
  <c r="H147" i="7" s="1"/>
  <c r="Z147" i="2"/>
  <c r="E304" i="7"/>
  <c r="H304" i="7" s="1"/>
  <c r="Z304" i="2"/>
  <c r="E82" i="7"/>
  <c r="H82" i="7" s="1"/>
  <c r="Z82" i="2"/>
  <c r="E315" i="7"/>
  <c r="H315" i="7" s="1"/>
  <c r="Z315" i="2"/>
  <c r="E126" i="7"/>
  <c r="H126" i="7" s="1"/>
  <c r="Z126" i="2"/>
  <c r="E62" i="7"/>
  <c r="H62" i="7" s="1"/>
  <c r="Z62" i="2"/>
  <c r="E209" i="7"/>
  <c r="H209" i="7" s="1"/>
  <c r="Z209" i="2"/>
  <c r="E104" i="7"/>
  <c r="H104" i="7" s="1"/>
  <c r="Z104" i="2"/>
  <c r="E148" i="7"/>
  <c r="H148" i="7" s="1"/>
  <c r="Z148" i="2"/>
  <c r="E214" i="7"/>
  <c r="H214" i="7" s="1"/>
  <c r="Z214" i="2"/>
  <c r="E39" i="7"/>
  <c r="H39" i="7" s="1"/>
  <c r="Z39" i="2"/>
  <c r="Z89" i="2"/>
  <c r="E89" i="7"/>
  <c r="H89" i="7" s="1"/>
  <c r="E129" i="7"/>
  <c r="H129" i="7" s="1"/>
  <c r="Z129" i="2"/>
  <c r="E306" i="7"/>
  <c r="H306" i="7" s="1"/>
  <c r="Z306" i="2"/>
  <c r="E338" i="7"/>
  <c r="H338" i="7" s="1"/>
  <c r="Z338" i="2"/>
  <c r="E136" i="7"/>
  <c r="H136" i="7" s="1"/>
  <c r="Z136" i="2"/>
  <c r="E264" i="7"/>
  <c r="H264" i="7" s="1"/>
  <c r="Z264" i="2"/>
  <c r="E324" i="7"/>
  <c r="H324" i="7" s="1"/>
  <c r="Z324" i="2"/>
  <c r="E184" i="7"/>
  <c r="H184" i="7" s="1"/>
  <c r="Z184" i="2"/>
  <c r="E169" i="7"/>
  <c r="H169" i="7" s="1"/>
  <c r="Z169" i="2"/>
  <c r="E243" i="7"/>
  <c r="H243" i="7" s="1"/>
  <c r="Z243" i="2"/>
  <c r="E228" i="7"/>
  <c r="H228" i="7" s="1"/>
  <c r="Z228" i="2"/>
  <c r="E43" i="7"/>
  <c r="H43" i="7" s="1"/>
  <c r="Z43" i="2"/>
  <c r="E195" i="7"/>
  <c r="H195" i="7" s="1"/>
  <c r="Z195" i="2"/>
  <c r="E9" i="7"/>
  <c r="H9" i="7" s="1"/>
  <c r="Z9" i="2"/>
  <c r="E18" i="7"/>
  <c r="H18" i="7" s="1"/>
  <c r="Z18" i="2"/>
  <c r="E120" i="7"/>
  <c r="H120" i="7" s="1"/>
  <c r="Z120" i="2"/>
  <c r="E8" i="7"/>
  <c r="H8" i="7" s="1"/>
  <c r="Z8" i="2"/>
  <c r="E173" i="7"/>
  <c r="H173" i="7" s="1"/>
  <c r="Z173" i="2"/>
  <c r="E112" i="7"/>
  <c r="H112" i="7" s="1"/>
  <c r="Z112" i="2"/>
  <c r="E158" i="7"/>
  <c r="H158" i="7" s="1"/>
  <c r="Z158" i="2"/>
  <c r="E72" i="7"/>
  <c r="H72" i="7" s="1"/>
  <c r="Z72" i="2"/>
  <c r="E33" i="7"/>
  <c r="H33" i="7" s="1"/>
  <c r="Z33" i="2"/>
  <c r="E204" i="7"/>
  <c r="H204" i="7" s="1"/>
  <c r="Z204" i="2"/>
  <c r="E166" i="7"/>
  <c r="H166" i="7" s="1"/>
  <c r="Z166" i="2"/>
  <c r="E317" i="7"/>
  <c r="H317" i="7" s="1"/>
  <c r="Z317" i="2"/>
  <c r="E349" i="7"/>
  <c r="H349" i="7" s="1"/>
  <c r="Z349" i="2"/>
  <c r="E275" i="7"/>
  <c r="H275" i="7" s="1"/>
  <c r="Z275" i="2"/>
  <c r="E189" i="7"/>
  <c r="H189" i="7" s="1"/>
  <c r="Z189" i="2"/>
  <c r="E160" i="7"/>
  <c r="H160" i="7" s="1"/>
  <c r="Z160" i="2"/>
  <c r="E28" i="7"/>
  <c r="H28" i="7" s="1"/>
  <c r="Z28" i="2"/>
  <c r="E93" i="7"/>
  <c r="H93" i="7" s="1"/>
  <c r="Z93" i="2"/>
  <c r="E127" i="7"/>
  <c r="H127" i="7" s="1"/>
  <c r="Z127" i="2"/>
  <c r="E51" i="7"/>
  <c r="H51" i="7" s="1"/>
  <c r="Z51" i="2"/>
  <c r="E57" i="7"/>
  <c r="H57" i="7" s="1"/>
  <c r="Z57" i="2"/>
  <c r="E279" i="7"/>
  <c r="H279" i="7" s="1"/>
  <c r="Z279" i="2"/>
  <c r="E90" i="7"/>
  <c r="H90" i="7" s="1"/>
  <c r="Z90" i="2"/>
  <c r="E144" i="7"/>
  <c r="H144" i="7" s="1"/>
  <c r="Z144" i="2"/>
  <c r="E302" i="7"/>
  <c r="H302" i="7" s="1"/>
  <c r="Z302" i="2"/>
  <c r="E334" i="7"/>
  <c r="H334" i="7" s="1"/>
  <c r="Z334" i="2"/>
  <c r="E143" i="7"/>
  <c r="H143" i="7" s="1"/>
  <c r="Z143" i="2"/>
  <c r="E197" i="7"/>
  <c r="H197" i="7" s="1"/>
  <c r="Z197" i="2"/>
  <c r="E79" i="7"/>
  <c r="H79" i="7" s="1"/>
  <c r="Z79" i="2"/>
  <c r="E272" i="7"/>
  <c r="H272" i="7" s="1"/>
  <c r="Z272" i="2"/>
  <c r="E271" i="7"/>
  <c r="H271" i="7" s="1"/>
  <c r="Z271" i="2"/>
  <c r="E238" i="7"/>
  <c r="H238" i="7" s="1"/>
  <c r="Z238" i="2"/>
  <c r="E21" i="7"/>
  <c r="H21" i="7" s="1"/>
  <c r="Z21" i="2"/>
  <c r="E44" i="7"/>
  <c r="H44" i="7" s="1"/>
  <c r="Z44" i="2"/>
  <c r="Z217" i="2"/>
  <c r="E217" i="7"/>
  <c r="H217" i="7" s="1"/>
  <c r="E36" i="7"/>
  <c r="H36" i="7" s="1"/>
  <c r="Z36" i="2"/>
  <c r="E226" i="7"/>
  <c r="H226" i="7" s="1"/>
  <c r="Z226" i="2"/>
  <c r="E305" i="7"/>
  <c r="H305" i="7" s="1"/>
  <c r="Z305" i="2"/>
  <c r="E337" i="7"/>
  <c r="H337" i="7" s="1"/>
  <c r="Z337" i="2"/>
  <c r="E81" i="7"/>
  <c r="H81" i="7" s="1"/>
  <c r="Z81" i="2"/>
  <c r="E267" i="7"/>
  <c r="H267" i="7" s="1"/>
  <c r="Z267" i="2"/>
  <c r="E347" i="7"/>
  <c r="H347" i="7" s="1"/>
  <c r="Z347" i="2"/>
  <c r="J3" i="6" l="1" a="1"/>
  <c r="J3" i="6" s="1"/>
  <c r="O3" i="6" s="1"/>
  <c r="W363" i="2"/>
  <c r="J363" i="7"/>
  <c r="N3" i="6" l="1"/>
  <c r="L5" i="6"/>
  <c r="K5" i="6" s="1"/>
  <c r="K7" i="6" s="1"/>
  <c r="E363" i="7"/>
  <c r="H363" i="7" s="1"/>
  <c r="Z363" i="2"/>
  <c r="M6" i="1"/>
  <c r="M7" i="1"/>
  <c r="C15" i="1" s="1"/>
  <c r="E17" i="1" s="1"/>
  <c r="J5" i="6" l="1"/>
  <c r="J7" i="6" s="1"/>
  <c r="L7" i="6"/>
  <c r="E6" i="6"/>
  <c r="C10" i="6" s="1"/>
  <c r="H12" i="2"/>
  <c r="E5" i="1" s="1"/>
  <c r="M5" i="1"/>
  <c r="E10" i="6"/>
  <c r="E7" i="6" a="1"/>
  <c r="E7" i="6" s="1"/>
  <c r="C14" i="6" s="1"/>
  <c r="E5"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מחבר</author>
  </authors>
  <commentList>
    <comment ref="O3" authorId="0" shapeId="0" xr:uid="{50FC86AD-5285-450B-B240-0FE5B18F72E0}">
      <text>
        <r>
          <rPr>
            <b/>
            <sz val="8"/>
            <color indexed="81"/>
            <rFont val="Tahoma"/>
            <family val="2"/>
          </rPr>
          <t>מגולם ב.צ.מ בסך 2 חודשי שכירות לכל שנת השקעה</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<sst xmlns="http://schemas.openxmlformats.org/spreadsheetml/2006/main" count="197" uniqueCount="86">
  <si>
    <t>פרטי הלוואה</t>
  </si>
  <si>
    <t>שיעור ריבית</t>
  </si>
  <si>
    <t>תקופת ההלוואה (בחודשים)</t>
  </si>
  <si>
    <t>סכום הלוואה</t>
  </si>
  <si>
    <t>תאריך תחילת ההלוואה</t>
  </si>
  <si>
    <t>ערכים</t>
  </si>
  <si>
    <t>תשלום הלוואה חודשי</t>
  </si>
  <si>
    <t>תשלומי הלוואה חודשיים</t>
  </si>
  <si>
    <t>סך התשלומים החודשיים*</t>
  </si>
  <si>
    <t>סך תשלומי ההלוואה</t>
  </si>
  <si>
    <t>סך הריבית ששולמה</t>
  </si>
  <si>
    <t>סה"כ</t>
  </si>
  <si>
    <t>לטבלת הסילוקין</t>
  </si>
  <si>
    <t>מס'</t>
  </si>
  <si>
    <t>ריבית</t>
  </si>
  <si>
    <t>קרן</t>
  </si>
  <si>
    <t>מס
רכוש</t>
  </si>
  <si>
    <t>סך
תשלומים</t>
  </si>
  <si>
    <t>יתרת
סגירה</t>
  </si>
  <si>
    <t>תשלומים
שנותרו</t>
  </si>
  <si>
    <t>מסלול 1</t>
  </si>
  <si>
    <t>פריים</t>
  </si>
  <si>
    <t>פירוט</t>
  </si>
  <si>
    <t>תאריך</t>
  </si>
  <si>
    <t>יתרת פתיחה</t>
  </si>
  <si>
    <t>מסלול 2</t>
  </si>
  <si>
    <t>מסלול 3</t>
  </si>
  <si>
    <t>מסלול 4</t>
  </si>
  <si>
    <t>קל"צ</t>
  </si>
  <si>
    <t>טבלת סילוקין - מסלול 4</t>
  </si>
  <si>
    <t>טבלת סילוקין - מסלול 3</t>
  </si>
  <si>
    <t>טבלת סילוקין - מסלול 2</t>
  </si>
  <si>
    <t>טבלת סילוקין - מסלול 1</t>
  </si>
  <si>
    <t>קלצ</t>
  </si>
  <si>
    <t>מחשבון כדאיות</t>
  </si>
  <si>
    <t>משך ההשקעה בחודשים</t>
  </si>
  <si>
    <t>כמה ריבית אשלם לתקופה</t>
  </si>
  <si>
    <t>כמה קרן אחזיר בתקופה</t>
  </si>
  <si>
    <t>שכ"ד חודשי</t>
  </si>
  <si>
    <t>כמה שכ"ד אקבל</t>
  </si>
  <si>
    <t>הון עצמי מושקע</t>
  </si>
  <si>
    <t>תזרים עסקה כולל</t>
  </si>
  <si>
    <t>החזר ריבית כוללת לתקופה</t>
  </si>
  <si>
    <t>החזר קרן כוללת לתקופה</t>
  </si>
  <si>
    <t>עמודה1</t>
  </si>
  <si>
    <t>תשואה כוללת על הון עצמי</t>
  </si>
  <si>
    <t>עליית ערך</t>
  </si>
  <si>
    <t>עליית ערך ממוצעת לשנה</t>
  </si>
  <si>
    <t>תשואה כוללת לעסקה</t>
  </si>
  <si>
    <t>עלות נכס</t>
  </si>
  <si>
    <t>עלויות נלוות (מס,ליווי,עו"ד,תיווך)</t>
  </si>
  <si>
    <t>עלות לשקל</t>
  </si>
  <si>
    <t>רווח (בהנחת ריבית דריבית)</t>
  </si>
  <si>
    <t>מחיר מכירה צפוי</t>
  </si>
  <si>
    <t>תזרים בניכוי הוצאות מימון וב.צ.מ</t>
  </si>
  <si>
    <t>תחילת השקעה</t>
  </si>
  <si>
    <t>סיום השקעה</t>
  </si>
  <si>
    <t>יש להזין כאן את הסלול בעל המשך הארוך ביותר</t>
  </si>
  <si>
    <t>מדד</t>
  </si>
  <si>
    <t>סך תשלומי הצמדה</t>
  </si>
  <si>
    <t>החזר מדד לתקופה</t>
  </si>
  <si>
    <t>רווח נטו בש"ח</t>
  </si>
  <si>
    <t>תשואה שנתית כוללת</t>
  </si>
  <si>
    <t>תשואה שנתית על הון עצמי</t>
  </si>
  <si>
    <t>רווח שנתי נטו בש"ח</t>
  </si>
  <si>
    <t>ריכוז ההלוואה</t>
  </si>
  <si>
    <t>ריבית חזויה</t>
  </si>
  <si>
    <t>טבלת סילוקין</t>
  </si>
  <si>
    <t>מסכמת</t>
  </si>
  <si>
    <t>סך החזר</t>
  </si>
  <si>
    <t>סך הלוואה חדשה</t>
  </si>
  <si>
    <t>סך תשלום לסילוק</t>
  </si>
  <si>
    <t>תשלום חדשי מקורי</t>
  </si>
  <si>
    <t>תשלום חודשי חדש</t>
  </si>
  <si>
    <t>הפרש תשלום חודשי</t>
  </si>
  <si>
    <t>תשלום ריבית כולל חדש להלוואה</t>
  </si>
  <si>
    <t>לאחר שכתבתם את הסכומים החדשים במשבצות הצהובות החזירו את סכום ההלוואה לערכו המקורי לפני ההפחתה.</t>
  </si>
  <si>
    <t>בחרו את המסלול ממנו תרצו לסלק והפחיתו ממנו את הסכום הרצוי ע"י שינוי סכום ההלוואה. בנוסף, רשמו את הסכום אותו תרצו לסלק בטבלה הקטנה מטה במקום המתאים "סך תשלום לסילוק" במשבצת הצהובה.</t>
  </si>
  <si>
    <t>כעת - תוכלו לראות את הפרש התשלום החודשי שהתקבל בעקבות הסילוק, את הריבית שנחסכה ואת התשואה השנתית שהשגתם עבור הכסף בהסתכלות תזרימית או בחישוב חסכון הריבית</t>
  </si>
  <si>
    <t>תשואה שנתית תזרימית</t>
  </si>
  <si>
    <t>סך ריבית שנחסכה</t>
  </si>
  <si>
    <t>סה"כ הלוואה מקורית</t>
  </si>
  <si>
    <t>תשלום ריבית כולל מקורי להלוואה</t>
  </si>
  <si>
    <t>לאחר הפחתת הסכום הרצוי - רשמו ב"סך הלוואה חדשה","תשלום חודשי חדש"  ו"תשלום ריבית כולל חדש להלוואה" את הסכומים החדשים שיצאו. 
ניתן לראותם בטבלה הקטנה מטה.את הסכומים החדשים שמופיעים בטבלה הקטנה מטה.</t>
  </si>
  <si>
    <t>צפו בדוגמה שצירפנו עבורכם!</t>
  </si>
  <si>
    <t>קבועה צמודה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</si>
</sst>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5" formatCode="&quot;₪&quot;\ #,##0;&quot;₪&quot;\ \-#,##0"/>
    <numFmt numFmtId="42" formatCode="_ &quot;₪&quot;\ * #,##0_ ;_ &quot;₪&quot;\ * \-#,##0_ ;_ &quot;₪&quot;\ * &quot;-&quot;_ ;_ @_ "/>
    <numFmt numFmtId="41" formatCode="_ * #,##0_ ;_ * \-#,##0_ ;_ * &quot;-&quot;_ ;_ @_ "/>
    <numFmt numFmtId="164" formatCode="0.0%"/>
    <numFmt numFmtId="165" formatCode="&quot;₪&quot;\ #,##0"/>
    <numFmt numFmtId="166" formatCode="#,##0_ ;\-#,##0\ "/>
    <numFmt numFmtId="167" formatCode="0.000%"/>
  </numFmts>
  <fonts count="37" x14ac:knownFonts="1">
    <font>
      <sz val="11"/>
      <color theme="1" tint="0.34998626667073579"/>
      <name val="Tahoma"/>
      <family val="2"/>
    </font>
    <font>
      <sz val="11"/>
      <color theme="1"/>
      <name val="Tahoma"/>
      <family val="2"/>
    </font>
    <font>
      <sz val="11"/>
      <color theme="0"/>
      <name val="Tahoma"/>
      <family val="2"/>
    </font>
    <font>
      <sz val="11"/>
      <color rgb="FF9C0006"/>
      <name val="Tahoma"/>
      <family val="2"/>
    </font>
    <font>
      <b/>
      <sz val="11"/>
      <color rgb="FFFA7D00"/>
      <name val="Tahoma"/>
      <family val="2"/>
    </font>
    <font>
      <b/>
      <sz val="11"/>
      <color theme="0"/>
      <name val="Tahoma"/>
      <family val="2"/>
    </font>
    <font>
      <sz val="11"/>
      <color theme="1" tint="0.34998626667073579"/>
      <name val="Tahoma"/>
      <family val="2"/>
    </font>
    <font>
      <i/>
      <sz val="11"/>
      <color theme="1" tint="0.34998626667073579"/>
      <name val="Tahoma"/>
      <family val="2"/>
    </font>
    <font>
      <b/>
      <u/>
      <sz val="11"/>
      <color theme="9" tint="-0.24994659260841701"/>
      <name val="Tahoma"/>
      <family val="2"/>
    </font>
    <font>
      <sz val="11"/>
      <color rgb="FF006100"/>
      <name val="Tahoma"/>
      <family val="2"/>
    </font>
    <font>
      <sz val="12"/>
      <color theme="2"/>
      <name val="Tahoma"/>
      <family val="2"/>
    </font>
    <font>
      <sz val="11"/>
      <color theme="5" tint="-0.24994659260841701"/>
      <name val="Tahoma"/>
      <family val="2"/>
    </font>
    <font>
      <b/>
      <sz val="11"/>
      <color theme="3"/>
      <name val="Tahoma"/>
      <family val="2"/>
    </font>
    <font>
      <b/>
      <u/>
      <sz val="11"/>
      <color theme="5" tint="-0.24994659260841701"/>
      <name val="Tahoma"/>
      <family val="2"/>
    </font>
    <font>
      <sz val="11"/>
      <color rgb="FF3F3F76"/>
      <name val="Tahoma"/>
      <family val="2"/>
    </font>
    <font>
      <sz val="11"/>
      <color rgb="FFFA7D00"/>
      <name val="Tahoma"/>
      <family val="2"/>
    </font>
    <font>
      <sz val="11"/>
      <color rgb="FF9C5700"/>
      <name val="Tahoma"/>
      <family val="2"/>
    </font>
    <font>
      <b/>
      <sz val="11"/>
      <color rgb="FF3F3F3F"/>
      <name val="Tahoma"/>
      <family val="2"/>
    </font>
    <font>
      <sz val="20"/>
      <color theme="3" tint="9.9948118533890809E-2"/>
      <name val="Tahoma"/>
      <family val="2"/>
    </font>
    <font>
      <b/>
      <sz val="11"/>
      <color theme="1"/>
      <name val="Tahoma"/>
      <family val="2"/>
    </font>
    <font>
      <sz val="11"/>
      <color rgb="FFFF0000"/>
      <name val="Tahoma"/>
      <family val="2"/>
    </font>
    <font>
      <sz val="20"/>
      <color theme="2"/>
      <name val="Tahoma"/>
      <family val="2"/>
    </font>
    <font>
      <sz val="10"/>
      <color theme="1" tint="0.34998626667073579"/>
      <name val="Tahoma"/>
      <family val="2"/>
    </font>
    <font>
      <sz val="8"/>
      <color theme="1" tint="0.34998626667073579"/>
      <name val="Tahoma"/>
      <family val="2"/>
    </font>
    <font>
      <sz val="8"/>
      <color theme="3" tint="9.9948118533890809E-2"/>
      <name val="Tahoma"/>
      <family val="2"/>
    </font>
    <font>
      <sz val="8"/>
      <color theme="2"/>
      <name val="Tahoma"/>
      <family val="2"/>
    </font>
    <font>
      <sz val="8"/>
      <color theme="5" tint="-0.24994659260841701"/>
      <name val="Tahoma"/>
      <family val="2"/>
    </font>
    <font>
      <i/>
      <sz val="8"/>
      <color theme="1" tint="0.34998626667073579"/>
      <name val="Tahoma"/>
      <family val="2"/>
    </font>
    <font>
      <b/>
      <u/>
      <sz val="8"/>
      <color theme="5" tint="-0.24994659260841701"/>
      <name val="Tahoma"/>
      <family val="2"/>
    </font>
    <font>
      <sz val="8"/>
      <name val="Tahoma"/>
      <family val="2"/>
    </font>
    <font>
      <b/>
      <sz val="8"/>
      <color theme="3" tint="9.9948118533890809E-2"/>
      <name val="Tahoma"/>
      <family val="2"/>
    </font>
    <font>
      <b/>
      <sz val="8"/>
      <color theme="1" tint="0.34998626667073579"/>
      <name val="Tahoma"/>
      <family val="2"/>
    </font>
    <font>
      <b/>
      <sz val="8"/>
      <color indexed="81"/>
      <name val="Tahoma"/>
      <family val="2"/>
    </font>
    <font>
      <sz val="8"/>
      <color rgb="FFFF0000"/>
      <name val="Tahoma"/>
      <family val="2"/>
    </font>
    <font>
      <sz val="10"/>
      <color theme="3" tint="9.9948118533890809E-2"/>
      <name val="Tahoma"/>
      <family val="2"/>
    </font>
    <font>
      <b/>
      <sz val="8"/>
      <color theme="5" tint="-0.24994659260841701"/>
      <name val="Tahoma"/>
      <family val="2"/>
    </font>
    <font>
      <b/>
      <sz val="8"/>
      <name val="Tahoma"/>
      <family val="2"/>
    </font>
  </fonts>
  <fills count="44">
    <fill>
      <patternFill patternType="none"/>
    </fill>
    <fill>
      <patternFill patternType="gray125"/>
    </fill>
    <fill>
      <patternFill patternType="solid">
        <fgColor theme="4" tint="-0.499984740745262"/>
        <bgColor indexed="64"/>
      </patternFill>
    </fill>
    <fill>
      <patternFill patternType="solid">
        <fgColor theme="4" tint="0.39994506668294322"/>
        <bgColor indexed="64"/>
      </patternFill>
    </fill>
    <fill>
      <patternFill patternType="solid">
        <fgColor theme="5" tint="-0.2499465926084170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rgb="FFEAEAEA"/>
        <bgColor indexed="64"/>
      </patternFill>
    </fill>
    <fill>
      <patternFill patternType="solid">
        <fgColor theme="2"/>
        <bgColor indexed="64"/>
      </patternFill>
    </fill>
  </fills>
  <borders count="39">
    <border>
      <left/>
      <right/>
      <top/>
      <bottom/>
      <diagonal/>
    </border>
    <border>
      <left/>
      <right/>
      <top/>
      <bottom style="thin">
        <color theme="0" tint="-0.14996795556505021"/>
      </bottom>
      <diagonal/>
    </border>
    <border>
      <left/>
      <right/>
      <top/>
      <bottom style="thick">
        <color theme="0"/>
      </bottom>
      <diagonal/>
    </border>
    <border>
      <left style="thick">
        <color theme="0"/>
      </left>
      <right/>
      <top style="thick">
        <color theme="0"/>
      </top>
      <bottom/>
      <diagonal/>
    </border>
    <border>
      <left/>
      <right/>
      <top style="thick">
        <color theme="0"/>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ck">
        <color theme="0"/>
      </bottom>
      <diagonal/>
    </border>
    <border>
      <left/>
      <right style="medium">
        <color indexed="64"/>
      </right>
      <top/>
      <bottom style="thick">
        <color theme="0"/>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ck">
        <color theme="0"/>
      </top>
      <bottom/>
      <diagonal/>
    </border>
    <border>
      <left/>
      <right style="medium">
        <color indexed="64"/>
      </right>
      <top style="thick">
        <color theme="0"/>
      </top>
      <bottom/>
      <diagonal/>
    </border>
    <border>
      <left/>
      <right/>
      <top/>
      <bottom style="double">
        <color indexed="64"/>
      </bottom>
      <diagonal/>
    </border>
    <border>
      <left style="medium">
        <color indexed="64"/>
      </left>
      <right/>
      <top style="thin">
        <color theme="0" tint="-0.14996795556505021"/>
      </top>
      <bottom style="thin">
        <color theme="0" tint="-0.14996795556505021"/>
      </bottom>
      <diagonal/>
    </border>
    <border>
      <left/>
      <right style="medium">
        <color indexed="64"/>
      </right>
      <top/>
      <bottom style="double">
        <color indexed="64"/>
      </bottom>
      <diagonal/>
    </border>
    <border>
      <left/>
      <right/>
      <top style="thin">
        <color theme="0" tint="-0.14996795556505021"/>
      </top>
      <bottom style="thin">
        <color theme="0" tint="-0.14996795556505021"/>
      </bottom>
      <diagonal/>
    </border>
    <border>
      <left style="medium">
        <color indexed="64"/>
      </left>
      <right/>
      <top style="medium">
        <color indexed="64"/>
      </top>
      <bottom style="thin">
        <color theme="0" tint="-0.14996795556505021"/>
      </bottom>
      <diagonal/>
    </border>
    <border>
      <left style="medium">
        <color indexed="64"/>
      </left>
      <right/>
      <top style="thin">
        <color theme="0" tint="-0.14996795556505021"/>
      </top>
      <bottom style="medium">
        <color indexed="64"/>
      </bottom>
      <diagonal/>
    </border>
    <border>
      <left/>
      <right/>
      <top style="medium">
        <color indexed="64"/>
      </top>
      <bottom style="thin">
        <color theme="0" tint="-0.14996795556505021"/>
      </bottom>
      <diagonal/>
    </border>
    <border>
      <left/>
      <right/>
      <top style="thin">
        <color theme="0" tint="-0.14996795556505021"/>
      </top>
      <bottom style="medium">
        <color indexed="64"/>
      </bottom>
      <diagonal/>
    </border>
    <border>
      <left style="medium">
        <color indexed="64"/>
      </left>
      <right/>
      <top style="medium">
        <color indexed="64"/>
      </top>
      <bottom style="thin">
        <color theme="0" tint="-0.249977111117893"/>
      </bottom>
      <diagonal/>
    </border>
    <border>
      <left/>
      <right style="medium">
        <color indexed="64"/>
      </right>
      <top style="medium">
        <color indexed="64"/>
      </top>
      <bottom style="thin">
        <color theme="0" tint="-0.249977111117893"/>
      </bottom>
      <diagonal/>
    </border>
    <border>
      <left style="medium">
        <color indexed="64"/>
      </left>
      <right/>
      <top style="thin">
        <color theme="0" tint="-0.249977111117893"/>
      </top>
      <bottom style="thin">
        <color theme="0" tint="-0.249977111117893"/>
      </bottom>
      <diagonal/>
    </border>
    <border>
      <left/>
      <right style="medium">
        <color indexed="64"/>
      </right>
      <top style="thin">
        <color theme="0" tint="-0.249977111117893"/>
      </top>
      <bottom style="thin">
        <color theme="0" tint="-0.249977111117893"/>
      </bottom>
      <diagonal/>
    </border>
    <border>
      <left style="medium">
        <color indexed="64"/>
      </left>
      <right/>
      <top style="thin">
        <color theme="0" tint="-0.14996795556505021"/>
      </top>
      <bottom/>
      <diagonal/>
    </border>
    <border>
      <left/>
      <right/>
      <top style="thin">
        <color theme="0" tint="-0.14996795556505021"/>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53">
    <xf numFmtId="0" fontId="0" fillId="0" borderId="0">
      <alignment horizontal="left" wrapText="1" indent="1"/>
    </xf>
    <xf numFmtId="0" fontId="18" fillId="3" borderId="0" applyNumberFormat="0" applyAlignment="0" applyProtection="0">
      <alignment readingOrder="2"/>
    </xf>
    <xf numFmtId="0" fontId="10" fillId="4" borderId="4" applyNumberFormat="0" applyProtection="0">
      <alignment horizontal="left" vertical="center" wrapText="1" indent="1"/>
    </xf>
    <xf numFmtId="0" fontId="10" fillId="2" borderId="0" applyNumberFormat="0" applyAlignment="0" applyProtection="0"/>
    <xf numFmtId="0" fontId="11" fillId="0" borderId="1" applyFill="0" applyBorder="0" applyProtection="0">
      <alignment horizontal="right" indent="1"/>
    </xf>
    <xf numFmtId="0" fontId="12" fillId="0" borderId="0" applyNumberFormat="0" applyFill="0" applyBorder="0" applyAlignment="0" applyProtection="0"/>
    <xf numFmtId="0" fontId="13" fillId="0" borderId="0" applyNumberFormat="0" applyFill="0" applyProtection="0">
      <alignment horizontal="right"/>
    </xf>
    <xf numFmtId="0" fontId="8" fillId="0" borderId="0" applyNumberFormat="0" applyFill="0" applyAlignment="0" applyProtection="0"/>
    <xf numFmtId="14" fontId="6" fillId="0" borderId="0" applyFont="0" applyFill="0" applyBorder="0" applyAlignment="0">
      <alignment horizontal="left" indent="1"/>
    </xf>
    <xf numFmtId="0" fontId="10" fillId="4" borderId="0" applyFont="0" applyBorder="0">
      <alignment horizontal="center" wrapText="1"/>
      <protection locked="0"/>
    </xf>
    <xf numFmtId="0" fontId="7" fillId="0" borderId="0" applyNumberFormat="0" applyFill="0" applyBorder="0" applyProtection="0">
      <alignment wrapText="1"/>
    </xf>
    <xf numFmtId="0" fontId="6" fillId="0" borderId="3" applyNumberFormat="0" applyFont="0" applyFill="0" applyAlignment="0">
      <alignment wrapText="1"/>
    </xf>
    <xf numFmtId="165" fontId="21" fillId="2" borderId="0">
      <alignment horizontal="center" vertical="center"/>
    </xf>
    <xf numFmtId="41" fontId="6" fillId="0" borderId="0" applyFont="0" applyFill="0" applyBorder="0" applyProtection="0">
      <alignment horizontal="right" indent="1"/>
    </xf>
    <xf numFmtId="166" fontId="6" fillId="0" borderId="0" applyFont="0" applyFill="0" applyBorder="0" applyProtection="0">
      <alignment horizontal="center"/>
    </xf>
    <xf numFmtId="5" fontId="6" fillId="0" borderId="0" applyFont="0" applyFill="0" applyBorder="0" applyProtection="0">
      <alignment horizontal="right" readingOrder="1"/>
    </xf>
    <xf numFmtId="164" fontId="6" fillId="0" borderId="0" applyFont="0" applyFill="0" applyBorder="0" applyProtection="0">
      <alignment horizontal="right" indent="1"/>
    </xf>
    <xf numFmtId="42" fontId="6" fillId="0" borderId="0" applyFont="0" applyFill="0" applyBorder="0" applyAlignment="0" applyProtection="0"/>
    <xf numFmtId="0" fontId="9" fillId="6" borderId="0" applyNumberFormat="0" applyBorder="0" applyAlignment="0" applyProtection="0"/>
    <xf numFmtId="0" fontId="3" fillId="7" borderId="0" applyNumberFormat="0" applyBorder="0" applyAlignment="0" applyProtection="0"/>
    <xf numFmtId="0" fontId="16" fillId="8" borderId="0" applyNumberFormat="0" applyBorder="0" applyAlignment="0" applyProtection="0"/>
    <xf numFmtId="0" fontId="14" fillId="9" borderId="5" applyNumberFormat="0" applyAlignment="0" applyProtection="0"/>
    <xf numFmtId="0" fontId="17" fillId="10" borderId="6" applyNumberFormat="0" applyAlignment="0" applyProtection="0"/>
    <xf numFmtId="0" fontId="4" fillId="10" borderId="5" applyNumberFormat="0" applyAlignment="0" applyProtection="0"/>
    <xf numFmtId="0" fontId="15" fillId="0" borderId="7" applyNumberFormat="0" applyFill="0" applyAlignment="0" applyProtection="0"/>
    <xf numFmtId="0" fontId="5" fillId="11" borderId="8" applyNumberFormat="0" applyAlignment="0" applyProtection="0"/>
    <xf numFmtId="0" fontId="20" fillId="0" borderId="0" applyNumberFormat="0" applyFill="0" applyBorder="0" applyAlignment="0" applyProtection="0"/>
    <xf numFmtId="0" fontId="6" fillId="12" borderId="9" applyNumberFormat="0" applyFont="0" applyAlignment="0" applyProtection="0"/>
    <xf numFmtId="0" fontId="19" fillId="0" borderId="10" applyNumberFormat="0" applyFill="0" applyAlignment="0" applyProtection="0"/>
    <xf numFmtId="0" fontId="2"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cellStyleXfs>
  <cellXfs count="138">
    <xf numFmtId="0" fontId="0" fillId="0" borderId="0" xfId="0">
      <alignment horizontal="left" wrapText="1" indent="1"/>
    </xf>
    <xf numFmtId="0" fontId="0" fillId="0" borderId="0" xfId="0" applyAlignment="1">
      <alignment horizontal="right" wrapText="1" indent="1" readingOrder="2"/>
    </xf>
    <xf numFmtId="0" fontId="22" fillId="0" borderId="0" xfId="0" applyFont="1" applyAlignment="1" applyProtection="1">
      <alignment horizontal="right" wrapText="1" indent="1" readingOrder="2"/>
      <protection locked="0"/>
    </xf>
    <xf numFmtId="0" fontId="22" fillId="0" borderId="0" xfId="0" applyFont="1" applyProtection="1">
      <alignment horizontal="left" wrapText="1" indent="1"/>
      <protection locked="0"/>
    </xf>
    <xf numFmtId="0" fontId="22" fillId="0" borderId="0" xfId="0" applyFont="1" applyAlignment="1" applyProtection="1">
      <alignment horizontal="center"/>
      <protection locked="0"/>
    </xf>
    <xf numFmtId="0" fontId="23" fillId="0" borderId="0" xfId="0" applyFont="1" applyAlignment="1">
      <alignment horizontal="center" vertical="center" wrapText="1" readingOrder="2"/>
    </xf>
    <xf numFmtId="0" fontId="24" fillId="5" borderId="0" xfId="1" applyFont="1" applyFill="1" applyAlignment="1" applyProtection="1">
      <alignment horizontal="center" vertical="center"/>
      <protection locked="0"/>
    </xf>
    <xf numFmtId="0" fontId="23" fillId="0" borderId="0" xfId="0" applyFont="1" applyAlignment="1">
      <alignment horizontal="center" vertical="center" readingOrder="2"/>
    </xf>
    <xf numFmtId="0" fontId="23" fillId="0" borderId="0" xfId="0" applyFont="1" applyAlignment="1" applyProtection="1">
      <alignment horizontal="center" vertical="center" wrapText="1" readingOrder="2"/>
      <protection locked="0"/>
    </xf>
    <xf numFmtId="0" fontId="25" fillId="4" borderId="0" xfId="9" applyFont="1" applyAlignment="1">
      <alignment horizontal="center" vertical="center" wrapText="1" readingOrder="2"/>
      <protection locked="0"/>
    </xf>
    <xf numFmtId="0" fontId="23" fillId="0" borderId="0" xfId="0" applyFont="1" applyAlignment="1" applyProtection="1">
      <alignment horizontal="center" vertical="center" wrapText="1"/>
      <protection locked="0"/>
    </xf>
    <xf numFmtId="166" fontId="23" fillId="0" borderId="0" xfId="14" applyFont="1" applyAlignment="1">
      <alignment horizontal="center" vertical="center" readingOrder="2"/>
    </xf>
    <xf numFmtId="14" fontId="23" fillId="0" borderId="0" xfId="8" applyFont="1" applyAlignment="1">
      <alignment horizontal="center" vertical="center" wrapText="1" readingOrder="2"/>
    </xf>
    <xf numFmtId="5" fontId="23" fillId="0" borderId="0" xfId="15" applyFont="1" applyAlignment="1">
      <alignment horizontal="center" vertical="center" readingOrder="1"/>
    </xf>
    <xf numFmtId="0" fontId="25" fillId="4" borderId="16" xfId="9" applyFont="1" applyBorder="1" applyAlignment="1">
      <alignment horizontal="center" vertical="center" wrapText="1" readingOrder="2"/>
      <protection locked="0"/>
    </xf>
    <xf numFmtId="0" fontId="25" fillId="4" borderId="0" xfId="9" applyFont="1" applyBorder="1" applyAlignment="1">
      <alignment horizontal="center" vertical="center" wrapText="1" readingOrder="2"/>
      <protection locked="0"/>
    </xf>
    <xf numFmtId="0" fontId="25" fillId="4" borderId="17" xfId="9" applyFont="1" applyBorder="1" applyAlignment="1">
      <alignment horizontal="center" vertical="center" wrapText="1" readingOrder="2"/>
      <protection locked="0"/>
    </xf>
    <xf numFmtId="166" fontId="23" fillId="0" borderId="16" xfId="14" applyFont="1" applyBorder="1" applyAlignment="1">
      <alignment horizontal="center" vertical="center" readingOrder="2"/>
    </xf>
    <xf numFmtId="14" fontId="23" fillId="0" borderId="0" xfId="8" applyFont="1" applyBorder="1" applyAlignment="1">
      <alignment horizontal="center" vertical="center" wrapText="1" readingOrder="2"/>
    </xf>
    <xf numFmtId="5" fontId="23" fillId="0" borderId="0" xfId="15" applyFont="1" applyBorder="1" applyAlignment="1">
      <alignment horizontal="center" vertical="center" readingOrder="1"/>
    </xf>
    <xf numFmtId="166" fontId="23" fillId="0" borderId="17" xfId="14" applyFont="1" applyBorder="1" applyAlignment="1">
      <alignment horizontal="center" vertical="center" readingOrder="2"/>
    </xf>
    <xf numFmtId="166" fontId="23" fillId="0" borderId="18" xfId="14" applyFont="1" applyBorder="1" applyAlignment="1">
      <alignment horizontal="center" vertical="center" readingOrder="2"/>
    </xf>
    <xf numFmtId="14" fontId="23" fillId="0" borderId="19" xfId="8" applyFont="1" applyBorder="1" applyAlignment="1">
      <alignment horizontal="center" vertical="center" wrapText="1" readingOrder="2"/>
    </xf>
    <xf numFmtId="5" fontId="23" fillId="0" borderId="19" xfId="15" applyFont="1" applyBorder="1" applyAlignment="1">
      <alignment horizontal="center" vertical="center" readingOrder="1"/>
    </xf>
    <xf numFmtId="166" fontId="23" fillId="0" borderId="20" xfId="14" applyFont="1" applyBorder="1" applyAlignment="1">
      <alignment horizontal="center" vertical="center" readingOrder="2"/>
    </xf>
    <xf numFmtId="14" fontId="26" fillId="0" borderId="0" xfId="8" applyFont="1" applyFill="1" applyBorder="1" applyAlignment="1">
      <alignment horizontal="center" vertical="center" readingOrder="2"/>
    </xf>
    <xf numFmtId="0" fontId="25" fillId="4" borderId="21" xfId="2" applyFont="1" applyBorder="1" applyAlignment="1">
      <alignment horizontal="center" vertical="center" wrapText="1" readingOrder="2"/>
    </xf>
    <xf numFmtId="0" fontId="25" fillId="4" borderId="4" xfId="2" applyFont="1" applyAlignment="1">
      <alignment horizontal="center" vertical="center" wrapText="1" readingOrder="2"/>
    </xf>
    <xf numFmtId="0" fontId="25" fillId="4" borderId="3" xfId="11" applyFont="1" applyFill="1" applyAlignment="1">
      <alignment horizontal="center" vertical="center" wrapText="1" readingOrder="2"/>
    </xf>
    <xf numFmtId="0" fontId="25" fillId="4" borderId="22" xfId="2" applyFont="1" applyBorder="1" applyAlignment="1">
      <alignment horizontal="center" vertical="center" wrapText="1" readingOrder="2"/>
    </xf>
    <xf numFmtId="0" fontId="23" fillId="0" borderId="16" xfId="0" applyFont="1" applyBorder="1" applyAlignment="1">
      <alignment horizontal="center" vertical="center" wrapText="1" readingOrder="2"/>
    </xf>
    <xf numFmtId="5" fontId="23" fillId="0" borderId="17" xfId="15" applyFont="1" applyBorder="1" applyAlignment="1">
      <alignment horizontal="center" vertical="center" readingOrder="1"/>
    </xf>
    <xf numFmtId="0" fontId="27" fillId="0" borderId="16" xfId="10" applyFont="1" applyBorder="1" applyAlignment="1">
      <alignment horizontal="center" vertical="center" readingOrder="2"/>
    </xf>
    <xf numFmtId="0" fontId="27" fillId="0" borderId="0" xfId="10" applyFont="1" applyBorder="1" applyAlignment="1">
      <alignment horizontal="center" vertical="center" readingOrder="2"/>
    </xf>
    <xf numFmtId="10" fontId="23" fillId="37" borderId="0" xfId="16" applyNumberFormat="1" applyFont="1" applyFill="1" applyBorder="1" applyAlignment="1">
      <alignment horizontal="center" vertical="center" readingOrder="2"/>
    </xf>
    <xf numFmtId="41" fontId="23" fillId="37" borderId="0" xfId="13" applyFont="1" applyFill="1" applyBorder="1" applyAlignment="1">
      <alignment horizontal="center" vertical="center"/>
    </xf>
    <xf numFmtId="5" fontId="23" fillId="37" borderId="0" xfId="15" applyFont="1" applyFill="1" applyBorder="1" applyAlignment="1">
      <alignment horizontal="center" vertical="center" readingOrder="1"/>
    </xf>
    <xf numFmtId="0" fontId="23" fillId="0" borderId="18" xfId="0" applyFont="1" applyBorder="1" applyAlignment="1" applyProtection="1">
      <alignment horizontal="center" vertical="center" readingOrder="2"/>
      <protection locked="0"/>
    </xf>
    <xf numFmtId="165" fontId="28" fillId="0" borderId="19" xfId="6" applyNumberFormat="1" applyFont="1" applyFill="1" applyBorder="1" applyAlignment="1" applyProtection="1">
      <alignment horizontal="center" vertical="center" readingOrder="2"/>
      <protection locked="0"/>
    </xf>
    <xf numFmtId="0" fontId="23" fillId="0" borderId="19" xfId="0" applyFont="1" applyBorder="1" applyAlignment="1" applyProtection="1">
      <alignment horizontal="center" vertical="center" wrapText="1"/>
      <protection locked="0"/>
    </xf>
    <xf numFmtId="0" fontId="28" fillId="0" borderId="20" xfId="6" applyFont="1" applyBorder="1" applyAlignment="1">
      <alignment horizontal="center" vertical="center" readingOrder="2"/>
    </xf>
    <xf numFmtId="0" fontId="29" fillId="40" borderId="0" xfId="3" applyFont="1" applyFill="1" applyAlignment="1" applyProtection="1">
      <alignment horizontal="center" vertical="center" wrapText="1" readingOrder="2"/>
    </xf>
    <xf numFmtId="165" fontId="29" fillId="40" borderId="17" xfId="12" applyFont="1" applyFill="1" applyBorder="1" applyAlignment="1">
      <alignment horizontal="center" vertical="center" readingOrder="1"/>
    </xf>
    <xf numFmtId="14" fontId="23" fillId="0" borderId="0" xfId="8" applyFont="1" applyBorder="1" applyAlignment="1">
      <alignment horizontal="center" vertical="center" readingOrder="2"/>
    </xf>
    <xf numFmtId="0" fontId="22" fillId="0" borderId="0" xfId="0" applyFont="1" applyAlignment="1" applyProtection="1">
      <alignment horizontal="center" vertical="center" wrapText="1"/>
      <protection locked="0"/>
    </xf>
    <xf numFmtId="0" fontId="22" fillId="0" borderId="0" xfId="0" applyFont="1" applyAlignment="1">
      <alignment horizontal="center" vertical="center" wrapText="1"/>
    </xf>
    <xf numFmtId="0" fontId="0" fillId="0" borderId="0" xfId="0" applyAlignment="1">
      <alignment horizontal="center" vertical="center" wrapText="1"/>
    </xf>
    <xf numFmtId="5" fontId="22" fillId="0" borderId="0" xfId="0" applyNumberFormat="1" applyFont="1" applyAlignment="1">
      <alignment horizontal="center" vertical="center"/>
    </xf>
    <xf numFmtId="0" fontId="23" fillId="0" borderId="23" xfId="0" applyFont="1" applyBorder="1" applyAlignment="1" applyProtection="1">
      <alignment horizontal="center" vertical="center" wrapText="1"/>
      <protection locked="0"/>
    </xf>
    <xf numFmtId="0" fontId="23" fillId="0" borderId="16" xfId="0" applyFont="1" applyBorder="1" applyAlignment="1" applyProtection="1">
      <alignment horizontal="center" vertical="center"/>
      <protection locked="0"/>
    </xf>
    <xf numFmtId="164" fontId="23" fillId="0" borderId="0" xfId="16" applyFont="1" applyBorder="1" applyAlignment="1" applyProtection="1">
      <alignment horizontal="center" vertical="center"/>
      <protection locked="0"/>
    </xf>
    <xf numFmtId="0" fontId="23" fillId="0" borderId="16" xfId="0" applyFont="1" applyBorder="1" applyAlignment="1" applyProtection="1">
      <alignment horizontal="center" vertical="center" wrapText="1"/>
      <protection locked="0"/>
    </xf>
    <xf numFmtId="14" fontId="26" fillId="0" borderId="0" xfId="8" applyFont="1" applyFill="1" applyBorder="1" applyAlignment="1">
      <alignment horizontal="center" vertical="center" readingOrder="1"/>
    </xf>
    <xf numFmtId="5" fontId="23" fillId="0" borderId="17" xfId="15" applyFont="1" applyBorder="1" applyAlignment="1">
      <alignment horizontal="center" vertical="center"/>
    </xf>
    <xf numFmtId="165" fontId="29" fillId="40" borderId="17" xfId="12" applyFont="1" applyFill="1" applyBorder="1">
      <alignment horizontal="center" vertical="center"/>
    </xf>
    <xf numFmtId="0" fontId="29" fillId="43" borderId="24" xfId="0" applyFont="1" applyFill="1" applyBorder="1" applyAlignment="1">
      <alignment horizontal="center" vertical="center"/>
    </xf>
    <xf numFmtId="167" fontId="23" fillId="0" borderId="0" xfId="15" applyNumberFormat="1" applyFont="1" applyBorder="1" applyAlignment="1">
      <alignment horizontal="center" vertical="center"/>
    </xf>
    <xf numFmtId="0" fontId="23" fillId="0" borderId="0" xfId="15" applyNumberFormat="1" applyFont="1" applyBorder="1" applyAlignment="1">
      <alignment horizontal="center" vertical="center"/>
    </xf>
    <xf numFmtId="5" fontId="23" fillId="0" borderId="0" xfId="15" applyFont="1" applyBorder="1" applyAlignment="1">
      <alignment horizontal="center" vertical="center"/>
    </xf>
    <xf numFmtId="0" fontId="23" fillId="0" borderId="23" xfId="0" applyFont="1" applyBorder="1" applyAlignment="1" applyProtection="1">
      <alignment horizontal="center" vertical="center"/>
      <protection locked="0"/>
    </xf>
    <xf numFmtId="0" fontId="28" fillId="0" borderId="20" xfId="6" applyFont="1" applyBorder="1" applyAlignment="1">
      <alignment horizontal="center" vertical="center"/>
    </xf>
    <xf numFmtId="0" fontId="23" fillId="0" borderId="25" xfId="0" applyFont="1" applyBorder="1" applyAlignment="1" applyProtection="1">
      <alignment horizontal="center" vertical="center" wrapText="1"/>
      <protection locked="0"/>
    </xf>
    <xf numFmtId="165" fontId="23" fillId="0" borderId="17" xfId="0" applyNumberFormat="1" applyFont="1" applyBorder="1" applyAlignment="1" applyProtection="1">
      <alignment horizontal="center" vertical="center" wrapText="1"/>
      <protection locked="0"/>
    </xf>
    <xf numFmtId="0" fontId="22" fillId="0" borderId="17" xfId="0" applyFont="1" applyBorder="1" applyAlignment="1" applyProtection="1">
      <alignment horizontal="center" vertical="center" wrapText="1"/>
      <protection locked="0"/>
    </xf>
    <xf numFmtId="164" fontId="23" fillId="37" borderId="0" xfId="16" applyFont="1" applyFill="1" applyBorder="1" applyAlignment="1" applyProtection="1">
      <alignment horizontal="center" vertical="center"/>
      <protection locked="0"/>
    </xf>
    <xf numFmtId="0" fontId="22" fillId="0" borderId="18" xfId="0" applyFont="1" applyBorder="1" applyProtection="1">
      <alignment horizontal="left" wrapText="1" indent="1"/>
      <protection locked="0"/>
    </xf>
    <xf numFmtId="0" fontId="22" fillId="0" borderId="19" xfId="0" applyFont="1" applyBorder="1" applyProtection="1">
      <alignment horizontal="left" wrapText="1" indent="1"/>
      <protection locked="0"/>
    </xf>
    <xf numFmtId="0" fontId="22" fillId="0" borderId="20" xfId="0" applyFont="1" applyBorder="1" applyProtection="1">
      <alignment horizontal="left" wrapText="1" indent="1"/>
      <protection locked="0"/>
    </xf>
    <xf numFmtId="5" fontId="22" fillId="0" borderId="0" xfId="0" applyNumberFormat="1" applyFont="1" applyAlignment="1" applyProtection="1">
      <alignment horizontal="center"/>
      <protection locked="0"/>
    </xf>
    <xf numFmtId="5" fontId="22" fillId="0" borderId="0" xfId="0" applyNumberFormat="1" applyFont="1" applyProtection="1">
      <alignment horizontal="left" wrapText="1" indent="1"/>
      <protection locked="0"/>
    </xf>
    <xf numFmtId="5" fontId="31" fillId="0" borderId="17" xfId="15" applyFont="1" applyBorder="1" applyAlignment="1">
      <alignment horizontal="center" vertical="center"/>
    </xf>
    <xf numFmtId="2" fontId="35" fillId="43" borderId="0" xfId="15" applyNumberFormat="1" applyFont="1" applyFill="1" applyBorder="1" applyAlignment="1">
      <alignment horizontal="center" vertical="center"/>
    </xf>
    <xf numFmtId="0" fontId="22" fillId="0" borderId="0" xfId="0" applyFont="1" applyAlignment="1" applyProtection="1">
      <alignment horizontal="center" vertical="center" wrapText="1"/>
      <protection locked="0"/>
    </xf>
    <xf numFmtId="0" fontId="30" fillId="38" borderId="11" xfId="1" applyFont="1" applyFill="1" applyBorder="1" applyAlignment="1">
      <alignment horizontal="center" vertical="center" wrapText="1" readingOrder="2"/>
    </xf>
    <xf numFmtId="0" fontId="30" fillId="38" borderId="12" xfId="1" applyFont="1" applyFill="1" applyBorder="1" applyAlignment="1">
      <alignment horizontal="center" vertical="center" wrapText="1" readingOrder="2"/>
    </xf>
    <xf numFmtId="0" fontId="30" fillId="38" borderId="13" xfId="1" applyFont="1" applyFill="1" applyBorder="1" applyAlignment="1">
      <alignment horizontal="center" vertical="center" wrapText="1" readingOrder="2"/>
    </xf>
    <xf numFmtId="0" fontId="30" fillId="38" borderId="14" xfId="1" applyFont="1" applyFill="1" applyBorder="1" applyAlignment="1">
      <alignment horizontal="center" vertical="center" wrapText="1" readingOrder="2"/>
    </xf>
    <xf numFmtId="0" fontId="30" fillId="38" borderId="2" xfId="1" applyFont="1" applyFill="1" applyBorder="1" applyAlignment="1">
      <alignment horizontal="center" vertical="center" wrapText="1" readingOrder="2"/>
    </xf>
    <xf numFmtId="0" fontId="30" fillId="38" borderId="15" xfId="1" applyFont="1" applyFill="1" applyBorder="1" applyAlignment="1">
      <alignment horizontal="center" vertical="center" wrapText="1" readingOrder="2"/>
    </xf>
    <xf numFmtId="0" fontId="31" fillId="42" borderId="11" xfId="0" applyFont="1" applyFill="1" applyBorder="1" applyAlignment="1" applyProtection="1">
      <alignment horizontal="center" vertical="center" wrapText="1"/>
      <protection locked="0"/>
    </xf>
    <xf numFmtId="0" fontId="31" fillId="42" borderId="12" xfId="0" applyFont="1" applyFill="1" applyBorder="1" applyAlignment="1" applyProtection="1">
      <alignment horizontal="center" vertical="center" wrapText="1"/>
      <protection locked="0"/>
    </xf>
    <xf numFmtId="0" fontId="31" fillId="42" borderId="13" xfId="0" applyFont="1" applyFill="1" applyBorder="1" applyAlignment="1" applyProtection="1">
      <alignment horizontal="center" vertical="center" wrapText="1"/>
      <protection locked="0"/>
    </xf>
    <xf numFmtId="0" fontId="24" fillId="39" borderId="11" xfId="1" applyFont="1" applyFill="1" applyBorder="1" applyAlignment="1">
      <alignment horizontal="center" vertical="center" wrapText="1" readingOrder="2"/>
    </xf>
    <xf numFmtId="0" fontId="24" fillId="39" borderId="12" xfId="1" applyFont="1" applyFill="1" applyBorder="1" applyAlignment="1">
      <alignment horizontal="center" vertical="center" wrapText="1" readingOrder="2"/>
    </xf>
    <xf numFmtId="0" fontId="24" fillId="39" borderId="13" xfId="1" applyFont="1" applyFill="1" applyBorder="1" applyAlignment="1">
      <alignment horizontal="center" vertical="center" wrapText="1" readingOrder="2"/>
    </xf>
    <xf numFmtId="0" fontId="33" fillId="0" borderId="18" xfId="0" applyFont="1" applyBorder="1" applyAlignment="1" applyProtection="1">
      <alignment horizontal="center" vertical="center" wrapText="1" readingOrder="2"/>
      <protection locked="0"/>
    </xf>
    <xf numFmtId="0" fontId="33" fillId="0" borderId="19" xfId="0" applyFont="1" applyBorder="1" applyAlignment="1" applyProtection="1">
      <alignment horizontal="center" vertical="center" wrapText="1" readingOrder="2"/>
      <protection locked="0"/>
    </xf>
    <xf numFmtId="0" fontId="34" fillId="39" borderId="11" xfId="1" applyNumberFormat="1" applyFont="1" applyFill="1" applyBorder="1" applyAlignment="1" applyProtection="1">
      <alignment horizontal="center" vertical="center" readingOrder="2"/>
      <protection locked="0"/>
    </xf>
    <xf numFmtId="0" fontId="34" fillId="39" borderId="12" xfId="1" applyNumberFormat="1" applyFont="1" applyFill="1" applyBorder="1" applyAlignment="1" applyProtection="1">
      <alignment horizontal="center" vertical="center" readingOrder="2"/>
      <protection locked="0"/>
    </xf>
    <xf numFmtId="0" fontId="34" fillId="39" borderId="13" xfId="1" applyNumberFormat="1" applyFont="1" applyFill="1" applyBorder="1" applyAlignment="1" applyProtection="1">
      <alignment horizontal="center" vertical="center" readingOrder="2"/>
      <protection locked="0"/>
    </xf>
    <xf numFmtId="0" fontId="34" fillId="41" borderId="18" xfId="1" applyNumberFormat="1" applyFont="1" applyFill="1" applyBorder="1" applyAlignment="1" applyProtection="1">
      <alignment horizontal="center" vertical="center" readingOrder="2"/>
      <protection locked="0"/>
    </xf>
    <xf numFmtId="0" fontId="34" fillId="41" borderId="19" xfId="1" applyNumberFormat="1" applyFont="1" applyFill="1" applyBorder="1" applyAlignment="1" applyProtection="1">
      <alignment horizontal="center" vertical="center" readingOrder="2"/>
      <protection locked="0"/>
    </xf>
    <xf numFmtId="0" fontId="34" fillId="41" borderId="20" xfId="1" applyNumberFormat="1" applyFont="1" applyFill="1" applyBorder="1" applyAlignment="1" applyProtection="1">
      <alignment horizontal="center" vertical="center" readingOrder="2"/>
      <protection locked="0"/>
    </xf>
    <xf numFmtId="0" fontId="24" fillId="39" borderId="11" xfId="1" applyNumberFormat="1" applyFont="1" applyFill="1" applyBorder="1" applyAlignment="1" applyProtection="1">
      <alignment horizontal="center" vertical="center" readingOrder="2"/>
      <protection locked="0"/>
    </xf>
    <xf numFmtId="0" fontId="24" fillId="39" borderId="12" xfId="1" applyNumberFormat="1" applyFont="1" applyFill="1" applyBorder="1" applyAlignment="1" applyProtection="1">
      <alignment horizontal="center" vertical="center" readingOrder="2"/>
      <protection locked="0"/>
    </xf>
    <xf numFmtId="0" fontId="24" fillId="39" borderId="13" xfId="1" applyNumberFormat="1" applyFont="1" applyFill="1" applyBorder="1" applyAlignment="1" applyProtection="1">
      <alignment horizontal="center" vertical="center" readingOrder="2"/>
      <protection locked="0"/>
    </xf>
    <xf numFmtId="0" fontId="24" fillId="41" borderId="14" xfId="1" applyNumberFormat="1" applyFont="1" applyFill="1" applyBorder="1" applyAlignment="1" applyProtection="1">
      <alignment horizontal="center" vertical="center" readingOrder="2"/>
      <protection locked="0"/>
    </xf>
    <xf numFmtId="0" fontId="24" fillId="41" borderId="2" xfId="1" applyNumberFormat="1" applyFont="1" applyFill="1" applyBorder="1" applyAlignment="1" applyProtection="1">
      <alignment horizontal="center" vertical="center" readingOrder="2"/>
      <protection locked="0"/>
    </xf>
    <xf numFmtId="0" fontId="24" fillId="41" borderId="15" xfId="1" applyNumberFormat="1" applyFont="1" applyFill="1" applyBorder="1" applyAlignment="1" applyProtection="1">
      <alignment horizontal="center" vertical="center" readingOrder="2"/>
      <protection locked="0"/>
    </xf>
    <xf numFmtId="0" fontId="24" fillId="39" borderId="0" xfId="1" applyNumberFormat="1" applyFont="1" applyFill="1" applyAlignment="1" applyProtection="1">
      <alignment horizontal="center" vertical="center" readingOrder="2"/>
      <protection locked="0"/>
    </xf>
    <xf numFmtId="0" fontId="24" fillId="39" borderId="16" xfId="1" applyNumberFormat="1" applyFont="1" applyFill="1" applyBorder="1" applyAlignment="1" applyProtection="1">
      <alignment horizontal="center" vertical="center" readingOrder="2"/>
      <protection locked="0"/>
    </xf>
    <xf numFmtId="0" fontId="24" fillId="39" borderId="17" xfId="1" applyNumberFormat="1" applyFont="1" applyFill="1" applyBorder="1" applyAlignment="1" applyProtection="1">
      <alignment horizontal="center" vertical="center" readingOrder="2"/>
      <protection locked="0"/>
    </xf>
    <xf numFmtId="0" fontId="23" fillId="37" borderId="0" xfId="0" applyFont="1" applyFill="1" applyBorder="1" applyAlignment="1" applyProtection="1">
      <alignment horizontal="center" vertical="center" wrapText="1"/>
      <protection locked="0"/>
    </xf>
    <xf numFmtId="0" fontId="23" fillId="0" borderId="0" xfId="0" applyFont="1" applyBorder="1" applyAlignment="1" applyProtection="1">
      <alignment horizontal="center" vertical="center" wrapText="1"/>
      <protection locked="0"/>
    </xf>
    <xf numFmtId="165" fontId="23" fillId="37" borderId="0" xfId="0" applyNumberFormat="1" applyFont="1" applyFill="1" applyBorder="1" applyAlignment="1" applyProtection="1">
      <alignment horizontal="center" vertical="center" wrapText="1"/>
      <protection locked="0"/>
    </xf>
    <xf numFmtId="165" fontId="23" fillId="0" borderId="0" xfId="0" applyNumberFormat="1" applyFont="1" applyBorder="1" applyAlignment="1" applyProtection="1">
      <alignment horizontal="center" vertical="center" wrapText="1"/>
      <protection locked="0"/>
    </xf>
    <xf numFmtId="0" fontId="22" fillId="0" borderId="0" xfId="0" applyFont="1" applyBorder="1" applyProtection="1">
      <alignment horizontal="left" wrapText="1" indent="1"/>
      <protection locked="0"/>
    </xf>
    <xf numFmtId="0" fontId="22" fillId="0" borderId="0" xfId="0" applyFont="1" applyBorder="1" applyAlignment="1" applyProtection="1">
      <alignment horizontal="center" vertical="center" wrapText="1"/>
      <protection locked="0"/>
    </xf>
    <xf numFmtId="14" fontId="23" fillId="37" borderId="0" xfId="0" applyNumberFormat="1" applyFont="1" applyFill="1" applyBorder="1" applyAlignment="1" applyProtection="1">
      <alignment horizontal="center" vertical="center"/>
      <protection locked="0"/>
    </xf>
    <xf numFmtId="14" fontId="23" fillId="0" borderId="0" xfId="0" applyNumberFormat="1" applyFont="1" applyBorder="1" applyAlignment="1" applyProtection="1">
      <alignment horizontal="center" vertical="center"/>
      <protection locked="0"/>
    </xf>
    <xf numFmtId="0" fontId="29" fillId="43" borderId="24" xfId="0" applyFont="1" applyFill="1" applyBorder="1" applyAlignment="1">
      <alignment horizontal="center" vertical="center" wrapText="1" readingOrder="2"/>
    </xf>
    <xf numFmtId="5" fontId="26" fillId="43" borderId="26" xfId="15" applyNumberFormat="1" applyFont="1" applyFill="1" applyBorder="1" applyAlignment="1">
      <alignment horizontal="center" vertical="center" readingOrder="1"/>
    </xf>
    <xf numFmtId="0" fontId="29" fillId="43" borderId="27" xfId="0" applyFont="1" applyFill="1" applyBorder="1" applyAlignment="1">
      <alignment horizontal="center" vertical="center" wrapText="1" readingOrder="2"/>
    </xf>
    <xf numFmtId="0" fontId="29" fillId="43" borderId="28" xfId="0" applyFont="1" applyFill="1" applyBorder="1" applyAlignment="1">
      <alignment horizontal="center" vertical="center" wrapText="1" readingOrder="2"/>
    </xf>
    <xf numFmtId="5" fontId="26" fillId="43" borderId="29" xfId="15" applyNumberFormat="1" applyFont="1" applyFill="1" applyBorder="1" applyAlignment="1">
      <alignment horizontal="center" vertical="center" readingOrder="1"/>
    </xf>
    <xf numFmtId="5" fontId="26" fillId="37" borderId="30" xfId="15" applyNumberFormat="1" applyFont="1" applyFill="1" applyBorder="1" applyAlignment="1">
      <alignment horizontal="center" vertical="center" readingOrder="1"/>
    </xf>
    <xf numFmtId="0" fontId="29" fillId="43" borderId="16" xfId="0" applyFont="1" applyFill="1" applyBorder="1" applyAlignment="1">
      <alignment horizontal="center" vertical="center" wrapText="1" readingOrder="2"/>
    </xf>
    <xf numFmtId="5" fontId="26" fillId="37" borderId="17" xfId="15" applyNumberFormat="1" applyFont="1" applyFill="1" applyBorder="1" applyAlignment="1">
      <alignment horizontal="center" vertical="center" readingOrder="1"/>
    </xf>
    <xf numFmtId="0" fontId="29" fillId="43" borderId="18" xfId="0" applyFont="1" applyFill="1" applyBorder="1" applyAlignment="1">
      <alignment horizontal="center" vertical="center" wrapText="1" readingOrder="2"/>
    </xf>
    <xf numFmtId="5" fontId="29" fillId="43" borderId="20" xfId="0" applyNumberFormat="1" applyFont="1" applyFill="1" applyBorder="1" applyAlignment="1">
      <alignment horizontal="center" vertical="center" wrapText="1" readingOrder="2"/>
    </xf>
    <xf numFmtId="0" fontId="25" fillId="4" borderId="4" xfId="2" applyFont="1" applyBorder="1" applyAlignment="1">
      <alignment horizontal="center" vertical="center" wrapText="1" readingOrder="2"/>
    </xf>
    <xf numFmtId="0" fontId="25" fillId="4" borderId="3" xfId="11" applyFont="1" applyFill="1" applyBorder="1" applyAlignment="1">
      <alignment horizontal="center" vertical="center" wrapText="1" readingOrder="2"/>
    </xf>
    <xf numFmtId="0" fontId="23" fillId="0" borderId="0" xfId="0" applyFont="1" applyBorder="1" applyAlignment="1">
      <alignment horizontal="center" vertical="center" wrapText="1" readingOrder="2"/>
    </xf>
    <xf numFmtId="0" fontId="29" fillId="40" borderId="0" xfId="3" applyFont="1" applyFill="1" applyBorder="1" applyAlignment="1" applyProtection="1">
      <alignment horizontal="center" vertical="center" wrapText="1" readingOrder="2"/>
    </xf>
    <xf numFmtId="0" fontId="29" fillId="43" borderId="31" xfId="0" applyFont="1" applyFill="1" applyBorder="1" applyAlignment="1">
      <alignment horizontal="center" vertical="center" wrapText="1" readingOrder="2"/>
    </xf>
    <xf numFmtId="5" fontId="26" fillId="37" borderId="32" xfId="15" applyNumberFormat="1" applyFont="1" applyFill="1" applyBorder="1" applyAlignment="1">
      <alignment horizontal="center" vertical="center" readingOrder="1"/>
    </xf>
    <xf numFmtId="0" fontId="29" fillId="43" borderId="33" xfId="0" applyFont="1" applyFill="1" applyBorder="1" applyAlignment="1">
      <alignment horizontal="center" vertical="center" wrapText="1" readingOrder="2"/>
    </xf>
    <xf numFmtId="5" fontId="26" fillId="37" borderId="34" xfId="15" applyNumberFormat="1" applyFont="1" applyFill="1" applyBorder="1" applyAlignment="1">
      <alignment horizontal="center" vertical="center" readingOrder="1"/>
    </xf>
    <xf numFmtId="0" fontId="23" fillId="0" borderId="0" xfId="0" applyFont="1" applyAlignment="1" applyProtection="1">
      <alignment horizontal="right" vertical="center" readingOrder="1"/>
      <protection locked="0"/>
    </xf>
    <xf numFmtId="0" fontId="23" fillId="0" borderId="0" xfId="0" applyFont="1" applyAlignment="1" applyProtection="1">
      <alignment horizontal="right" vertical="center"/>
      <protection locked="0"/>
    </xf>
    <xf numFmtId="0" fontId="29" fillId="43" borderId="35" xfId="0" applyFont="1" applyFill="1" applyBorder="1" applyAlignment="1">
      <alignment horizontal="center" vertical="center" wrapText="1" readingOrder="2"/>
    </xf>
    <xf numFmtId="5" fontId="26" fillId="43" borderId="36" xfId="15" applyNumberFormat="1" applyFont="1" applyFill="1" applyBorder="1" applyAlignment="1">
      <alignment horizontal="center" vertical="center" readingOrder="1"/>
    </xf>
    <xf numFmtId="10" fontId="26" fillId="43" borderId="38" xfId="16" applyNumberFormat="1" applyFont="1" applyFill="1" applyBorder="1" applyAlignment="1">
      <alignment horizontal="center" vertical="center"/>
    </xf>
    <xf numFmtId="0" fontId="36" fillId="43" borderId="37" xfId="0" applyFont="1" applyFill="1" applyBorder="1" applyAlignment="1">
      <alignment horizontal="center" vertical="center" wrapText="1" readingOrder="2"/>
    </xf>
    <xf numFmtId="0" fontId="36" fillId="43" borderId="18" xfId="0" applyFont="1" applyFill="1" applyBorder="1" applyAlignment="1">
      <alignment horizontal="center" vertical="center" wrapText="1" readingOrder="2"/>
    </xf>
    <xf numFmtId="0" fontId="31" fillId="0" borderId="0" xfId="0" applyFont="1" applyAlignment="1" applyProtection="1">
      <alignment horizontal="center" vertical="center" wrapText="1"/>
      <protection locked="0"/>
    </xf>
    <xf numFmtId="164" fontId="31" fillId="0" borderId="0" xfId="16" applyFont="1" applyBorder="1" applyAlignment="1" applyProtection="1">
      <alignment horizontal="center" vertical="center"/>
      <protection locked="0"/>
    </xf>
    <xf numFmtId="165" fontId="31" fillId="0" borderId="0" xfId="0" applyNumberFormat="1" applyFont="1" applyBorder="1" applyAlignment="1" applyProtection="1">
      <alignment horizontal="center" vertical="center" wrapText="1"/>
      <protection locked="0"/>
    </xf>
  </cellXfs>
  <cellStyles count="53">
    <cellStyle name="20% - הדגשה1" xfId="30" builtinId="30" customBuiltin="1"/>
    <cellStyle name="20% - הדגשה2" xfId="34" builtinId="34" customBuiltin="1"/>
    <cellStyle name="20% - הדגשה3" xfId="38" builtinId="38" customBuiltin="1"/>
    <cellStyle name="20% - הדגשה4" xfId="42" builtinId="42" customBuiltin="1"/>
    <cellStyle name="20% - הדגשה5" xfId="46" builtinId="46" customBuiltin="1"/>
    <cellStyle name="20% - הדגשה6" xfId="50" builtinId="50" customBuiltin="1"/>
    <cellStyle name="40% - הדגשה1" xfId="31" builtinId="31" customBuiltin="1"/>
    <cellStyle name="40% - הדגשה2" xfId="35" builtinId="35" customBuiltin="1"/>
    <cellStyle name="40% - הדגשה3" xfId="39" builtinId="39" customBuiltin="1"/>
    <cellStyle name="40% - הדגשה4" xfId="43" builtinId="43" customBuiltin="1"/>
    <cellStyle name="40% - הדגשה5" xfId="47" builtinId="47" customBuiltin="1"/>
    <cellStyle name="40% - הדגשה6" xfId="51" builtinId="51" customBuiltin="1"/>
    <cellStyle name="60% - הדגשה1" xfId="32" builtinId="32" customBuiltin="1"/>
    <cellStyle name="60% - הדגשה2" xfId="36" builtinId="36" customBuiltin="1"/>
    <cellStyle name="60% - הדגשה3" xfId="40" builtinId="40" customBuiltin="1"/>
    <cellStyle name="60% - הדגשה4" xfId="44" builtinId="44" customBuiltin="1"/>
    <cellStyle name="60% - הדגשה5" xfId="48" builtinId="48" customBuiltin="1"/>
    <cellStyle name="60% - הדגשה6" xfId="52" builtinId="52" customBuiltin="1"/>
    <cellStyle name="Comma" xfId="13" builtinId="3" customBuiltin="1"/>
    <cellStyle name="Currency" xfId="15" builtinId="4" customBuiltin="1"/>
    <cellStyle name="Normal" xfId="0" builtinId="0" customBuiltin="1"/>
    <cellStyle name="Percent" xfId="16" builtinId="5" customBuiltin="1"/>
    <cellStyle name="גבול ימני של נתונים סטטיסטיים חשובים" xfId="11" xr:uid="{00000000-0005-0000-0000-00000C000000}"/>
    <cellStyle name="הדגשה1" xfId="29" builtinId="29" customBuiltin="1"/>
    <cellStyle name="הדגשה2" xfId="33" builtinId="33" customBuiltin="1"/>
    <cellStyle name="הדגשה3" xfId="37" builtinId="37" customBuiltin="1"/>
    <cellStyle name="הדגשה4" xfId="41" builtinId="41" customBuiltin="1"/>
    <cellStyle name="הדגשה5" xfId="45" builtinId="45" customBuiltin="1"/>
    <cellStyle name="הדגשה6" xfId="49" builtinId="49" customBuiltin="1"/>
    <cellStyle name="היפר-קישור" xfId="6" builtinId="8" customBuiltin="1"/>
    <cellStyle name="היפר-קישור שהופעל" xfId="7" builtinId="9" customBuiltin="1"/>
    <cellStyle name="הערה" xfId="27" builtinId="10" customBuiltin="1"/>
    <cellStyle name="חישוב" xfId="23" builtinId="22" customBuiltin="1"/>
    <cellStyle name="טוב" xfId="18" builtinId="26" customBuiltin="1"/>
    <cellStyle name="טקסט אזהרה" xfId="26" builtinId="11" customBuiltin="1"/>
    <cellStyle name="טקסט הסברי" xfId="10"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כותרת טבלת סילוקין" xfId="9" xr:uid="{00000000-0005-0000-0000-000000000000}"/>
    <cellStyle name="מטבע [0]" xfId="17" builtinId="7" customBuiltin="1"/>
    <cellStyle name="ניטראלי" xfId="20" builtinId="28" customBuiltin="1"/>
    <cellStyle name="סה&quot;כ" xfId="28" builtinId="25" customBuiltin="1"/>
    <cellStyle name="פלט" xfId="22" builtinId="21" customBuiltin="1"/>
    <cellStyle name="פסיק [0]" xfId="14" builtinId="6" customBuiltin="1"/>
    <cellStyle name="קלט" xfId="21" builtinId="20" customBuiltin="1"/>
    <cellStyle name="רע" xfId="19" builtinId="27" customBuiltin="1"/>
    <cellStyle name="תא מסומן" xfId="25" builtinId="23" customBuiltin="1"/>
    <cellStyle name="תא מקושר" xfId="24" builtinId="24" customBuiltin="1"/>
    <cellStyle name="תאריך" xfId="8" xr:uid="{00000000-0005-0000-0000-000004000000}"/>
    <cellStyle name="תשלום הלוואה חודשי" xfId="12" xr:uid="{00000000-0005-0000-0000-00000D000000}"/>
  </cellStyles>
  <dxfs count="148">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strike val="0"/>
        <outline val="0"/>
        <shadow val="0"/>
        <u val="none"/>
        <vertAlign val="baseline"/>
        <sz val="8"/>
        <name val="Tahoma"/>
        <family val="2"/>
        <scheme val="none"/>
      </font>
      <alignment horizontal="center" vertical="center" textRotation="0" wrapText="0" indent="0" justifyLastLine="0" shrinkToFit="0" readingOrder="1"/>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wrapText="0" indent="0" justifyLastLine="0" shrinkToFit="0" readingOrder="1"/>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wrapText="0" indent="0" justifyLastLine="0" shrinkToFit="0" readingOrder="1"/>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wrapText="0" indent="0" justifyLastLine="0" shrinkToFit="0" readingOrder="1"/>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font>
        <b val="0"/>
        <i val="0"/>
        <strike val="0"/>
        <condense val="0"/>
        <extend val="0"/>
        <outline val="0"/>
        <shadow val="0"/>
        <u val="none"/>
        <vertAlign val="baseline"/>
        <sz val="10"/>
        <color theme="1" tint="0.34998626667073579"/>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tint="0.34998626667073579"/>
        <name val="Tahoma"/>
        <family val="2"/>
        <scheme val="none"/>
      </font>
      <numFmt numFmtId="9" formatCode="&quot;₪&quot;\ #,##0;&quot;₪&quot;\ \-#,##0"/>
      <alignment horizontal="center" vertical="center" textRotation="0" wrapText="0" indent="0" justifyLastLine="0" shrinkToFit="0" readingOrder="0"/>
    </dxf>
    <dxf>
      <font>
        <b val="0"/>
        <i val="0"/>
        <strike val="0"/>
        <condense val="0"/>
        <extend val="0"/>
        <outline val="0"/>
        <shadow val="0"/>
        <u val="none"/>
        <vertAlign val="baseline"/>
        <sz val="10"/>
        <color theme="1" tint="0.34998626667073579"/>
        <name val="Tahoma"/>
        <family val="2"/>
        <scheme val="none"/>
      </font>
      <numFmt numFmtId="9" formatCode="&quot;₪&quot;\ #,##0;&quot;₪&quot;\ \-#,##0"/>
      <alignment horizontal="center" vertical="center" textRotation="0" wrapText="0" indent="0" justifyLastLine="0" shrinkToFit="0" readingOrder="0"/>
    </dxf>
    <dxf>
      <font>
        <b val="0"/>
        <i val="0"/>
        <strike val="0"/>
        <condense val="0"/>
        <extend val="0"/>
        <outline val="0"/>
        <shadow val="0"/>
        <u val="none"/>
        <vertAlign val="baseline"/>
        <sz val="10"/>
        <color theme="1" tint="0.34998626667073579"/>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tint="0.34998626667073579"/>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tint="0.34998626667073579"/>
        <name val="Tahoma"/>
        <family val="2"/>
        <scheme val="none"/>
      </font>
      <alignment horizontal="center" vertical="center" textRotation="0" wrapText="1" indent="0" justifyLastLine="0" shrinkToFit="0" readingOrder="0"/>
    </dxf>
    <dxf>
      <font>
        <strike val="0"/>
        <outline val="0"/>
        <shadow val="0"/>
        <u val="none"/>
        <vertAlign val="baseline"/>
        <sz val="8"/>
        <name val="Tahoma"/>
        <family val="2"/>
        <scheme val="none"/>
      </font>
      <numFmt numFmtId="166" formatCode="#,##0_ ;\-#,##0\ "/>
      <alignment horizontal="center" vertical="center" textRotation="0" wrapText="0" indent="0" justifyLastLine="0" shrinkToFit="0" readingOrder="2"/>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strike val="0"/>
        <outline val="0"/>
        <shadow val="0"/>
        <u val="none"/>
        <vertAlign val="baseline"/>
        <sz val="8"/>
        <name val="Tahoma"/>
        <family val="2"/>
        <scheme val="none"/>
      </font>
      <numFmt numFmtId="19" formatCode="dd/mm/yyyy"/>
      <alignment horizontal="center" vertical="center" textRotation="0" wrapText="1" indent="0" justifyLastLine="0" shrinkToFit="0" readingOrder="2"/>
    </dxf>
    <dxf>
      <font>
        <b val="0"/>
        <i val="0"/>
        <strike val="0"/>
        <condense val="0"/>
        <extend val="0"/>
        <outline val="0"/>
        <shadow val="0"/>
        <u val="none"/>
        <vertAlign val="baseline"/>
        <sz val="11"/>
        <color theme="1" tint="0.34998626667073579"/>
        <name val="Tahoma"/>
        <family val="2"/>
        <scheme val="none"/>
      </font>
    </dxf>
    <dxf>
      <font>
        <strike val="0"/>
        <outline val="0"/>
        <shadow val="0"/>
        <u val="none"/>
        <vertAlign val="baseline"/>
        <sz val="8"/>
        <name val="Tahoma"/>
        <family val="2"/>
        <scheme val="none"/>
      </font>
      <numFmt numFmtId="166" formatCode="#,##0_ ;\-#,##0\ "/>
      <alignment horizontal="center" vertical="center" textRotation="0" wrapText="0" indent="0" justifyLastLine="0" shrinkToFit="0" readingOrder="2"/>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wrapText="0" indent="0" justifyLastLine="0" shrinkToFit="0" readingOrder="1"/>
    </dxf>
    <dxf>
      <font>
        <strike val="0"/>
        <outline val="0"/>
        <shadow val="0"/>
        <u val="none"/>
        <vertAlign val="baseline"/>
        <sz val="8"/>
        <name val="Tahoma"/>
        <family val="2"/>
        <scheme val="none"/>
      </font>
      <alignment horizontal="center" vertical="center" textRotation="0" indent="0" justifyLastLine="0" shrinkToFit="0"/>
    </dxf>
    <dxf>
      <font>
        <b val="0"/>
        <i val="0"/>
        <strike val="0"/>
        <condense val="0"/>
        <extend val="0"/>
        <outline val="0"/>
        <shadow val="0"/>
        <u val="none"/>
        <vertAlign val="baseline"/>
        <sz val="11"/>
        <color theme="1" tint="0.34998626667073579"/>
        <name val="Tahoma"/>
        <family val="2"/>
        <scheme val="none"/>
      </font>
      <numFmt numFmtId="166" formatCode="#,##0_ ;\-#,##0\ "/>
    </dxf>
    <dxf>
      <font>
        <strike val="0"/>
        <outline val="0"/>
        <shadow val="0"/>
        <u val="none"/>
        <vertAlign val="baseline"/>
        <sz val="8"/>
        <name val="Tahoma"/>
        <family val="2"/>
        <scheme val="none"/>
      </font>
      <numFmt numFmtId="166" formatCode="#,##0_ ;\-#,##0\ "/>
      <alignment horizontal="center" vertical="center" textRotation="0" indent="0" justifyLastLine="0" shrinkToFit="0"/>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right" vertical="bottom" textRotation="0" wrapText="1" indent="1" justifyLastLine="0" shrinkToFit="0" readingOrder="2"/>
      <protection locked="1" hidden="0"/>
    </dxf>
    <dxf>
      <font>
        <strike val="0"/>
        <outline val="0"/>
        <shadow val="0"/>
        <u val="none"/>
        <vertAlign val="baseline"/>
        <sz val="8"/>
        <name val="Tahoma"/>
        <family val="2"/>
        <scheme val="none"/>
      </font>
      <numFmt numFmtId="19" formatCode="dd/mm/yyyy"/>
      <alignment horizontal="center" vertical="center" textRotation="0" wrapText="1" indent="0" justifyLastLine="0" shrinkToFit="0" readingOrder="2"/>
    </dxf>
    <dxf>
      <font>
        <b val="0"/>
        <i val="0"/>
        <strike val="0"/>
        <condense val="0"/>
        <extend val="0"/>
        <outline val="0"/>
        <shadow val="0"/>
        <u val="none"/>
        <vertAlign val="baseline"/>
        <sz val="11"/>
        <color theme="1" tint="0.34998626667073579"/>
        <name val="Tahoma"/>
        <family val="2"/>
        <scheme val="none"/>
      </font>
    </dxf>
    <dxf>
      <font>
        <strike val="0"/>
        <outline val="0"/>
        <shadow val="0"/>
        <u val="none"/>
        <vertAlign val="baseline"/>
        <sz val="8"/>
        <name val="Tahoma"/>
        <family val="2"/>
        <scheme val="none"/>
      </font>
      <numFmt numFmtId="166" formatCode="#,##0_ ;\-#,##0\ "/>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protection locked="1" hidden="0"/>
    </dxf>
    <dxf>
      <font>
        <strike val="0"/>
        <outline val="0"/>
        <shadow val="0"/>
        <u val="none"/>
        <vertAlign val="baseline"/>
        <sz val="8"/>
        <name val="Tahoma"/>
        <family val="2"/>
        <scheme val="none"/>
      </font>
      <alignment horizontal="center" vertical="center" textRotation="0" indent="0" justifyLastLine="0" shrinkToFit="0"/>
    </dxf>
    <dxf>
      <font>
        <b val="0"/>
        <i val="0"/>
        <strike val="0"/>
        <condense val="0"/>
        <extend val="0"/>
        <outline val="0"/>
        <shadow val="0"/>
        <u val="none"/>
        <vertAlign val="baseline"/>
        <sz val="11"/>
        <color theme="1" tint="0.34998626667073579"/>
        <name val="Tahoma"/>
        <family val="2"/>
        <scheme val="none"/>
      </font>
      <numFmt numFmtId="166" formatCode="#,##0_ ;\-#,##0\ "/>
    </dxf>
    <dxf>
      <font>
        <strike val="0"/>
        <outline val="0"/>
        <shadow val="0"/>
        <u val="none"/>
        <vertAlign val="baseline"/>
        <sz val="8"/>
        <name val="Tahoma"/>
        <family val="2"/>
        <scheme val="none"/>
      </font>
      <numFmt numFmtId="166" formatCode="#,##0_ ;\-#,##0\ "/>
      <alignment horizontal="center" vertical="center" textRotation="0" indent="0" justifyLastLine="0" shrinkToFit="0"/>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strike val="0"/>
        <outline val="0"/>
        <shadow val="0"/>
        <u val="none"/>
        <vertAlign val="baseline"/>
        <sz val="8"/>
        <name val="Tahoma"/>
        <family val="2"/>
        <scheme val="none"/>
      </font>
      <numFmt numFmtId="19" formatCode="dd/mm/yyyy"/>
      <alignment horizontal="center" vertical="center" textRotation="0" wrapText="1" indent="0" justifyLastLine="0" shrinkToFit="0" readingOrder="2"/>
    </dxf>
    <dxf>
      <font>
        <b val="0"/>
        <i val="0"/>
        <strike val="0"/>
        <condense val="0"/>
        <extend val="0"/>
        <outline val="0"/>
        <shadow val="0"/>
        <u val="none"/>
        <vertAlign val="baseline"/>
        <sz val="11"/>
        <color theme="1" tint="0.34998626667073579"/>
        <name val="Tahoma"/>
        <family val="2"/>
        <scheme val="none"/>
      </font>
    </dxf>
    <dxf>
      <font>
        <strike val="0"/>
        <outline val="0"/>
        <shadow val="0"/>
        <u val="none"/>
        <vertAlign val="baseline"/>
        <sz val="8"/>
        <name val="Tahoma"/>
        <family val="2"/>
        <scheme val="none"/>
      </font>
      <numFmt numFmtId="166" formatCode="#,##0_ ;\-#,##0\ "/>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protection locked="1" hidden="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alignment horizontal="center" vertical="center" textRotation="0" wrapText="0" indent="0" justifyLastLine="0" shrinkToFit="0" readingOrder="1"/>
    </dxf>
    <dxf>
      <font>
        <strike val="0"/>
        <outline val="0"/>
        <shadow val="0"/>
        <u val="none"/>
        <vertAlign val="baseline"/>
        <sz val="8"/>
        <name val="Tahoma"/>
        <family val="2"/>
        <scheme val="none"/>
      </font>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right" vertical="bottom" textRotation="0" wrapText="1" indent="1" justifyLastLine="0" shrinkToFit="0" readingOrder="2"/>
      <protection locked="1" hidden="0"/>
    </dxf>
    <dxf>
      <font>
        <strike val="0"/>
        <outline val="0"/>
        <shadow val="0"/>
        <u val="none"/>
        <vertAlign val="baseline"/>
        <sz val="8"/>
        <name val="Tahoma"/>
        <family val="2"/>
        <scheme val="none"/>
      </font>
      <numFmt numFmtId="19" formatCode="dd/mm/yyyy"/>
      <alignment horizontal="center" vertical="center" textRotation="0" wrapText="1" indent="0" justifyLastLine="0" shrinkToFit="0" readingOrder="2"/>
    </dxf>
    <dxf>
      <font>
        <b val="0"/>
        <i val="0"/>
        <strike val="0"/>
        <condense val="0"/>
        <extend val="0"/>
        <outline val="0"/>
        <shadow val="0"/>
        <u val="none"/>
        <vertAlign val="baseline"/>
        <sz val="11"/>
        <color theme="1" tint="0.34998626667073579"/>
        <name val="Tahoma"/>
        <family val="2"/>
        <scheme val="none"/>
      </font>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protection locked="1" hidden="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numFmt numFmtId="166" formatCode="#,##0_ ;\-#,##0\ "/>
      <alignment horizontal="center" vertical="center" textRotation="0" indent="0" justifyLastLine="0" shrinkToFit="0"/>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b val="0"/>
        <i val="0"/>
        <strike val="0"/>
        <condense val="0"/>
        <extend val="0"/>
        <outline val="0"/>
        <shadow val="0"/>
        <u val="none"/>
        <vertAlign val="baseline"/>
        <sz val="11"/>
        <color theme="1" tint="0.34998626667073579"/>
        <name val="Tahoma"/>
        <family val="2"/>
        <scheme val="none"/>
      </font>
      <numFmt numFmtId="0" formatCode="General"/>
      <alignment horizontal="left" vertical="bottom"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strike val="0"/>
        <outline val="0"/>
        <shadow val="0"/>
        <u val="none"/>
        <vertAlign val="baseline"/>
        <sz val="8"/>
        <name val="Tahoma"/>
        <family val="2"/>
        <scheme val="none"/>
      </font>
      <numFmt numFmtId="9" formatCode="&quot;₪&quot;\ #,##0;&quot;₪&quot;\ \-#,##0"/>
      <alignment horizontal="center" vertical="center" textRotation="0" wrapText="0" indent="0" justifyLastLine="0" shrinkToFit="0" readingOrder="1"/>
    </dxf>
    <dxf>
      <font>
        <strike val="0"/>
        <outline val="0"/>
        <shadow val="0"/>
        <u val="none"/>
        <vertAlign val="baseline"/>
        <sz val="8"/>
        <name val="Tahoma"/>
        <family val="2"/>
        <scheme val="none"/>
      </font>
      <numFmt numFmtId="19" formatCode="dd/mm/yyyy"/>
      <alignment horizontal="center" vertical="center" textRotation="0" wrapText="1" indent="0" justifyLastLine="0" shrinkToFit="0" readingOrder="2"/>
    </dxf>
    <dxf>
      <font>
        <b val="0"/>
        <i val="0"/>
        <strike val="0"/>
        <condense val="0"/>
        <extend val="0"/>
        <outline val="0"/>
        <shadow val="0"/>
        <u val="none"/>
        <vertAlign val="baseline"/>
        <sz val="11"/>
        <color theme="1" tint="0.34998626667073579"/>
        <name val="Tahoma"/>
        <family val="2"/>
        <scheme val="none"/>
      </font>
    </dxf>
    <dxf>
      <font>
        <strike val="0"/>
        <outline val="0"/>
        <shadow val="0"/>
        <u val="none"/>
        <vertAlign val="baseline"/>
        <sz val="8"/>
        <name val="Tahoma"/>
        <family val="2"/>
        <scheme val="none"/>
      </font>
      <numFmt numFmtId="166" formatCode="#,##0_ ;\-#,##0\ "/>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protection locked="1" hidden="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protection locked="0" hidden="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protection locked="0" hidden="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protection locked="0" hidden="0"/>
    </dxf>
    <dxf>
      <font>
        <strike val="0"/>
        <outline val="0"/>
        <shadow val="0"/>
        <u val="none"/>
        <vertAlign val="baseline"/>
        <sz val="8"/>
        <name val="Tahoma"/>
        <family val="2"/>
        <scheme val="none"/>
      </font>
      <alignment horizontal="center" vertical="center" textRotation="0" indent="0" justifyLastLine="0" shrinkToFit="0"/>
      <protection locked="0" hidden="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protection locked="0" hidden="0"/>
    </dxf>
    <dxf>
      <font>
        <strike val="0"/>
        <outline val="0"/>
        <shadow val="0"/>
        <u val="none"/>
        <vertAlign val="baseline"/>
        <sz val="8"/>
        <name val="Tahoma"/>
        <family val="2"/>
        <scheme val="none"/>
      </font>
      <alignment horizontal="center" vertical="center" textRotation="0" indent="0" justifyLastLine="0" shrinkToFit="0"/>
      <protection locked="0" hidden="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wrapText="0" indent="0" justifyLastLine="0" shrinkToFit="0" readingOrder="0"/>
    </dxf>
    <dxf>
      <protection locked="0" hidden="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protection locked="0" hidden="0"/>
    </dxf>
    <dxf>
      <font>
        <strike val="0"/>
        <outline val="0"/>
        <shadow val="0"/>
        <u val="none"/>
        <vertAlign val="baseline"/>
        <sz val="8"/>
        <name val="Tahoma"/>
        <family val="2"/>
        <scheme val="none"/>
      </font>
      <alignment horizontal="center" vertical="center" textRotation="0" indent="0" justifyLastLine="0" shrinkToFit="0"/>
    </dxf>
    <dxf>
      <font>
        <strike val="0"/>
        <outline val="0"/>
        <shadow val="0"/>
        <u val="none"/>
        <vertAlign val="baseline"/>
        <sz val="8"/>
        <name val="Tahoma"/>
        <family val="2"/>
        <scheme val="none"/>
      </font>
      <alignment horizontal="center" vertical="center" textRotation="0" indent="0" justifyLastLine="0" shrinkToFit="0"/>
    </dxf>
    <dxf>
      <font>
        <b val="0"/>
        <i val="0"/>
        <color theme="5" tint="-0.24994659260841701"/>
      </font>
      <border>
        <right style="thick">
          <color theme="0"/>
        </right>
      </border>
    </dxf>
    <dxf>
      <font>
        <b val="0"/>
        <i val="0"/>
        <color theme="5" tint="-0.24994659260841701"/>
      </font>
      <fill>
        <patternFill patternType="solid">
          <bgColor theme="2"/>
        </patternFill>
      </fill>
    </dxf>
    <dxf>
      <font>
        <b/>
        <i val="0"/>
        <color theme="0"/>
      </font>
      <fill>
        <patternFill>
          <bgColor theme="5" tint="-0.24994659260841701"/>
        </patternFill>
      </fill>
      <border>
        <left style="thick">
          <color theme="0"/>
        </left>
        <top style="thick">
          <color theme="0"/>
        </top>
      </border>
    </dxf>
    <dxf>
      <font>
        <b val="0"/>
        <i val="0"/>
        <color auto="1"/>
      </font>
      <fill>
        <patternFill patternType="solid">
          <bgColor theme="2"/>
        </patternFill>
      </fill>
      <border diagonalUp="0" diagonalDown="0">
        <left/>
        <right/>
        <top style="thick">
          <color theme="0"/>
        </top>
        <bottom style="thin">
          <color theme="0" tint="-0.14996795556505021"/>
        </bottom>
        <vertical/>
        <horizontal style="thin">
          <color theme="0" tint="-0.14996795556505021"/>
        </horizontal>
      </border>
    </dxf>
  </dxfs>
  <tableStyles count="1" defaultPivotStyle="PivotStyleLight16">
    <tableStyle name="מחשבון משכנתה" pivot="0" count="4" xr9:uid="{00000000-0011-0000-FFFF-FFFF00000000}">
      <tableStyleElement type="wholeTable" dxfId="147"/>
      <tableStyleElement type="headerRow" dxfId="146"/>
      <tableStyleElement type="lastColumn" dxfId="145"/>
      <tableStyleElement type="secondColumnStripe" dxfId="144"/>
    </tableStyle>
  </tableStyles>
  <colors>
    <mruColors>
      <color rgb="FFEAEAEA"/>
      <color rgb="FF3366FF"/>
      <color rgb="FF1F0BB5"/>
      <color rgb="FF7878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he-IL" b="0">
                <a:latin typeface="Tahoma" panose="020B0604030504040204" pitchFamily="34" charset="0"/>
                <a:ea typeface="Tahoma" panose="020B0604030504040204" pitchFamily="34" charset="0"/>
                <a:cs typeface="Tahoma" panose="020B0604030504040204" pitchFamily="34" charset="0"/>
              </a:rPr>
              <a:t>יחס החזר - קרן </a:t>
            </a:r>
            <a:r>
              <a:rPr lang="en-US" b="0">
                <a:latin typeface="Tahoma" panose="020B0604030504040204" pitchFamily="34" charset="0"/>
                <a:ea typeface="Tahoma" panose="020B0604030504040204" pitchFamily="34" charset="0"/>
                <a:cs typeface="Tahoma" panose="020B0604030504040204" pitchFamily="34" charset="0"/>
              </a:rPr>
              <a:t>VS</a:t>
            </a:r>
            <a:r>
              <a:rPr lang="he-IL" b="0">
                <a:latin typeface="Tahoma" panose="020B0604030504040204" pitchFamily="34" charset="0"/>
                <a:ea typeface="Tahoma" panose="020B0604030504040204" pitchFamily="34" charset="0"/>
                <a:cs typeface="Tahoma" panose="020B0604030504040204" pitchFamily="34" charset="0"/>
              </a:rPr>
              <a:t> ריבית</a:t>
            </a:r>
          </a:p>
        </c:rich>
      </c:tx>
      <c:layout>
        <c:manualLayout>
          <c:xMode val="edge"/>
          <c:yMode val="edge"/>
          <c:x val="0.35669832651140715"/>
          <c:y val="4.4123545928600079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he-IL"/>
        </a:p>
      </c:txPr>
    </c:title>
    <c:autoTitleDeleted val="0"/>
    <c:plotArea>
      <c:layout/>
      <c:lineChart>
        <c:grouping val="standard"/>
        <c:varyColors val="0"/>
        <c:ser>
          <c:idx val="0"/>
          <c:order val="0"/>
          <c:tx>
            <c:strRef>
              <c:f>' טבלת סילוקין - מסכמת'!$E$3</c:f>
              <c:strCache>
                <c:ptCount val="1"/>
                <c:pt idx="0">
                  <c:v>ריבית</c:v>
                </c:pt>
              </c:strCache>
            </c:strRef>
          </c:tx>
          <c:spPr>
            <a:ln w="34925" cap="rnd">
              <a:solidFill>
                <a:schemeClr val="accent3">
                  <a:lumMod val="75000"/>
                </a:schemeClr>
              </a:solidFill>
              <a:round/>
            </a:ln>
            <a:effectLst>
              <a:outerShdw blurRad="40000" dist="23000" dir="5400000" rotWithShape="0">
                <a:srgbClr val="000000">
                  <a:alpha val="35000"/>
                </a:srgbClr>
              </a:outerShdw>
            </a:effectLst>
          </c:spPr>
          <c:marker>
            <c:symbol val="none"/>
          </c:marker>
          <c:cat>
            <c:numRef>
              <c:f>' טבלת סילוקין - מסכמת'!$C$4:$C$363</c:f>
              <c:numCache>
                <c:formatCode>m/d/yyyy</c:formatCode>
                <c:ptCount val="360"/>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pt idx="13">
                  <c:v>45778</c:v>
                </c:pt>
                <c:pt idx="14">
                  <c:v>45809</c:v>
                </c:pt>
                <c:pt idx="15">
                  <c:v>45839</c:v>
                </c:pt>
                <c:pt idx="16">
                  <c:v>45870</c:v>
                </c:pt>
                <c:pt idx="17">
                  <c:v>45901</c:v>
                </c:pt>
                <c:pt idx="18">
                  <c:v>45931</c:v>
                </c:pt>
                <c:pt idx="19">
                  <c:v>45962</c:v>
                </c:pt>
                <c:pt idx="20">
                  <c:v>45992</c:v>
                </c:pt>
                <c:pt idx="21">
                  <c:v>46023</c:v>
                </c:pt>
                <c:pt idx="22">
                  <c:v>46054</c:v>
                </c:pt>
                <c:pt idx="23">
                  <c:v>46082</c:v>
                </c:pt>
                <c:pt idx="24">
                  <c:v>46113</c:v>
                </c:pt>
                <c:pt idx="25">
                  <c:v>46143</c:v>
                </c:pt>
                <c:pt idx="26">
                  <c:v>46174</c:v>
                </c:pt>
                <c:pt idx="27">
                  <c:v>46204</c:v>
                </c:pt>
                <c:pt idx="28">
                  <c:v>46235</c:v>
                </c:pt>
                <c:pt idx="29">
                  <c:v>46266</c:v>
                </c:pt>
                <c:pt idx="30">
                  <c:v>46296</c:v>
                </c:pt>
                <c:pt idx="31">
                  <c:v>46327</c:v>
                </c:pt>
                <c:pt idx="32">
                  <c:v>46357</c:v>
                </c:pt>
                <c:pt idx="33">
                  <c:v>46388</c:v>
                </c:pt>
                <c:pt idx="34">
                  <c:v>46419</c:v>
                </c:pt>
                <c:pt idx="35">
                  <c:v>46447</c:v>
                </c:pt>
                <c:pt idx="36">
                  <c:v>46478</c:v>
                </c:pt>
                <c:pt idx="37">
                  <c:v>46508</c:v>
                </c:pt>
                <c:pt idx="38">
                  <c:v>46539</c:v>
                </c:pt>
                <c:pt idx="39">
                  <c:v>46569</c:v>
                </c:pt>
                <c:pt idx="40">
                  <c:v>46600</c:v>
                </c:pt>
                <c:pt idx="41">
                  <c:v>46631</c:v>
                </c:pt>
                <c:pt idx="42">
                  <c:v>46661</c:v>
                </c:pt>
                <c:pt idx="43">
                  <c:v>46692</c:v>
                </c:pt>
                <c:pt idx="44">
                  <c:v>46722</c:v>
                </c:pt>
                <c:pt idx="45">
                  <c:v>46753</c:v>
                </c:pt>
                <c:pt idx="46">
                  <c:v>46784</c:v>
                </c:pt>
                <c:pt idx="47">
                  <c:v>46813</c:v>
                </c:pt>
                <c:pt idx="48">
                  <c:v>46844</c:v>
                </c:pt>
                <c:pt idx="49">
                  <c:v>46874</c:v>
                </c:pt>
                <c:pt idx="50">
                  <c:v>46905</c:v>
                </c:pt>
                <c:pt idx="51">
                  <c:v>46935</c:v>
                </c:pt>
                <c:pt idx="52">
                  <c:v>46966</c:v>
                </c:pt>
                <c:pt idx="53">
                  <c:v>46997</c:v>
                </c:pt>
                <c:pt idx="54">
                  <c:v>47027</c:v>
                </c:pt>
                <c:pt idx="55">
                  <c:v>47058</c:v>
                </c:pt>
                <c:pt idx="56">
                  <c:v>47088</c:v>
                </c:pt>
                <c:pt idx="57">
                  <c:v>47119</c:v>
                </c:pt>
                <c:pt idx="58">
                  <c:v>47150</c:v>
                </c:pt>
                <c:pt idx="59">
                  <c:v>47178</c:v>
                </c:pt>
                <c:pt idx="60">
                  <c:v>47209</c:v>
                </c:pt>
                <c:pt idx="61">
                  <c:v>47239</c:v>
                </c:pt>
                <c:pt idx="62">
                  <c:v>47270</c:v>
                </c:pt>
                <c:pt idx="63">
                  <c:v>47300</c:v>
                </c:pt>
                <c:pt idx="64">
                  <c:v>47331</c:v>
                </c:pt>
                <c:pt idx="65">
                  <c:v>47362</c:v>
                </c:pt>
                <c:pt idx="66">
                  <c:v>47392</c:v>
                </c:pt>
                <c:pt idx="67">
                  <c:v>47423</c:v>
                </c:pt>
                <c:pt idx="68">
                  <c:v>47453</c:v>
                </c:pt>
                <c:pt idx="69">
                  <c:v>47484</c:v>
                </c:pt>
                <c:pt idx="70">
                  <c:v>47515</c:v>
                </c:pt>
                <c:pt idx="71">
                  <c:v>47543</c:v>
                </c:pt>
                <c:pt idx="72">
                  <c:v>47574</c:v>
                </c:pt>
                <c:pt idx="73">
                  <c:v>47604</c:v>
                </c:pt>
                <c:pt idx="74">
                  <c:v>47635</c:v>
                </c:pt>
                <c:pt idx="75">
                  <c:v>47665</c:v>
                </c:pt>
                <c:pt idx="76">
                  <c:v>47696</c:v>
                </c:pt>
                <c:pt idx="77">
                  <c:v>47727</c:v>
                </c:pt>
                <c:pt idx="78">
                  <c:v>47757</c:v>
                </c:pt>
                <c:pt idx="79">
                  <c:v>47788</c:v>
                </c:pt>
                <c:pt idx="80">
                  <c:v>47818</c:v>
                </c:pt>
                <c:pt idx="81">
                  <c:v>47849</c:v>
                </c:pt>
                <c:pt idx="82">
                  <c:v>47880</c:v>
                </c:pt>
                <c:pt idx="83">
                  <c:v>47908</c:v>
                </c:pt>
                <c:pt idx="84">
                  <c:v>47939</c:v>
                </c:pt>
                <c:pt idx="85">
                  <c:v>47969</c:v>
                </c:pt>
                <c:pt idx="86">
                  <c:v>48000</c:v>
                </c:pt>
                <c:pt idx="87">
                  <c:v>48030</c:v>
                </c:pt>
                <c:pt idx="88">
                  <c:v>48061</c:v>
                </c:pt>
                <c:pt idx="89">
                  <c:v>48092</c:v>
                </c:pt>
                <c:pt idx="90">
                  <c:v>48122</c:v>
                </c:pt>
                <c:pt idx="91">
                  <c:v>48153</c:v>
                </c:pt>
                <c:pt idx="92">
                  <c:v>48183</c:v>
                </c:pt>
                <c:pt idx="93">
                  <c:v>48214</c:v>
                </c:pt>
                <c:pt idx="94">
                  <c:v>48245</c:v>
                </c:pt>
                <c:pt idx="95">
                  <c:v>48274</c:v>
                </c:pt>
                <c:pt idx="96">
                  <c:v>48305</c:v>
                </c:pt>
                <c:pt idx="97">
                  <c:v>48335</c:v>
                </c:pt>
                <c:pt idx="98">
                  <c:v>48366</c:v>
                </c:pt>
                <c:pt idx="99">
                  <c:v>48396</c:v>
                </c:pt>
                <c:pt idx="100">
                  <c:v>48427</c:v>
                </c:pt>
                <c:pt idx="101">
                  <c:v>48458</c:v>
                </c:pt>
                <c:pt idx="102">
                  <c:v>48488</c:v>
                </c:pt>
                <c:pt idx="103">
                  <c:v>48519</c:v>
                </c:pt>
                <c:pt idx="104">
                  <c:v>48549</c:v>
                </c:pt>
                <c:pt idx="105">
                  <c:v>48580</c:v>
                </c:pt>
                <c:pt idx="106">
                  <c:v>48611</c:v>
                </c:pt>
                <c:pt idx="107">
                  <c:v>48639</c:v>
                </c:pt>
                <c:pt idx="108">
                  <c:v>48670</c:v>
                </c:pt>
                <c:pt idx="109">
                  <c:v>48700</c:v>
                </c:pt>
                <c:pt idx="110">
                  <c:v>48731</c:v>
                </c:pt>
                <c:pt idx="111">
                  <c:v>48761</c:v>
                </c:pt>
                <c:pt idx="112">
                  <c:v>48792</c:v>
                </c:pt>
                <c:pt idx="113">
                  <c:v>48823</c:v>
                </c:pt>
                <c:pt idx="114">
                  <c:v>48853</c:v>
                </c:pt>
                <c:pt idx="115">
                  <c:v>48884</c:v>
                </c:pt>
                <c:pt idx="116">
                  <c:v>48914</c:v>
                </c:pt>
                <c:pt idx="117">
                  <c:v>48945</c:v>
                </c:pt>
                <c:pt idx="118">
                  <c:v>48976</c:v>
                </c:pt>
                <c:pt idx="119">
                  <c:v>49004</c:v>
                </c:pt>
                <c:pt idx="120">
                  <c:v>49035</c:v>
                </c:pt>
                <c:pt idx="121">
                  <c:v>49065</c:v>
                </c:pt>
                <c:pt idx="122">
                  <c:v>49096</c:v>
                </c:pt>
                <c:pt idx="123">
                  <c:v>49126</c:v>
                </c:pt>
                <c:pt idx="124">
                  <c:v>49157</c:v>
                </c:pt>
                <c:pt idx="125">
                  <c:v>49188</c:v>
                </c:pt>
                <c:pt idx="126">
                  <c:v>49218</c:v>
                </c:pt>
                <c:pt idx="127">
                  <c:v>49249</c:v>
                </c:pt>
                <c:pt idx="128">
                  <c:v>49279</c:v>
                </c:pt>
                <c:pt idx="129">
                  <c:v>49310</c:v>
                </c:pt>
                <c:pt idx="130">
                  <c:v>49341</c:v>
                </c:pt>
                <c:pt idx="131">
                  <c:v>49369</c:v>
                </c:pt>
                <c:pt idx="132">
                  <c:v>49400</c:v>
                </c:pt>
                <c:pt idx="133">
                  <c:v>49430</c:v>
                </c:pt>
                <c:pt idx="134">
                  <c:v>49461</c:v>
                </c:pt>
                <c:pt idx="135">
                  <c:v>49491</c:v>
                </c:pt>
                <c:pt idx="136">
                  <c:v>49522</c:v>
                </c:pt>
                <c:pt idx="137">
                  <c:v>49553</c:v>
                </c:pt>
                <c:pt idx="138">
                  <c:v>49583</c:v>
                </c:pt>
                <c:pt idx="139">
                  <c:v>49614</c:v>
                </c:pt>
                <c:pt idx="140">
                  <c:v>49644</c:v>
                </c:pt>
                <c:pt idx="141">
                  <c:v>49675</c:v>
                </c:pt>
                <c:pt idx="142">
                  <c:v>49706</c:v>
                </c:pt>
                <c:pt idx="143">
                  <c:v>49735</c:v>
                </c:pt>
                <c:pt idx="144">
                  <c:v>49766</c:v>
                </c:pt>
                <c:pt idx="145">
                  <c:v>49796</c:v>
                </c:pt>
                <c:pt idx="146">
                  <c:v>49827</c:v>
                </c:pt>
                <c:pt idx="147">
                  <c:v>49857</c:v>
                </c:pt>
                <c:pt idx="148">
                  <c:v>49888</c:v>
                </c:pt>
                <c:pt idx="149">
                  <c:v>49919</c:v>
                </c:pt>
                <c:pt idx="150">
                  <c:v>49949</c:v>
                </c:pt>
                <c:pt idx="151">
                  <c:v>49980</c:v>
                </c:pt>
                <c:pt idx="152">
                  <c:v>50010</c:v>
                </c:pt>
                <c:pt idx="153">
                  <c:v>50041</c:v>
                </c:pt>
                <c:pt idx="154">
                  <c:v>50072</c:v>
                </c:pt>
                <c:pt idx="155">
                  <c:v>50100</c:v>
                </c:pt>
                <c:pt idx="156">
                  <c:v>50131</c:v>
                </c:pt>
                <c:pt idx="157">
                  <c:v>50161</c:v>
                </c:pt>
                <c:pt idx="158">
                  <c:v>50192</c:v>
                </c:pt>
                <c:pt idx="159">
                  <c:v>50222</c:v>
                </c:pt>
                <c:pt idx="160">
                  <c:v>50253</c:v>
                </c:pt>
                <c:pt idx="161">
                  <c:v>50284</c:v>
                </c:pt>
                <c:pt idx="162">
                  <c:v>50314</c:v>
                </c:pt>
                <c:pt idx="163">
                  <c:v>50345</c:v>
                </c:pt>
                <c:pt idx="164">
                  <c:v>50375</c:v>
                </c:pt>
                <c:pt idx="165">
                  <c:v>50406</c:v>
                </c:pt>
                <c:pt idx="166">
                  <c:v>50437</c:v>
                </c:pt>
                <c:pt idx="167">
                  <c:v>50465</c:v>
                </c:pt>
                <c:pt idx="168">
                  <c:v>50496</c:v>
                </c:pt>
                <c:pt idx="169">
                  <c:v>50526</c:v>
                </c:pt>
                <c:pt idx="170">
                  <c:v>50557</c:v>
                </c:pt>
                <c:pt idx="171">
                  <c:v>50587</c:v>
                </c:pt>
                <c:pt idx="172">
                  <c:v>50618</c:v>
                </c:pt>
                <c:pt idx="173">
                  <c:v>50649</c:v>
                </c:pt>
                <c:pt idx="174">
                  <c:v>50679</c:v>
                </c:pt>
                <c:pt idx="175">
                  <c:v>50710</c:v>
                </c:pt>
                <c:pt idx="176">
                  <c:v>50740</c:v>
                </c:pt>
                <c:pt idx="177">
                  <c:v>50771</c:v>
                </c:pt>
                <c:pt idx="178">
                  <c:v>50802</c:v>
                </c:pt>
                <c:pt idx="179">
                  <c:v>50830</c:v>
                </c:pt>
                <c:pt idx="180">
                  <c:v>50861</c:v>
                </c:pt>
                <c:pt idx="181">
                  <c:v>50891</c:v>
                </c:pt>
                <c:pt idx="182">
                  <c:v>50922</c:v>
                </c:pt>
                <c:pt idx="183">
                  <c:v>50952</c:v>
                </c:pt>
                <c:pt idx="184">
                  <c:v>50983</c:v>
                </c:pt>
                <c:pt idx="185">
                  <c:v>51014</c:v>
                </c:pt>
                <c:pt idx="186">
                  <c:v>51044</c:v>
                </c:pt>
                <c:pt idx="187">
                  <c:v>51075</c:v>
                </c:pt>
                <c:pt idx="188">
                  <c:v>51105</c:v>
                </c:pt>
                <c:pt idx="189">
                  <c:v>51136</c:v>
                </c:pt>
                <c:pt idx="190">
                  <c:v>51167</c:v>
                </c:pt>
                <c:pt idx="191">
                  <c:v>51196</c:v>
                </c:pt>
                <c:pt idx="192">
                  <c:v>51227</c:v>
                </c:pt>
                <c:pt idx="193">
                  <c:v>51257</c:v>
                </c:pt>
                <c:pt idx="194">
                  <c:v>51288</c:v>
                </c:pt>
                <c:pt idx="195">
                  <c:v>51318</c:v>
                </c:pt>
                <c:pt idx="196">
                  <c:v>51349</c:v>
                </c:pt>
                <c:pt idx="197">
                  <c:v>51380</c:v>
                </c:pt>
                <c:pt idx="198">
                  <c:v>51410</c:v>
                </c:pt>
                <c:pt idx="199">
                  <c:v>51441</c:v>
                </c:pt>
                <c:pt idx="200">
                  <c:v>51471</c:v>
                </c:pt>
                <c:pt idx="201">
                  <c:v>51502</c:v>
                </c:pt>
                <c:pt idx="202">
                  <c:v>51533</c:v>
                </c:pt>
                <c:pt idx="203">
                  <c:v>51561</c:v>
                </c:pt>
                <c:pt idx="204">
                  <c:v>51592</c:v>
                </c:pt>
                <c:pt idx="205">
                  <c:v>51622</c:v>
                </c:pt>
                <c:pt idx="206">
                  <c:v>51653</c:v>
                </c:pt>
                <c:pt idx="207">
                  <c:v>51683</c:v>
                </c:pt>
                <c:pt idx="208">
                  <c:v>51714</c:v>
                </c:pt>
                <c:pt idx="209">
                  <c:v>51745</c:v>
                </c:pt>
                <c:pt idx="210">
                  <c:v>51775</c:v>
                </c:pt>
                <c:pt idx="211">
                  <c:v>51806</c:v>
                </c:pt>
                <c:pt idx="212">
                  <c:v>51836</c:v>
                </c:pt>
                <c:pt idx="213">
                  <c:v>51867</c:v>
                </c:pt>
                <c:pt idx="214">
                  <c:v>51898</c:v>
                </c:pt>
                <c:pt idx="215">
                  <c:v>51926</c:v>
                </c:pt>
                <c:pt idx="216">
                  <c:v>51957</c:v>
                </c:pt>
                <c:pt idx="217">
                  <c:v>51987</c:v>
                </c:pt>
                <c:pt idx="218">
                  <c:v>52018</c:v>
                </c:pt>
                <c:pt idx="219">
                  <c:v>52048</c:v>
                </c:pt>
                <c:pt idx="220">
                  <c:v>52079</c:v>
                </c:pt>
                <c:pt idx="221">
                  <c:v>52110</c:v>
                </c:pt>
                <c:pt idx="222">
                  <c:v>52140</c:v>
                </c:pt>
                <c:pt idx="223">
                  <c:v>52171</c:v>
                </c:pt>
                <c:pt idx="224">
                  <c:v>52201</c:v>
                </c:pt>
                <c:pt idx="225">
                  <c:v>52232</c:v>
                </c:pt>
                <c:pt idx="226">
                  <c:v>52263</c:v>
                </c:pt>
                <c:pt idx="227">
                  <c:v>52291</c:v>
                </c:pt>
                <c:pt idx="228">
                  <c:v>52322</c:v>
                </c:pt>
                <c:pt idx="229">
                  <c:v>52352</c:v>
                </c:pt>
                <c:pt idx="230">
                  <c:v>52383</c:v>
                </c:pt>
                <c:pt idx="231">
                  <c:v>52413</c:v>
                </c:pt>
                <c:pt idx="232">
                  <c:v>52444</c:v>
                </c:pt>
                <c:pt idx="233">
                  <c:v>52475</c:v>
                </c:pt>
                <c:pt idx="234">
                  <c:v>52505</c:v>
                </c:pt>
                <c:pt idx="235">
                  <c:v>52536</c:v>
                </c:pt>
                <c:pt idx="236">
                  <c:v>52566</c:v>
                </c:pt>
                <c:pt idx="237">
                  <c:v>52597</c:v>
                </c:pt>
                <c:pt idx="238">
                  <c:v>52628</c:v>
                </c:pt>
                <c:pt idx="239">
                  <c:v>52657</c:v>
                </c:pt>
                <c:pt idx="240">
                  <c:v>52688</c:v>
                </c:pt>
                <c:pt idx="241">
                  <c:v>52718</c:v>
                </c:pt>
                <c:pt idx="242">
                  <c:v>52749</c:v>
                </c:pt>
                <c:pt idx="243">
                  <c:v>52779</c:v>
                </c:pt>
                <c:pt idx="244">
                  <c:v>52810</c:v>
                </c:pt>
                <c:pt idx="245">
                  <c:v>52841</c:v>
                </c:pt>
                <c:pt idx="246">
                  <c:v>52871</c:v>
                </c:pt>
                <c:pt idx="247">
                  <c:v>52902</c:v>
                </c:pt>
                <c:pt idx="248">
                  <c:v>52932</c:v>
                </c:pt>
                <c:pt idx="249">
                  <c:v>52963</c:v>
                </c:pt>
                <c:pt idx="250">
                  <c:v>52994</c:v>
                </c:pt>
                <c:pt idx="251">
                  <c:v>53022</c:v>
                </c:pt>
                <c:pt idx="252">
                  <c:v>53053</c:v>
                </c:pt>
                <c:pt idx="253">
                  <c:v>53083</c:v>
                </c:pt>
                <c:pt idx="254">
                  <c:v>53114</c:v>
                </c:pt>
                <c:pt idx="255">
                  <c:v>53144</c:v>
                </c:pt>
                <c:pt idx="256">
                  <c:v>53175</c:v>
                </c:pt>
                <c:pt idx="257">
                  <c:v>53206</c:v>
                </c:pt>
                <c:pt idx="258">
                  <c:v>53236</c:v>
                </c:pt>
                <c:pt idx="259">
                  <c:v>53267</c:v>
                </c:pt>
                <c:pt idx="260">
                  <c:v>53297</c:v>
                </c:pt>
                <c:pt idx="261">
                  <c:v>53328</c:v>
                </c:pt>
                <c:pt idx="262">
                  <c:v>53359</c:v>
                </c:pt>
                <c:pt idx="263">
                  <c:v>53387</c:v>
                </c:pt>
                <c:pt idx="264">
                  <c:v>53418</c:v>
                </c:pt>
                <c:pt idx="265">
                  <c:v>53448</c:v>
                </c:pt>
                <c:pt idx="266">
                  <c:v>53479</c:v>
                </c:pt>
                <c:pt idx="267">
                  <c:v>53509</c:v>
                </c:pt>
                <c:pt idx="268">
                  <c:v>53540</c:v>
                </c:pt>
                <c:pt idx="269">
                  <c:v>53571</c:v>
                </c:pt>
                <c:pt idx="270">
                  <c:v>53601</c:v>
                </c:pt>
                <c:pt idx="271">
                  <c:v>53632</c:v>
                </c:pt>
                <c:pt idx="272">
                  <c:v>53662</c:v>
                </c:pt>
                <c:pt idx="273">
                  <c:v>53693</c:v>
                </c:pt>
                <c:pt idx="274">
                  <c:v>53724</c:v>
                </c:pt>
                <c:pt idx="275">
                  <c:v>53752</c:v>
                </c:pt>
                <c:pt idx="276">
                  <c:v>53783</c:v>
                </c:pt>
                <c:pt idx="277">
                  <c:v>53813</c:v>
                </c:pt>
                <c:pt idx="278">
                  <c:v>53844</c:v>
                </c:pt>
                <c:pt idx="279">
                  <c:v>53874</c:v>
                </c:pt>
                <c:pt idx="280">
                  <c:v>53905</c:v>
                </c:pt>
                <c:pt idx="281">
                  <c:v>53936</c:v>
                </c:pt>
                <c:pt idx="282">
                  <c:v>53966</c:v>
                </c:pt>
                <c:pt idx="283">
                  <c:v>53997</c:v>
                </c:pt>
                <c:pt idx="284">
                  <c:v>54027</c:v>
                </c:pt>
                <c:pt idx="285">
                  <c:v>54058</c:v>
                </c:pt>
                <c:pt idx="286">
                  <c:v>54089</c:v>
                </c:pt>
                <c:pt idx="287">
                  <c:v>54118</c:v>
                </c:pt>
                <c:pt idx="288">
                  <c:v>54149</c:v>
                </c:pt>
                <c:pt idx="289">
                  <c:v>54179</c:v>
                </c:pt>
                <c:pt idx="290">
                  <c:v>54210</c:v>
                </c:pt>
                <c:pt idx="291">
                  <c:v>54240</c:v>
                </c:pt>
                <c:pt idx="292">
                  <c:v>54271</c:v>
                </c:pt>
                <c:pt idx="293">
                  <c:v>54302</c:v>
                </c:pt>
                <c:pt idx="294">
                  <c:v>54332</c:v>
                </c:pt>
                <c:pt idx="295">
                  <c:v>54363</c:v>
                </c:pt>
                <c:pt idx="296">
                  <c:v>54393</c:v>
                </c:pt>
                <c:pt idx="297">
                  <c:v>54424</c:v>
                </c:pt>
                <c:pt idx="298">
                  <c:v>54455</c:v>
                </c:pt>
                <c:pt idx="299">
                  <c:v>54483</c:v>
                </c:pt>
                <c:pt idx="300">
                  <c:v>54514</c:v>
                </c:pt>
                <c:pt idx="301">
                  <c:v>54544</c:v>
                </c:pt>
                <c:pt idx="302">
                  <c:v>54575</c:v>
                </c:pt>
                <c:pt idx="303">
                  <c:v>54605</c:v>
                </c:pt>
                <c:pt idx="304">
                  <c:v>54636</c:v>
                </c:pt>
                <c:pt idx="305">
                  <c:v>54667</c:v>
                </c:pt>
                <c:pt idx="306">
                  <c:v>54697</c:v>
                </c:pt>
                <c:pt idx="307">
                  <c:v>54728</c:v>
                </c:pt>
                <c:pt idx="308">
                  <c:v>54758</c:v>
                </c:pt>
                <c:pt idx="309">
                  <c:v>54789</c:v>
                </c:pt>
                <c:pt idx="310">
                  <c:v>54820</c:v>
                </c:pt>
                <c:pt idx="311">
                  <c:v>54848</c:v>
                </c:pt>
                <c:pt idx="312">
                  <c:v>54879</c:v>
                </c:pt>
                <c:pt idx="313">
                  <c:v>54909</c:v>
                </c:pt>
                <c:pt idx="314">
                  <c:v>54940</c:v>
                </c:pt>
                <c:pt idx="315">
                  <c:v>54970</c:v>
                </c:pt>
                <c:pt idx="316">
                  <c:v>55001</c:v>
                </c:pt>
                <c:pt idx="317">
                  <c:v>55032</c:v>
                </c:pt>
                <c:pt idx="318">
                  <c:v>55062</c:v>
                </c:pt>
                <c:pt idx="319">
                  <c:v>55093</c:v>
                </c:pt>
                <c:pt idx="320">
                  <c:v>55123</c:v>
                </c:pt>
                <c:pt idx="321">
                  <c:v>55154</c:v>
                </c:pt>
                <c:pt idx="322">
                  <c:v>55185</c:v>
                </c:pt>
                <c:pt idx="323">
                  <c:v>55213</c:v>
                </c:pt>
                <c:pt idx="324">
                  <c:v>55244</c:v>
                </c:pt>
                <c:pt idx="325">
                  <c:v>55274</c:v>
                </c:pt>
                <c:pt idx="326">
                  <c:v>55305</c:v>
                </c:pt>
                <c:pt idx="327">
                  <c:v>55335</c:v>
                </c:pt>
                <c:pt idx="328">
                  <c:v>55366</c:v>
                </c:pt>
                <c:pt idx="329">
                  <c:v>55397</c:v>
                </c:pt>
                <c:pt idx="330">
                  <c:v>55427</c:v>
                </c:pt>
                <c:pt idx="331">
                  <c:v>55458</c:v>
                </c:pt>
                <c:pt idx="332">
                  <c:v>55488</c:v>
                </c:pt>
                <c:pt idx="333">
                  <c:v>55519</c:v>
                </c:pt>
                <c:pt idx="334">
                  <c:v>55550</c:v>
                </c:pt>
                <c:pt idx="335">
                  <c:v>55579</c:v>
                </c:pt>
                <c:pt idx="336">
                  <c:v>55610</c:v>
                </c:pt>
                <c:pt idx="337">
                  <c:v>55640</c:v>
                </c:pt>
                <c:pt idx="338">
                  <c:v>55671</c:v>
                </c:pt>
                <c:pt idx="339">
                  <c:v>55701</c:v>
                </c:pt>
                <c:pt idx="340">
                  <c:v>55732</c:v>
                </c:pt>
                <c:pt idx="341">
                  <c:v>55763</c:v>
                </c:pt>
                <c:pt idx="342">
                  <c:v>55793</c:v>
                </c:pt>
                <c:pt idx="343">
                  <c:v>55824</c:v>
                </c:pt>
                <c:pt idx="344">
                  <c:v>55854</c:v>
                </c:pt>
                <c:pt idx="345">
                  <c:v>55885</c:v>
                </c:pt>
                <c:pt idx="346">
                  <c:v>55916</c:v>
                </c:pt>
                <c:pt idx="347">
                  <c:v>55944</c:v>
                </c:pt>
                <c:pt idx="348">
                  <c:v>55975</c:v>
                </c:pt>
                <c:pt idx="349">
                  <c:v>56005</c:v>
                </c:pt>
                <c:pt idx="350">
                  <c:v>56036</c:v>
                </c:pt>
                <c:pt idx="351">
                  <c:v>56066</c:v>
                </c:pt>
                <c:pt idx="352">
                  <c:v>56097</c:v>
                </c:pt>
                <c:pt idx="353">
                  <c:v>56128</c:v>
                </c:pt>
                <c:pt idx="354">
                  <c:v>56158</c:v>
                </c:pt>
                <c:pt idx="355">
                  <c:v>56189</c:v>
                </c:pt>
                <c:pt idx="356">
                  <c:v>56219</c:v>
                </c:pt>
                <c:pt idx="357">
                  <c:v>56250</c:v>
                </c:pt>
                <c:pt idx="358">
                  <c:v>56281</c:v>
                </c:pt>
                <c:pt idx="359">
                  <c:v>56309</c:v>
                </c:pt>
              </c:numCache>
            </c:numRef>
          </c:cat>
          <c:val>
            <c:numRef>
              <c:f>' טבלת סילוקין - מסכמת'!$E$4:$E$363</c:f>
              <c:numCache>
                <c:formatCode>"₪"#,##0_);\("₪"#,##0\)</c:formatCode>
                <c:ptCount val="360"/>
                <c:pt idx="0">
                  <c:v>4016.6666666666665</c:v>
                </c:pt>
                <c:pt idx="1">
                  <c:v>4006.1866878484157</c:v>
                </c:pt>
                <c:pt idx="2">
                  <c:v>4000.9115937873803</c:v>
                </c:pt>
                <c:pt idx="3">
                  <c:v>3995.6129631880435</c:v>
                </c:pt>
                <c:pt idx="4">
                  <c:v>3990.2906954445034</c:v>
                </c:pt>
                <c:pt idx="5">
                  <c:v>3984.9446895262113</c:v>
                </c:pt>
                <c:pt idx="6">
                  <c:v>3979.5748439761883</c:v>
                </c:pt>
                <c:pt idx="7">
                  <c:v>3974.1810569092213</c:v>
                </c:pt>
                <c:pt idx="8">
                  <c:v>3968.7632260100613</c:v>
                </c:pt>
                <c:pt idx="9">
                  <c:v>3963.3212485316089</c:v>
                </c:pt>
                <c:pt idx="10">
                  <c:v>3957.8550212930973</c:v>
                </c:pt>
                <c:pt idx="11">
                  <c:v>3952.3644406782564</c:v>
                </c:pt>
                <c:pt idx="12">
                  <c:v>3946.8494026334861</c:v>
                </c:pt>
                <c:pt idx="13">
                  <c:v>3941.3098026660041</c:v>
                </c:pt>
                <c:pt idx="14">
                  <c:v>3935.7455358420011</c:v>
                </c:pt>
                <c:pt idx="15">
                  <c:v>3930.1564967847771</c:v>
                </c:pt>
                <c:pt idx="16">
                  <c:v>3924.5425796728732</c:v>
                </c:pt>
                <c:pt idx="17">
                  <c:v>3918.9036782382022</c:v>
                </c:pt>
                <c:pt idx="18">
                  <c:v>3913.2396857641579</c:v>
                </c:pt>
                <c:pt idx="19">
                  <c:v>3907.5504950837289</c:v>
                </c:pt>
                <c:pt idx="20">
                  <c:v>3901.8359985775996</c:v>
                </c:pt>
                <c:pt idx="21">
                  <c:v>3896.0960881722376</c:v>
                </c:pt>
                <c:pt idx="22">
                  <c:v>3890.3306553379862</c:v>
                </c:pt>
                <c:pt idx="23">
                  <c:v>3884.5395910871343</c:v>
                </c:pt>
                <c:pt idx="24">
                  <c:v>3878.7227859719856</c:v>
                </c:pt>
                <c:pt idx="25">
                  <c:v>3872.8801300829246</c:v>
                </c:pt>
                <c:pt idx="26">
                  <c:v>3867.0115130464624</c:v>
                </c:pt>
                <c:pt idx="27">
                  <c:v>3861.1168240232823</c:v>
                </c:pt>
                <c:pt idx="28">
                  <c:v>3855.1959517062742</c:v>
                </c:pt>
                <c:pt idx="29">
                  <c:v>3849.2487843185663</c:v>
                </c:pt>
                <c:pt idx="30">
                  <c:v>3843.275209611536</c:v>
                </c:pt>
                <c:pt idx="31">
                  <c:v>3837.2751148628272</c:v>
                </c:pt>
                <c:pt idx="32">
                  <c:v>3831.2483868743498</c:v>
                </c:pt>
                <c:pt idx="33">
                  <c:v>3825.1949119702704</c:v>
                </c:pt>
                <c:pt idx="34">
                  <c:v>3819.1145759950027</c:v>
                </c:pt>
                <c:pt idx="35">
                  <c:v>3813.0072643111771</c:v>
                </c:pt>
                <c:pt idx="36">
                  <c:v>3806.8728617976149</c:v>
                </c:pt>
                <c:pt idx="37">
                  <c:v>3800.7112528472835</c:v>
                </c:pt>
                <c:pt idx="38">
                  <c:v>3794.5223213652471</c:v>
                </c:pt>
                <c:pt idx="39">
                  <c:v>3788.3059507666112</c:v>
                </c:pt>
                <c:pt idx="40">
                  <c:v>3782.0620239744521</c:v>
                </c:pt>
                <c:pt idx="41">
                  <c:v>3775.7904234177422</c:v>
                </c:pt>
                <c:pt idx="42">
                  <c:v>3769.4910310292676</c:v>
                </c:pt>
                <c:pt idx="43">
                  <c:v>3763.1637282435308</c:v>
                </c:pt>
                <c:pt idx="44">
                  <c:v>3756.8083959946539</c:v>
                </c:pt>
                <c:pt idx="45">
                  <c:v>3750.4249147142609</c:v>
                </c:pt>
                <c:pt idx="46">
                  <c:v>3744.0131643293603</c:v>
                </c:pt>
                <c:pt idx="47">
                  <c:v>3737.5730242602203</c:v>
                </c:pt>
                <c:pt idx="48">
                  <c:v>3731.1043734182217</c:v>
                </c:pt>
                <c:pt idx="49">
                  <c:v>3724.6070902037172</c:v>
                </c:pt>
                <c:pt idx="50">
                  <c:v>3718.0810525038751</c:v>
                </c:pt>
                <c:pt idx="51">
                  <c:v>3711.5261376905082</c:v>
                </c:pt>
                <c:pt idx="52">
                  <c:v>3704.9422226179026</c:v>
                </c:pt>
                <c:pt idx="53">
                  <c:v>3698.3291836206358</c:v>
                </c:pt>
                <c:pt idx="54">
                  <c:v>3691.6868965113795</c:v>
                </c:pt>
                <c:pt idx="55">
                  <c:v>3685.0152365786976</c:v>
                </c:pt>
                <c:pt idx="56">
                  <c:v>3678.3140785848359</c:v>
                </c:pt>
                <c:pt idx="57">
                  <c:v>3671.5832967634988</c:v>
                </c:pt>
                <c:pt idx="58">
                  <c:v>3664.8227648176194</c:v>
                </c:pt>
                <c:pt idx="59">
                  <c:v>3658.0323559171197</c:v>
                </c:pt>
                <c:pt idx="60">
                  <c:v>3651.2119426966569</c:v>
                </c:pt>
                <c:pt idx="61">
                  <c:v>3644.3613972533694</c:v>
                </c:pt>
                <c:pt idx="62">
                  <c:v>3637.4805911446056</c:v>
                </c:pt>
                <c:pt idx="63">
                  <c:v>3630.5693953856407</c:v>
                </c:pt>
                <c:pt idx="64">
                  <c:v>3623.6276804473969</c:v>
                </c:pt>
                <c:pt idx="65">
                  <c:v>3616.6553162541363</c:v>
                </c:pt>
                <c:pt idx="66">
                  <c:v>3609.6521721811587</c:v>
                </c:pt>
                <c:pt idx="67">
                  <c:v>3602.6181170524819</c:v>
                </c:pt>
                <c:pt idx="68">
                  <c:v>3595.5530191385133</c:v>
                </c:pt>
                <c:pt idx="69">
                  <c:v>3588.4567461537135</c:v>
                </c:pt>
                <c:pt idx="70">
                  <c:v>3581.329165254248</c:v>
                </c:pt>
                <c:pt idx="71">
                  <c:v>3574.1701430356288</c:v>
                </c:pt>
                <c:pt idx="72">
                  <c:v>3566.9795455303492</c:v>
                </c:pt>
                <c:pt idx="73">
                  <c:v>3559.7572382055046</c:v>
                </c:pt>
                <c:pt idx="74">
                  <c:v>3552.5030859604021</c:v>
                </c:pt>
                <c:pt idx="75">
                  <c:v>3545.216953124168</c:v>
                </c:pt>
                <c:pt idx="76">
                  <c:v>3537.8987034533338</c:v>
                </c:pt>
                <c:pt idx="77">
                  <c:v>3530.5482001294222</c:v>
                </c:pt>
                <c:pt idx="78">
                  <c:v>3523.1653057565145</c:v>
                </c:pt>
                <c:pt idx="79">
                  <c:v>3515.7498823588135</c:v>
                </c:pt>
                <c:pt idx="80">
                  <c:v>3508.3017913781955</c:v>
                </c:pt>
                <c:pt idx="81">
                  <c:v>3500.8208936717442</c:v>
                </c:pt>
                <c:pt idx="82">
                  <c:v>3493.307049509287</c:v>
                </c:pt>
                <c:pt idx="83">
                  <c:v>3485.7601185709091</c:v>
                </c:pt>
                <c:pt idx="84">
                  <c:v>3478.1799599444639</c:v>
                </c:pt>
                <c:pt idx="85">
                  <c:v>3470.5664321230697</c:v>
                </c:pt>
                <c:pt idx="86">
                  <c:v>3462.9193930025976</c:v>
                </c:pt>
                <c:pt idx="87">
                  <c:v>3455.2386998791453</c:v>
                </c:pt>
                <c:pt idx="88">
                  <c:v>3447.5242094465066</c:v>
                </c:pt>
                <c:pt idx="89">
                  <c:v>3439.7757777936204</c:v>
                </c:pt>
                <c:pt idx="90">
                  <c:v>3431.9932604020173</c:v>
                </c:pt>
                <c:pt idx="91">
                  <c:v>3424.1765121432559</c:v>
                </c:pt>
                <c:pt idx="92">
                  <c:v>3416.3253872763366</c:v>
                </c:pt>
                <c:pt idx="93">
                  <c:v>3408.4397394451171</c:v>
                </c:pt>
                <c:pt idx="94">
                  <c:v>3400.5194216757136</c:v>
                </c:pt>
                <c:pt idx="95">
                  <c:v>3392.5642863738826</c:v>
                </c:pt>
                <c:pt idx="96">
                  <c:v>3384.5741853224067</c:v>
                </c:pt>
                <c:pt idx="97">
                  <c:v>3376.5489696784534</c:v>
                </c:pt>
                <c:pt idx="98">
                  <c:v>3368.4884899709332</c:v>
                </c:pt>
                <c:pt idx="99">
                  <c:v>3360.3925960978418</c:v>
                </c:pt>
                <c:pt idx="100">
                  <c:v>3352.2611373235918</c:v>
                </c:pt>
                <c:pt idx="101">
                  <c:v>3344.0939622763372</c:v>
                </c:pt>
                <c:pt idx="102">
                  <c:v>3335.8909189452743</c:v>
                </c:pt>
                <c:pt idx="103">
                  <c:v>3327.6518546779466</c:v>
                </c:pt>
                <c:pt idx="104">
                  <c:v>3319.3766161775284</c:v>
                </c:pt>
                <c:pt idx="105">
                  <c:v>3311.0650495000941</c:v>
                </c:pt>
                <c:pt idx="106">
                  <c:v>3302.7170000518904</c:v>
                </c:pt>
                <c:pt idx="107">
                  <c:v>3294.3323125865777</c:v>
                </c:pt>
                <c:pt idx="108">
                  <c:v>3285.9108312024737</c:v>
                </c:pt>
                <c:pt idx="109">
                  <c:v>3277.4523993397784</c:v>
                </c:pt>
                <c:pt idx="110">
                  <c:v>3268.9568597777902</c:v>
                </c:pt>
                <c:pt idx="111">
                  <c:v>3260.4240546321098</c:v>
                </c:pt>
                <c:pt idx="112">
                  <c:v>3251.8538253518277</c:v>
                </c:pt>
                <c:pt idx="113">
                  <c:v>3243.2460127167064</c:v>
                </c:pt>
                <c:pt idx="114">
                  <c:v>3234.600456834346</c:v>
                </c:pt>
                <c:pt idx="115">
                  <c:v>3225.9169971373371</c:v>
                </c:pt>
                <c:pt idx="116">
                  <c:v>3217.1954723804051</c:v>
                </c:pt>
                <c:pt idx="117">
                  <c:v>3208.4357206375407</c:v>
                </c:pt>
                <c:pt idx="118">
                  <c:v>3199.6375792991116</c:v>
                </c:pt>
                <c:pt idx="119">
                  <c:v>3190.8008850689748</c:v>
                </c:pt>
                <c:pt idx="120">
                  <c:v>3181.9254739615658</c:v>
                </c:pt>
                <c:pt idx="121">
                  <c:v>3173.0111812989753</c:v>
                </c:pt>
                <c:pt idx="122">
                  <c:v>3164.0578417080219</c:v>
                </c:pt>
                <c:pt idx="123">
                  <c:v>3155.0652891173054</c:v>
                </c:pt>
                <c:pt idx="124">
                  <c:v>3146.0333567542402</c:v>
                </c:pt>
                <c:pt idx="125">
                  <c:v>3136.9618771420987</c:v>
                </c:pt>
                <c:pt idx="126">
                  <c:v>3127.8506820970147</c:v>
                </c:pt>
                <c:pt idx="127">
                  <c:v>3118.6996027249925</c:v>
                </c:pt>
                <c:pt idx="128">
                  <c:v>3109.5084694188963</c:v>
                </c:pt>
                <c:pt idx="129">
                  <c:v>3100.2771118554228</c:v>
                </c:pt>
                <c:pt idx="130">
                  <c:v>3091.0053589920713</c:v>
                </c:pt>
                <c:pt idx="131">
                  <c:v>3081.69303906409</c:v>
                </c:pt>
                <c:pt idx="132">
                  <c:v>3072.3399795814144</c:v>
                </c:pt>
                <c:pt idx="133">
                  <c:v>3062.9460073255887</c:v>
                </c:pt>
                <c:pt idx="134">
                  <c:v>3053.5109483466808</c:v>
                </c:pt>
                <c:pt idx="135">
                  <c:v>3044.0346279601754</c:v>
                </c:pt>
                <c:pt idx="136">
                  <c:v>3034.5168707438561</c:v>
                </c:pt>
                <c:pt idx="137">
                  <c:v>3024.957500534681</c:v>
                </c:pt>
                <c:pt idx="138">
                  <c:v>3015.3563404256324</c:v>
                </c:pt>
                <c:pt idx="139">
                  <c:v>3005.7132127625609</c:v>
                </c:pt>
                <c:pt idx="140">
                  <c:v>2996.0279391410145</c:v>
                </c:pt>
                <c:pt idx="141">
                  <c:v>2986.3003404030524</c:v>
                </c:pt>
                <c:pt idx="142">
                  <c:v>2976.5302366340452</c:v>
                </c:pt>
                <c:pt idx="143">
                  <c:v>2966.717447159459</c:v>
                </c:pt>
                <c:pt idx="144">
                  <c:v>2956.8617905416327</c:v>
                </c:pt>
                <c:pt idx="145">
                  <c:v>2946.9630845765291</c:v>
                </c:pt>
                <c:pt idx="146">
                  <c:v>2937.0211462904822</c:v>
                </c:pt>
                <c:pt idx="147">
                  <c:v>2927.0357919369258</c:v>
                </c:pt>
                <c:pt idx="148">
                  <c:v>2917.0068369931087</c:v>
                </c:pt>
                <c:pt idx="149">
                  <c:v>2906.9340961567905</c:v>
                </c:pt>
                <c:pt idx="150">
                  <c:v>2896.8173833429328</c:v>
                </c:pt>
                <c:pt idx="151">
                  <c:v>2886.6565116803645</c:v>
                </c:pt>
                <c:pt idx="152">
                  <c:v>2876.4512935084408</c:v>
                </c:pt>
                <c:pt idx="153">
                  <c:v>2866.2015403736818</c:v>
                </c:pt>
                <c:pt idx="154">
                  <c:v>2855.9070630263996</c:v>
                </c:pt>
                <c:pt idx="155">
                  <c:v>2845.5676714173082</c:v>
                </c:pt>
                <c:pt idx="156">
                  <c:v>2835.1831746941184</c:v>
                </c:pt>
                <c:pt idx="157">
                  <c:v>2824.7533811981202</c:v>
                </c:pt>
                <c:pt idx="158">
                  <c:v>2814.2780984607434</c:v>
                </c:pt>
                <c:pt idx="159">
                  <c:v>2803.7571332001116</c:v>
                </c:pt>
                <c:pt idx="160">
                  <c:v>2793.1902913175713</c:v>
                </c:pt>
                <c:pt idx="161">
                  <c:v>2782.5773778942139</c:v>
                </c:pt>
                <c:pt idx="162">
                  <c:v>2771.918197187375</c:v>
                </c:pt>
                <c:pt idx="163">
                  <c:v>2761.2125526271202</c:v>
                </c:pt>
                <c:pt idx="164">
                  <c:v>2750.4602468127196</c:v>
                </c:pt>
                <c:pt idx="165">
                  <c:v>2739.6610815090958</c:v>
                </c:pt>
                <c:pt idx="166">
                  <c:v>2728.8148576432673</c:v>
                </c:pt>
                <c:pt idx="167">
                  <c:v>2717.9213753007666</c:v>
                </c:pt>
                <c:pt idx="168">
                  <c:v>2706.9804337220462</c:v>
                </c:pt>
                <c:pt idx="169">
                  <c:v>2695.9918312988675</c:v>
                </c:pt>
                <c:pt idx="170">
                  <c:v>2684.9553655706732</c:v>
                </c:pt>
                <c:pt idx="171">
                  <c:v>2673.8708332209389</c:v>
                </c:pt>
                <c:pt idx="172">
                  <c:v>2662.7380300735163</c:v>
                </c:pt>
                <c:pt idx="173">
                  <c:v>2651.5567510889491</c:v>
                </c:pt>
                <c:pt idx="174">
                  <c:v>2640.3267903607812</c:v>
                </c:pt>
                <c:pt idx="175">
                  <c:v>2629.0479411118372</c:v>
                </c:pt>
                <c:pt idx="176">
                  <c:v>2617.7199956904983</c:v>
                </c:pt>
                <c:pt idx="177">
                  <c:v>2606.342745566948</c:v>
                </c:pt>
                <c:pt idx="178">
                  <c:v>2594.9159813294063</c:v>
                </c:pt>
                <c:pt idx="179">
                  <c:v>2583.4394926803479</c:v>
                </c:pt>
                <c:pt idx="180">
                  <c:v>2571.913068432696</c:v>
                </c:pt>
                <c:pt idx="181">
                  <c:v>2560.3364965060036</c:v>
                </c:pt>
                <c:pt idx="182">
                  <c:v>2548.7095639226122</c:v>
                </c:pt>
                <c:pt idx="183">
                  <c:v>2537.0320568037941</c:v>
                </c:pt>
                <c:pt idx="184">
                  <c:v>2525.3037603658777</c:v>
                </c:pt>
                <c:pt idx="185">
                  <c:v>2513.5244589163476</c:v>
                </c:pt>
                <c:pt idx="186">
                  <c:v>2501.6939358499317</c:v>
                </c:pt>
                <c:pt idx="187">
                  <c:v>2489.811973644667</c:v>
                </c:pt>
                <c:pt idx="188">
                  <c:v>2477.8783538579437</c:v>
                </c:pt>
                <c:pt idx="189">
                  <c:v>2465.8928571225329</c:v>
                </c:pt>
                <c:pt idx="190">
                  <c:v>2453.8552631425905</c:v>
                </c:pt>
                <c:pt idx="191">
                  <c:v>2441.7653506896449</c:v>
                </c:pt>
                <c:pt idx="192">
                  <c:v>2429.6228975985614</c:v>
                </c:pt>
                <c:pt idx="193">
                  <c:v>2417.4276807634851</c:v>
                </c:pt>
                <c:pt idx="194">
                  <c:v>2405.1794761337655</c:v>
                </c:pt>
                <c:pt idx="195">
                  <c:v>2392.8780587098599</c:v>
                </c:pt>
                <c:pt idx="196">
                  <c:v>2380.5232025392097</c:v>
                </c:pt>
                <c:pt idx="197">
                  <c:v>2368.1146807121027</c:v>
                </c:pt>
                <c:pt idx="198">
                  <c:v>2355.6522653575075</c:v>
                </c:pt>
                <c:pt idx="199">
                  <c:v>2343.1357276388881</c:v>
                </c:pt>
                <c:pt idx="200">
                  <c:v>2330.5648377499938</c:v>
                </c:pt>
                <c:pt idx="201">
                  <c:v>2317.9393649106269</c:v>
                </c:pt>
                <c:pt idx="202">
                  <c:v>2305.2590773623879</c:v>
                </c:pt>
                <c:pt idx="203">
                  <c:v>2292.5237423643948</c:v>
                </c:pt>
                <c:pt idx="204">
                  <c:v>2279.7331261889776</c:v>
                </c:pt>
                <c:pt idx="205">
                  <c:v>2266.8869941173507</c:v>
                </c:pt>
                <c:pt idx="206">
                  <c:v>2253.9851104352579</c:v>
                </c:pt>
                <c:pt idx="207">
                  <c:v>2241.0272384285913</c:v>
                </c:pt>
                <c:pt idx="208">
                  <c:v>2228.0131403789865</c:v>
                </c:pt>
                <c:pt idx="209">
                  <c:v>2214.9425775593872</c:v>
                </c:pt>
                <c:pt idx="210">
                  <c:v>2201.8153102295855</c:v>
                </c:pt>
                <c:pt idx="211">
                  <c:v>2188.6310976317327</c:v>
                </c:pt>
                <c:pt idx="212">
                  <c:v>2175.3896979858237</c:v>
                </c:pt>
                <c:pt idx="213">
                  <c:v>2162.0908684851456</c:v>
                </c:pt>
                <c:pt idx="214">
                  <c:v>2148.734365291707</c:v>
                </c:pt>
                <c:pt idx="215">
                  <c:v>2135.3199435316274</c:v>
                </c:pt>
                <c:pt idx="216">
                  <c:v>2121.8473572904977</c:v>
                </c:pt>
                <c:pt idx="217">
                  <c:v>2108.3163596087093</c:v>
                </c:pt>
                <c:pt idx="218">
                  <c:v>2094.7267024767507</c:v>
                </c:pt>
                <c:pt idx="219">
                  <c:v>2081.078136830467</c:v>
                </c:pt>
                <c:pt idx="220">
                  <c:v>2067.3704125462864</c:v>
                </c:pt>
                <c:pt idx="221">
                  <c:v>2053.6032784364079</c:v>
                </c:pt>
                <c:pt idx="222">
                  <c:v>2039.7764822439538</c:v>
                </c:pt>
                <c:pt idx="223">
                  <c:v>2025.8897706380828</c:v>
                </c:pt>
                <c:pt idx="224">
                  <c:v>2011.9428892090611</c:v>
                </c:pt>
                <c:pt idx="225">
                  <c:v>1997.9355824632928</c:v>
                </c:pt>
                <c:pt idx="226">
                  <c:v>1983.8675938183078</c:v>
                </c:pt>
                <c:pt idx="227">
                  <c:v>1969.7386655977029</c:v>
                </c:pt>
                <c:pt idx="228">
                  <c:v>1955.5485390260374</c:v>
                </c:pt>
                <c:pt idx="229">
                  <c:v>1941.2969542236788</c:v>
                </c:pt>
                <c:pt idx="230">
                  <c:v>1926.9836502015978</c:v>
                </c:pt>
                <c:pt idx="231">
                  <c:v>1912.6083648561116</c:v>
                </c:pt>
                <c:pt idx="232">
                  <c:v>1898.1708349635664</c:v>
                </c:pt>
                <c:pt idx="233">
                  <c:v>1883.6707961749671</c:v>
                </c:pt>
                <c:pt idx="234">
                  <c:v>1869.1079830105425</c:v>
                </c:pt>
                <c:pt idx="235">
                  <c:v>1854.4821288542446</c:v>
                </c:pt>
                <c:pt idx="236">
                  <c:v>1839.7929659481817</c:v>
                </c:pt>
                <c:pt idx="237">
                  <c:v>1825.0402253869786</c:v>
                </c:pt>
                <c:pt idx="238">
                  <c:v>1810.2236371120578</c:v>
                </c:pt>
                <c:pt idx="239">
                  <c:v>1795.3429299058453</c:v>
                </c:pt>
                <c:pt idx="240">
                  <c:v>1780.3978313858829</c:v>
                </c:pt>
                <c:pt idx="241">
                  <c:v>1765.3880679988551</c:v>
                </c:pt>
                <c:pt idx="242">
                  <c:v>1750.3133650145153</c:v>
                </c:pt>
                <c:pt idx="243">
                  <c:v>1735.1734465195043</c:v>
                </c:pt>
                <c:pt idx="244">
                  <c:v>1719.9680354110646</c:v>
                </c:pt>
                <c:pt idx="245">
                  <c:v>1704.6968533906252</c:v>
                </c:pt>
                <c:pt idx="246">
                  <c:v>1689.3596209572636</c:v>
                </c:pt>
                <c:pt idx="247">
                  <c:v>1673.9560574010247</c:v>
                </c:pt>
                <c:pt idx="248">
                  <c:v>1658.4858807960888</c:v>
                </c:pt>
                <c:pt idx="249">
                  <c:v>1642.9488079937773</c:v>
                </c:pt>
                <c:pt idx="250">
                  <c:v>1627.3445546153789</c:v>
                </c:pt>
                <c:pt idx="251">
                  <c:v>1611.672835044782</c:v>
                </c:pt>
                <c:pt idx="252">
                  <c:v>1595.9333624208969</c:v>
                </c:pt>
                <c:pt idx="253">
                  <c:v>1580.1258486298459</c:v>
                </c:pt>
                <c:pt idx="254">
                  <c:v>1564.250004296897</c:v>
                </c:pt>
                <c:pt idx="255">
                  <c:v>1548.3055387781205</c:v>
                </c:pt>
                <c:pt idx="256">
                  <c:v>1532.2921601517367</c:v>
                </c:pt>
                <c:pt idx="257">
                  <c:v>1516.2095752091175</c:v>
                </c:pt>
                <c:pt idx="258">
                  <c:v>1500.0574894454144</c:v>
                </c:pt>
                <c:pt idx="259">
                  <c:v>1483.8356070497593</c:v>
                </c:pt>
                <c:pt idx="260">
                  <c:v>1467.5436308949927</c:v>
                </c:pt>
                <c:pt idx="261">
                  <c:v>1451.1812625268644</c:v>
                </c:pt>
                <c:pt idx="262">
                  <c:v>1434.7482021526394</c:v>
                </c:pt>
                <c:pt idx="263">
                  <c:v>1418.2441486290252</c:v>
                </c:pt>
                <c:pt idx="264">
                  <c:v>1401.6687994493445</c:v>
                </c:pt>
                <c:pt idx="265">
                  <c:v>1385.0218507298384</c:v>
                </c:pt>
                <c:pt idx="266">
                  <c:v>1368.3029971949777</c:v>
                </c:pt>
                <c:pt idx="267">
                  <c:v>1351.5119321616435</c:v>
                </c:pt>
                <c:pt idx="268">
                  <c:v>1334.6483475220007</c:v>
                </c:pt>
                <c:pt idx="269">
                  <c:v>1317.7119337248553</c:v>
                </c:pt>
                <c:pt idx="270">
                  <c:v>1300.7023797552608</c:v>
                </c:pt>
                <c:pt idx="271">
                  <c:v>1283.6193731120652</c:v>
                </c:pt>
                <c:pt idx="272">
                  <c:v>1266.4625997830447</c:v>
                </c:pt>
                <c:pt idx="273">
                  <c:v>1249.2317442171873</c:v>
                </c:pt>
                <c:pt idx="274">
                  <c:v>1231.9264892935801</c:v>
                </c:pt>
                <c:pt idx="275">
                  <c:v>1214.5465162862372</c:v>
                </c:pt>
                <c:pt idx="276">
                  <c:v>1197.0915048240286</c:v>
                </c:pt>
                <c:pt idx="277">
                  <c:v>1179.5611328446653</c:v>
                </c:pt>
                <c:pt idx="278">
                  <c:v>1161.9550765413921</c:v>
                </c:pt>
                <c:pt idx="279">
                  <c:v>1144.2730103006843</c:v>
                </c:pt>
                <c:pt idx="280">
                  <c:v>1126.5146066287059</c:v>
                </c:pt>
                <c:pt idx="281">
                  <c:v>1108.679536063604</c:v>
                </c:pt>
                <c:pt idx="282">
                  <c:v>1090.7674670697336</c:v>
                </c:pt>
                <c:pt idx="283">
                  <c:v>1072.7780659085324</c:v>
                </c:pt>
                <c:pt idx="284">
                  <c:v>1054.7109964787974</c:v>
                </c:pt>
                <c:pt idx="285">
                  <c:v>1036.5659201162212</c:v>
                </c:pt>
                <c:pt idx="286">
                  <c:v>1018.3424953377183</c:v>
                </c:pt>
                <c:pt idx="287">
                  <c:v>1000.0403775094101</c:v>
                </c:pt>
                <c:pt idx="288">
                  <c:v>981.65921840660076</c:v>
                </c:pt>
                <c:pt idx="289">
                  <c:v>963.19866561686058</c:v>
                </c:pt>
                <c:pt idx="290">
                  <c:v>944.65836170806256</c:v>
                </c:pt>
                <c:pt idx="291">
                  <c:v>926.03794303125301</c:v>
                </c:pt>
                <c:pt idx="292">
                  <c:v>907.33703793085124</c:v>
                </c:pt>
                <c:pt idx="293">
                  <c:v>888.55526394007131</c:v>
                </c:pt>
                <c:pt idx="294">
                  <c:v>869.69222311811677</c:v>
                </c:pt>
                <c:pt idx="295">
                  <c:v>850.74749367524794</c:v>
                </c:pt>
                <c:pt idx="296">
                  <c:v>831.72061325507843</c:v>
                </c:pt>
                <c:pt idx="297">
                  <c:v>812.61103999424608</c:v>
                </c:pt>
                <c:pt idx="298">
                  <c:v>793.41803588690721</c:v>
                </c:pt>
                <c:pt idx="299">
                  <c:v>774.13776053695551</c:v>
                </c:pt>
                <c:pt idx="300">
                  <c:v>762.84129569079244</c:v>
                </c:pt>
                <c:pt idx="301">
                  <c:v>751.49493812489209</c:v>
                </c:pt>
                <c:pt idx="302">
                  <c:v>740.09846747974223</c:v>
                </c:pt>
                <c:pt idx="303">
                  <c:v>728.65166242257646</c:v>
                </c:pt>
                <c:pt idx="304">
                  <c:v>717.15430064307475</c:v>
                </c:pt>
                <c:pt idx="305">
                  <c:v>705.60615884904701</c:v>
                </c:pt>
                <c:pt idx="306">
                  <c:v>694.00701276209554</c:v>
                </c:pt>
                <c:pt idx="307">
                  <c:v>682.35663711326015</c:v>
                </c:pt>
                <c:pt idx="308">
                  <c:v>670.6548056386423</c:v>
                </c:pt>
                <c:pt idx="309">
                  <c:v>658.90129107501161</c:v>
                </c:pt>
                <c:pt idx="310">
                  <c:v>647.09586515539149</c:v>
                </c:pt>
                <c:pt idx="311">
                  <c:v>635.23829860462649</c:v>
                </c:pt>
                <c:pt idx="312">
                  <c:v>623.32836113492885</c:v>
                </c:pt>
                <c:pt idx="313">
                  <c:v>611.36582144140675</c:v>
                </c:pt>
                <c:pt idx="314">
                  <c:v>599.35044719757161</c:v>
                </c:pt>
                <c:pt idx="315">
                  <c:v>587.28200505082611</c:v>
                </c:pt>
                <c:pt idx="316">
                  <c:v>575.16026061793252</c:v>
                </c:pt>
                <c:pt idx="317">
                  <c:v>562.98497848046043</c:v>
                </c:pt>
                <c:pt idx="318">
                  <c:v>550.75592218021427</c:v>
                </c:pt>
                <c:pt idx="319">
                  <c:v>538.47285421464221</c:v>
                </c:pt>
                <c:pt idx="320">
                  <c:v>526.13553603222226</c:v>
                </c:pt>
                <c:pt idx="321">
                  <c:v>513.74372802782977</c:v>
                </c:pt>
                <c:pt idx="322">
                  <c:v>501.29718953808464</c:v>
                </c:pt>
                <c:pt idx="323">
                  <c:v>488.79567883667647</c:v>
                </c:pt>
                <c:pt idx="324">
                  <c:v>476.23895312967039</c:v>
                </c:pt>
                <c:pt idx="325">
                  <c:v>463.62676855079172</c:v>
                </c:pt>
                <c:pt idx="326">
                  <c:v>450.9588801566897</c:v>
                </c:pt>
                <c:pt idx="327">
                  <c:v>438.23504192218036</c:v>
                </c:pt>
                <c:pt idx="328">
                  <c:v>425.45500673546866</c:v>
                </c:pt>
                <c:pt idx="329">
                  <c:v>412.61852639334887</c:v>
                </c:pt>
                <c:pt idx="330">
                  <c:v>399.72535159638483</c:v>
                </c:pt>
                <c:pt idx="331">
                  <c:v>386.77523194406746</c:v>
                </c:pt>
                <c:pt idx="332">
                  <c:v>373.76791592995238</c:v>
                </c:pt>
                <c:pt idx="333">
                  <c:v>360.70315093677493</c:v>
                </c:pt>
                <c:pt idx="334">
                  <c:v>347.5806832315443</c:v>
                </c:pt>
                <c:pt idx="335">
                  <c:v>334.40025796061559</c:v>
                </c:pt>
                <c:pt idx="336">
                  <c:v>321.16161914474026</c:v>
                </c:pt>
                <c:pt idx="337">
                  <c:v>307.86450967409485</c:v>
                </c:pt>
                <c:pt idx="338">
                  <c:v>294.50867130328737</c:v>
                </c:pt>
                <c:pt idx="339">
                  <c:v>281.09384464634218</c:v>
                </c:pt>
                <c:pt idx="340">
                  <c:v>267.61976917166214</c:v>
                </c:pt>
                <c:pt idx="341">
                  <c:v>254.0861831969689</c:v>
                </c:pt>
                <c:pt idx="342">
                  <c:v>240.4928238842208</c:v>
                </c:pt>
                <c:pt idx="343">
                  <c:v>226.83942723450804</c:v>
                </c:pt>
                <c:pt idx="344">
                  <c:v>213.12572808292572</c:v>
                </c:pt>
                <c:pt idx="345">
                  <c:v>199.35146009342392</c:v>
                </c:pt>
                <c:pt idx="346">
                  <c:v>185.51635575363514</c:v>
                </c:pt>
                <c:pt idx="347">
                  <c:v>171.62014636967899</c:v>
                </c:pt>
                <c:pt idx="348">
                  <c:v>157.66256206094369</c:v>
                </c:pt>
                <c:pt idx="349">
                  <c:v>143.64333175484478</c:v>
                </c:pt>
                <c:pt idx="350">
                  <c:v>129.56218318156064</c:v>
                </c:pt>
                <c:pt idx="351">
                  <c:v>115.41884286874446</c:v>
                </c:pt>
                <c:pt idx="352">
                  <c:v>101.21303613621338</c:v>
                </c:pt>
                <c:pt idx="353">
                  <c:v>86.944487090613606</c:v>
                </c:pt>
                <c:pt idx="354">
                  <c:v>72.612918620062416</c:v>
                </c:pt>
                <c:pt idx="355">
                  <c:v>58.21805238876631</c:v>
                </c:pt>
                <c:pt idx="356">
                  <c:v>43.75960883161531</c:v>
                </c:pt>
                <c:pt idx="357">
                  <c:v>29.237307148753555</c:v>
                </c:pt>
                <c:pt idx="358">
                  <c:v>14.650865300125833</c:v>
                </c:pt>
                <c:pt idx="359">
                  <c:v>0</c:v>
                </c:pt>
              </c:numCache>
            </c:numRef>
          </c:val>
          <c:smooth val="0"/>
          <c:extLst>
            <c:ext xmlns:c16="http://schemas.microsoft.com/office/drawing/2014/chart" uri="{C3380CC4-5D6E-409C-BE32-E72D297353CC}">
              <c16:uniqueId val="{00000000-0A5B-429F-940C-F5F9B74B7B6A}"/>
            </c:ext>
          </c:extLst>
        </c:ser>
        <c:ser>
          <c:idx val="1"/>
          <c:order val="1"/>
          <c:tx>
            <c:strRef>
              <c:f>' טבלת סילוקין - מסכמת'!$F$3</c:f>
              <c:strCache>
                <c:ptCount val="1"/>
                <c:pt idx="0">
                  <c:v>קרן</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numRef>
              <c:f>' טבלת סילוקין - מסכמת'!$C$4:$C$363</c:f>
              <c:numCache>
                <c:formatCode>m/d/yyyy</c:formatCode>
                <c:ptCount val="360"/>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pt idx="13">
                  <c:v>45778</c:v>
                </c:pt>
                <c:pt idx="14">
                  <c:v>45809</c:v>
                </c:pt>
                <c:pt idx="15">
                  <c:v>45839</c:v>
                </c:pt>
                <c:pt idx="16">
                  <c:v>45870</c:v>
                </c:pt>
                <c:pt idx="17">
                  <c:v>45901</c:v>
                </c:pt>
                <c:pt idx="18">
                  <c:v>45931</c:v>
                </c:pt>
                <c:pt idx="19">
                  <c:v>45962</c:v>
                </c:pt>
                <c:pt idx="20">
                  <c:v>45992</c:v>
                </c:pt>
                <c:pt idx="21">
                  <c:v>46023</c:v>
                </c:pt>
                <c:pt idx="22">
                  <c:v>46054</c:v>
                </c:pt>
                <c:pt idx="23">
                  <c:v>46082</c:v>
                </c:pt>
                <c:pt idx="24">
                  <c:v>46113</c:v>
                </c:pt>
                <c:pt idx="25">
                  <c:v>46143</c:v>
                </c:pt>
                <c:pt idx="26">
                  <c:v>46174</c:v>
                </c:pt>
                <c:pt idx="27">
                  <c:v>46204</c:v>
                </c:pt>
                <c:pt idx="28">
                  <c:v>46235</c:v>
                </c:pt>
                <c:pt idx="29">
                  <c:v>46266</c:v>
                </c:pt>
                <c:pt idx="30">
                  <c:v>46296</c:v>
                </c:pt>
                <c:pt idx="31">
                  <c:v>46327</c:v>
                </c:pt>
                <c:pt idx="32">
                  <c:v>46357</c:v>
                </c:pt>
                <c:pt idx="33">
                  <c:v>46388</c:v>
                </c:pt>
                <c:pt idx="34">
                  <c:v>46419</c:v>
                </c:pt>
                <c:pt idx="35">
                  <c:v>46447</c:v>
                </c:pt>
                <c:pt idx="36">
                  <c:v>46478</c:v>
                </c:pt>
                <c:pt idx="37">
                  <c:v>46508</c:v>
                </c:pt>
                <c:pt idx="38">
                  <c:v>46539</c:v>
                </c:pt>
                <c:pt idx="39">
                  <c:v>46569</c:v>
                </c:pt>
                <c:pt idx="40">
                  <c:v>46600</c:v>
                </c:pt>
                <c:pt idx="41">
                  <c:v>46631</c:v>
                </c:pt>
                <c:pt idx="42">
                  <c:v>46661</c:v>
                </c:pt>
                <c:pt idx="43">
                  <c:v>46692</c:v>
                </c:pt>
                <c:pt idx="44">
                  <c:v>46722</c:v>
                </c:pt>
                <c:pt idx="45">
                  <c:v>46753</c:v>
                </c:pt>
                <c:pt idx="46">
                  <c:v>46784</c:v>
                </c:pt>
                <c:pt idx="47">
                  <c:v>46813</c:v>
                </c:pt>
                <c:pt idx="48">
                  <c:v>46844</c:v>
                </c:pt>
                <c:pt idx="49">
                  <c:v>46874</c:v>
                </c:pt>
                <c:pt idx="50">
                  <c:v>46905</c:v>
                </c:pt>
                <c:pt idx="51">
                  <c:v>46935</c:v>
                </c:pt>
                <c:pt idx="52">
                  <c:v>46966</c:v>
                </c:pt>
                <c:pt idx="53">
                  <c:v>46997</c:v>
                </c:pt>
                <c:pt idx="54">
                  <c:v>47027</c:v>
                </c:pt>
                <c:pt idx="55">
                  <c:v>47058</c:v>
                </c:pt>
                <c:pt idx="56">
                  <c:v>47088</c:v>
                </c:pt>
                <c:pt idx="57">
                  <c:v>47119</c:v>
                </c:pt>
                <c:pt idx="58">
                  <c:v>47150</c:v>
                </c:pt>
                <c:pt idx="59">
                  <c:v>47178</c:v>
                </c:pt>
                <c:pt idx="60">
                  <c:v>47209</c:v>
                </c:pt>
                <c:pt idx="61">
                  <c:v>47239</c:v>
                </c:pt>
                <c:pt idx="62">
                  <c:v>47270</c:v>
                </c:pt>
                <c:pt idx="63">
                  <c:v>47300</c:v>
                </c:pt>
                <c:pt idx="64">
                  <c:v>47331</c:v>
                </c:pt>
                <c:pt idx="65">
                  <c:v>47362</c:v>
                </c:pt>
                <c:pt idx="66">
                  <c:v>47392</c:v>
                </c:pt>
                <c:pt idx="67">
                  <c:v>47423</c:v>
                </c:pt>
                <c:pt idx="68">
                  <c:v>47453</c:v>
                </c:pt>
                <c:pt idx="69">
                  <c:v>47484</c:v>
                </c:pt>
                <c:pt idx="70">
                  <c:v>47515</c:v>
                </c:pt>
                <c:pt idx="71">
                  <c:v>47543</c:v>
                </c:pt>
                <c:pt idx="72">
                  <c:v>47574</c:v>
                </c:pt>
                <c:pt idx="73">
                  <c:v>47604</c:v>
                </c:pt>
                <c:pt idx="74">
                  <c:v>47635</c:v>
                </c:pt>
                <c:pt idx="75">
                  <c:v>47665</c:v>
                </c:pt>
                <c:pt idx="76">
                  <c:v>47696</c:v>
                </c:pt>
                <c:pt idx="77">
                  <c:v>47727</c:v>
                </c:pt>
                <c:pt idx="78">
                  <c:v>47757</c:v>
                </c:pt>
                <c:pt idx="79">
                  <c:v>47788</c:v>
                </c:pt>
                <c:pt idx="80">
                  <c:v>47818</c:v>
                </c:pt>
                <c:pt idx="81">
                  <c:v>47849</c:v>
                </c:pt>
                <c:pt idx="82">
                  <c:v>47880</c:v>
                </c:pt>
                <c:pt idx="83">
                  <c:v>47908</c:v>
                </c:pt>
                <c:pt idx="84">
                  <c:v>47939</c:v>
                </c:pt>
                <c:pt idx="85">
                  <c:v>47969</c:v>
                </c:pt>
                <c:pt idx="86">
                  <c:v>48000</c:v>
                </c:pt>
                <c:pt idx="87">
                  <c:v>48030</c:v>
                </c:pt>
                <c:pt idx="88">
                  <c:v>48061</c:v>
                </c:pt>
                <c:pt idx="89">
                  <c:v>48092</c:v>
                </c:pt>
                <c:pt idx="90">
                  <c:v>48122</c:v>
                </c:pt>
                <c:pt idx="91">
                  <c:v>48153</c:v>
                </c:pt>
                <c:pt idx="92">
                  <c:v>48183</c:v>
                </c:pt>
                <c:pt idx="93">
                  <c:v>48214</c:v>
                </c:pt>
                <c:pt idx="94">
                  <c:v>48245</c:v>
                </c:pt>
                <c:pt idx="95">
                  <c:v>48274</c:v>
                </c:pt>
                <c:pt idx="96">
                  <c:v>48305</c:v>
                </c:pt>
                <c:pt idx="97">
                  <c:v>48335</c:v>
                </c:pt>
                <c:pt idx="98">
                  <c:v>48366</c:v>
                </c:pt>
                <c:pt idx="99">
                  <c:v>48396</c:v>
                </c:pt>
                <c:pt idx="100">
                  <c:v>48427</c:v>
                </c:pt>
                <c:pt idx="101">
                  <c:v>48458</c:v>
                </c:pt>
                <c:pt idx="102">
                  <c:v>48488</c:v>
                </c:pt>
                <c:pt idx="103">
                  <c:v>48519</c:v>
                </c:pt>
                <c:pt idx="104">
                  <c:v>48549</c:v>
                </c:pt>
                <c:pt idx="105">
                  <c:v>48580</c:v>
                </c:pt>
                <c:pt idx="106">
                  <c:v>48611</c:v>
                </c:pt>
                <c:pt idx="107">
                  <c:v>48639</c:v>
                </c:pt>
                <c:pt idx="108">
                  <c:v>48670</c:v>
                </c:pt>
                <c:pt idx="109">
                  <c:v>48700</c:v>
                </c:pt>
                <c:pt idx="110">
                  <c:v>48731</c:v>
                </c:pt>
                <c:pt idx="111">
                  <c:v>48761</c:v>
                </c:pt>
                <c:pt idx="112">
                  <c:v>48792</c:v>
                </c:pt>
                <c:pt idx="113">
                  <c:v>48823</c:v>
                </c:pt>
                <c:pt idx="114">
                  <c:v>48853</c:v>
                </c:pt>
                <c:pt idx="115">
                  <c:v>48884</c:v>
                </c:pt>
                <c:pt idx="116">
                  <c:v>48914</c:v>
                </c:pt>
                <c:pt idx="117">
                  <c:v>48945</c:v>
                </c:pt>
                <c:pt idx="118">
                  <c:v>48976</c:v>
                </c:pt>
                <c:pt idx="119">
                  <c:v>49004</c:v>
                </c:pt>
                <c:pt idx="120">
                  <c:v>49035</c:v>
                </c:pt>
                <c:pt idx="121">
                  <c:v>49065</c:v>
                </c:pt>
                <c:pt idx="122">
                  <c:v>49096</c:v>
                </c:pt>
                <c:pt idx="123">
                  <c:v>49126</c:v>
                </c:pt>
                <c:pt idx="124">
                  <c:v>49157</c:v>
                </c:pt>
                <c:pt idx="125">
                  <c:v>49188</c:v>
                </c:pt>
                <c:pt idx="126">
                  <c:v>49218</c:v>
                </c:pt>
                <c:pt idx="127">
                  <c:v>49249</c:v>
                </c:pt>
                <c:pt idx="128">
                  <c:v>49279</c:v>
                </c:pt>
                <c:pt idx="129">
                  <c:v>49310</c:v>
                </c:pt>
                <c:pt idx="130">
                  <c:v>49341</c:v>
                </c:pt>
                <c:pt idx="131">
                  <c:v>49369</c:v>
                </c:pt>
                <c:pt idx="132">
                  <c:v>49400</c:v>
                </c:pt>
                <c:pt idx="133">
                  <c:v>49430</c:v>
                </c:pt>
                <c:pt idx="134">
                  <c:v>49461</c:v>
                </c:pt>
                <c:pt idx="135">
                  <c:v>49491</c:v>
                </c:pt>
                <c:pt idx="136">
                  <c:v>49522</c:v>
                </c:pt>
                <c:pt idx="137">
                  <c:v>49553</c:v>
                </c:pt>
                <c:pt idx="138">
                  <c:v>49583</c:v>
                </c:pt>
                <c:pt idx="139">
                  <c:v>49614</c:v>
                </c:pt>
                <c:pt idx="140">
                  <c:v>49644</c:v>
                </c:pt>
                <c:pt idx="141">
                  <c:v>49675</c:v>
                </c:pt>
                <c:pt idx="142">
                  <c:v>49706</c:v>
                </c:pt>
                <c:pt idx="143">
                  <c:v>49735</c:v>
                </c:pt>
                <c:pt idx="144">
                  <c:v>49766</c:v>
                </c:pt>
                <c:pt idx="145">
                  <c:v>49796</c:v>
                </c:pt>
                <c:pt idx="146">
                  <c:v>49827</c:v>
                </c:pt>
                <c:pt idx="147">
                  <c:v>49857</c:v>
                </c:pt>
                <c:pt idx="148">
                  <c:v>49888</c:v>
                </c:pt>
                <c:pt idx="149">
                  <c:v>49919</c:v>
                </c:pt>
                <c:pt idx="150">
                  <c:v>49949</c:v>
                </c:pt>
                <c:pt idx="151">
                  <c:v>49980</c:v>
                </c:pt>
                <c:pt idx="152">
                  <c:v>50010</c:v>
                </c:pt>
                <c:pt idx="153">
                  <c:v>50041</c:v>
                </c:pt>
                <c:pt idx="154">
                  <c:v>50072</c:v>
                </c:pt>
                <c:pt idx="155">
                  <c:v>50100</c:v>
                </c:pt>
                <c:pt idx="156">
                  <c:v>50131</c:v>
                </c:pt>
                <c:pt idx="157">
                  <c:v>50161</c:v>
                </c:pt>
                <c:pt idx="158">
                  <c:v>50192</c:v>
                </c:pt>
                <c:pt idx="159">
                  <c:v>50222</c:v>
                </c:pt>
                <c:pt idx="160">
                  <c:v>50253</c:v>
                </c:pt>
                <c:pt idx="161">
                  <c:v>50284</c:v>
                </c:pt>
                <c:pt idx="162">
                  <c:v>50314</c:v>
                </c:pt>
                <c:pt idx="163">
                  <c:v>50345</c:v>
                </c:pt>
                <c:pt idx="164">
                  <c:v>50375</c:v>
                </c:pt>
                <c:pt idx="165">
                  <c:v>50406</c:v>
                </c:pt>
                <c:pt idx="166">
                  <c:v>50437</c:v>
                </c:pt>
                <c:pt idx="167">
                  <c:v>50465</c:v>
                </c:pt>
                <c:pt idx="168">
                  <c:v>50496</c:v>
                </c:pt>
                <c:pt idx="169">
                  <c:v>50526</c:v>
                </c:pt>
                <c:pt idx="170">
                  <c:v>50557</c:v>
                </c:pt>
                <c:pt idx="171">
                  <c:v>50587</c:v>
                </c:pt>
                <c:pt idx="172">
                  <c:v>50618</c:v>
                </c:pt>
                <c:pt idx="173">
                  <c:v>50649</c:v>
                </c:pt>
                <c:pt idx="174">
                  <c:v>50679</c:v>
                </c:pt>
                <c:pt idx="175">
                  <c:v>50710</c:v>
                </c:pt>
                <c:pt idx="176">
                  <c:v>50740</c:v>
                </c:pt>
                <c:pt idx="177">
                  <c:v>50771</c:v>
                </c:pt>
                <c:pt idx="178">
                  <c:v>50802</c:v>
                </c:pt>
                <c:pt idx="179">
                  <c:v>50830</c:v>
                </c:pt>
                <c:pt idx="180">
                  <c:v>50861</c:v>
                </c:pt>
                <c:pt idx="181">
                  <c:v>50891</c:v>
                </c:pt>
                <c:pt idx="182">
                  <c:v>50922</c:v>
                </c:pt>
                <c:pt idx="183">
                  <c:v>50952</c:v>
                </c:pt>
                <c:pt idx="184">
                  <c:v>50983</c:v>
                </c:pt>
                <c:pt idx="185">
                  <c:v>51014</c:v>
                </c:pt>
                <c:pt idx="186">
                  <c:v>51044</c:v>
                </c:pt>
                <c:pt idx="187">
                  <c:v>51075</c:v>
                </c:pt>
                <c:pt idx="188">
                  <c:v>51105</c:v>
                </c:pt>
                <c:pt idx="189">
                  <c:v>51136</c:v>
                </c:pt>
                <c:pt idx="190">
                  <c:v>51167</c:v>
                </c:pt>
                <c:pt idx="191">
                  <c:v>51196</c:v>
                </c:pt>
                <c:pt idx="192">
                  <c:v>51227</c:v>
                </c:pt>
                <c:pt idx="193">
                  <c:v>51257</c:v>
                </c:pt>
                <c:pt idx="194">
                  <c:v>51288</c:v>
                </c:pt>
                <c:pt idx="195">
                  <c:v>51318</c:v>
                </c:pt>
                <c:pt idx="196">
                  <c:v>51349</c:v>
                </c:pt>
                <c:pt idx="197">
                  <c:v>51380</c:v>
                </c:pt>
                <c:pt idx="198">
                  <c:v>51410</c:v>
                </c:pt>
                <c:pt idx="199">
                  <c:v>51441</c:v>
                </c:pt>
                <c:pt idx="200">
                  <c:v>51471</c:v>
                </c:pt>
                <c:pt idx="201">
                  <c:v>51502</c:v>
                </c:pt>
                <c:pt idx="202">
                  <c:v>51533</c:v>
                </c:pt>
                <c:pt idx="203">
                  <c:v>51561</c:v>
                </c:pt>
                <c:pt idx="204">
                  <c:v>51592</c:v>
                </c:pt>
                <c:pt idx="205">
                  <c:v>51622</c:v>
                </c:pt>
                <c:pt idx="206">
                  <c:v>51653</c:v>
                </c:pt>
                <c:pt idx="207">
                  <c:v>51683</c:v>
                </c:pt>
                <c:pt idx="208">
                  <c:v>51714</c:v>
                </c:pt>
                <c:pt idx="209">
                  <c:v>51745</c:v>
                </c:pt>
                <c:pt idx="210">
                  <c:v>51775</c:v>
                </c:pt>
                <c:pt idx="211">
                  <c:v>51806</c:v>
                </c:pt>
                <c:pt idx="212">
                  <c:v>51836</c:v>
                </c:pt>
                <c:pt idx="213">
                  <c:v>51867</c:v>
                </c:pt>
                <c:pt idx="214">
                  <c:v>51898</c:v>
                </c:pt>
                <c:pt idx="215">
                  <c:v>51926</c:v>
                </c:pt>
                <c:pt idx="216">
                  <c:v>51957</c:v>
                </c:pt>
                <c:pt idx="217">
                  <c:v>51987</c:v>
                </c:pt>
                <c:pt idx="218">
                  <c:v>52018</c:v>
                </c:pt>
                <c:pt idx="219">
                  <c:v>52048</c:v>
                </c:pt>
                <c:pt idx="220">
                  <c:v>52079</c:v>
                </c:pt>
                <c:pt idx="221">
                  <c:v>52110</c:v>
                </c:pt>
                <c:pt idx="222">
                  <c:v>52140</c:v>
                </c:pt>
                <c:pt idx="223">
                  <c:v>52171</c:v>
                </c:pt>
                <c:pt idx="224">
                  <c:v>52201</c:v>
                </c:pt>
                <c:pt idx="225">
                  <c:v>52232</c:v>
                </c:pt>
                <c:pt idx="226">
                  <c:v>52263</c:v>
                </c:pt>
                <c:pt idx="227">
                  <c:v>52291</c:v>
                </c:pt>
                <c:pt idx="228">
                  <c:v>52322</c:v>
                </c:pt>
                <c:pt idx="229">
                  <c:v>52352</c:v>
                </c:pt>
                <c:pt idx="230">
                  <c:v>52383</c:v>
                </c:pt>
                <c:pt idx="231">
                  <c:v>52413</c:v>
                </c:pt>
                <c:pt idx="232">
                  <c:v>52444</c:v>
                </c:pt>
                <c:pt idx="233">
                  <c:v>52475</c:v>
                </c:pt>
                <c:pt idx="234">
                  <c:v>52505</c:v>
                </c:pt>
                <c:pt idx="235">
                  <c:v>52536</c:v>
                </c:pt>
                <c:pt idx="236">
                  <c:v>52566</c:v>
                </c:pt>
                <c:pt idx="237">
                  <c:v>52597</c:v>
                </c:pt>
                <c:pt idx="238">
                  <c:v>52628</c:v>
                </c:pt>
                <c:pt idx="239">
                  <c:v>52657</c:v>
                </c:pt>
                <c:pt idx="240">
                  <c:v>52688</c:v>
                </c:pt>
                <c:pt idx="241">
                  <c:v>52718</c:v>
                </c:pt>
                <c:pt idx="242">
                  <c:v>52749</c:v>
                </c:pt>
                <c:pt idx="243">
                  <c:v>52779</c:v>
                </c:pt>
                <c:pt idx="244">
                  <c:v>52810</c:v>
                </c:pt>
                <c:pt idx="245">
                  <c:v>52841</c:v>
                </c:pt>
                <c:pt idx="246">
                  <c:v>52871</c:v>
                </c:pt>
                <c:pt idx="247">
                  <c:v>52902</c:v>
                </c:pt>
                <c:pt idx="248">
                  <c:v>52932</c:v>
                </c:pt>
                <c:pt idx="249">
                  <c:v>52963</c:v>
                </c:pt>
                <c:pt idx="250">
                  <c:v>52994</c:v>
                </c:pt>
                <c:pt idx="251">
                  <c:v>53022</c:v>
                </c:pt>
                <c:pt idx="252">
                  <c:v>53053</c:v>
                </c:pt>
                <c:pt idx="253">
                  <c:v>53083</c:v>
                </c:pt>
                <c:pt idx="254">
                  <c:v>53114</c:v>
                </c:pt>
                <c:pt idx="255">
                  <c:v>53144</c:v>
                </c:pt>
                <c:pt idx="256">
                  <c:v>53175</c:v>
                </c:pt>
                <c:pt idx="257">
                  <c:v>53206</c:v>
                </c:pt>
                <c:pt idx="258">
                  <c:v>53236</c:v>
                </c:pt>
                <c:pt idx="259">
                  <c:v>53267</c:v>
                </c:pt>
                <c:pt idx="260">
                  <c:v>53297</c:v>
                </c:pt>
                <c:pt idx="261">
                  <c:v>53328</c:v>
                </c:pt>
                <c:pt idx="262">
                  <c:v>53359</c:v>
                </c:pt>
                <c:pt idx="263">
                  <c:v>53387</c:v>
                </c:pt>
                <c:pt idx="264">
                  <c:v>53418</c:v>
                </c:pt>
                <c:pt idx="265">
                  <c:v>53448</c:v>
                </c:pt>
                <c:pt idx="266">
                  <c:v>53479</c:v>
                </c:pt>
                <c:pt idx="267">
                  <c:v>53509</c:v>
                </c:pt>
                <c:pt idx="268">
                  <c:v>53540</c:v>
                </c:pt>
                <c:pt idx="269">
                  <c:v>53571</c:v>
                </c:pt>
                <c:pt idx="270">
                  <c:v>53601</c:v>
                </c:pt>
                <c:pt idx="271">
                  <c:v>53632</c:v>
                </c:pt>
                <c:pt idx="272">
                  <c:v>53662</c:v>
                </c:pt>
                <c:pt idx="273">
                  <c:v>53693</c:v>
                </c:pt>
                <c:pt idx="274">
                  <c:v>53724</c:v>
                </c:pt>
                <c:pt idx="275">
                  <c:v>53752</c:v>
                </c:pt>
                <c:pt idx="276">
                  <c:v>53783</c:v>
                </c:pt>
                <c:pt idx="277">
                  <c:v>53813</c:v>
                </c:pt>
                <c:pt idx="278">
                  <c:v>53844</c:v>
                </c:pt>
                <c:pt idx="279">
                  <c:v>53874</c:v>
                </c:pt>
                <c:pt idx="280">
                  <c:v>53905</c:v>
                </c:pt>
                <c:pt idx="281">
                  <c:v>53936</c:v>
                </c:pt>
                <c:pt idx="282">
                  <c:v>53966</c:v>
                </c:pt>
                <c:pt idx="283">
                  <c:v>53997</c:v>
                </c:pt>
                <c:pt idx="284">
                  <c:v>54027</c:v>
                </c:pt>
                <c:pt idx="285">
                  <c:v>54058</c:v>
                </c:pt>
                <c:pt idx="286">
                  <c:v>54089</c:v>
                </c:pt>
                <c:pt idx="287">
                  <c:v>54118</c:v>
                </c:pt>
                <c:pt idx="288">
                  <c:v>54149</c:v>
                </c:pt>
                <c:pt idx="289">
                  <c:v>54179</c:v>
                </c:pt>
                <c:pt idx="290">
                  <c:v>54210</c:v>
                </c:pt>
                <c:pt idx="291">
                  <c:v>54240</c:v>
                </c:pt>
                <c:pt idx="292">
                  <c:v>54271</c:v>
                </c:pt>
                <c:pt idx="293">
                  <c:v>54302</c:v>
                </c:pt>
                <c:pt idx="294">
                  <c:v>54332</c:v>
                </c:pt>
                <c:pt idx="295">
                  <c:v>54363</c:v>
                </c:pt>
                <c:pt idx="296">
                  <c:v>54393</c:v>
                </c:pt>
                <c:pt idx="297">
                  <c:v>54424</c:v>
                </c:pt>
                <c:pt idx="298">
                  <c:v>54455</c:v>
                </c:pt>
                <c:pt idx="299">
                  <c:v>54483</c:v>
                </c:pt>
                <c:pt idx="300">
                  <c:v>54514</c:v>
                </c:pt>
                <c:pt idx="301">
                  <c:v>54544</c:v>
                </c:pt>
                <c:pt idx="302">
                  <c:v>54575</c:v>
                </c:pt>
                <c:pt idx="303">
                  <c:v>54605</c:v>
                </c:pt>
                <c:pt idx="304">
                  <c:v>54636</c:v>
                </c:pt>
                <c:pt idx="305">
                  <c:v>54667</c:v>
                </c:pt>
                <c:pt idx="306">
                  <c:v>54697</c:v>
                </c:pt>
                <c:pt idx="307">
                  <c:v>54728</c:v>
                </c:pt>
                <c:pt idx="308">
                  <c:v>54758</c:v>
                </c:pt>
                <c:pt idx="309">
                  <c:v>54789</c:v>
                </c:pt>
                <c:pt idx="310">
                  <c:v>54820</c:v>
                </c:pt>
                <c:pt idx="311">
                  <c:v>54848</c:v>
                </c:pt>
                <c:pt idx="312">
                  <c:v>54879</c:v>
                </c:pt>
                <c:pt idx="313">
                  <c:v>54909</c:v>
                </c:pt>
                <c:pt idx="314">
                  <c:v>54940</c:v>
                </c:pt>
                <c:pt idx="315">
                  <c:v>54970</c:v>
                </c:pt>
                <c:pt idx="316">
                  <c:v>55001</c:v>
                </c:pt>
                <c:pt idx="317">
                  <c:v>55032</c:v>
                </c:pt>
                <c:pt idx="318">
                  <c:v>55062</c:v>
                </c:pt>
                <c:pt idx="319">
                  <c:v>55093</c:v>
                </c:pt>
                <c:pt idx="320">
                  <c:v>55123</c:v>
                </c:pt>
                <c:pt idx="321">
                  <c:v>55154</c:v>
                </c:pt>
                <c:pt idx="322">
                  <c:v>55185</c:v>
                </c:pt>
                <c:pt idx="323">
                  <c:v>55213</c:v>
                </c:pt>
                <c:pt idx="324">
                  <c:v>55244</c:v>
                </c:pt>
                <c:pt idx="325">
                  <c:v>55274</c:v>
                </c:pt>
                <c:pt idx="326">
                  <c:v>55305</c:v>
                </c:pt>
                <c:pt idx="327">
                  <c:v>55335</c:v>
                </c:pt>
                <c:pt idx="328">
                  <c:v>55366</c:v>
                </c:pt>
                <c:pt idx="329">
                  <c:v>55397</c:v>
                </c:pt>
                <c:pt idx="330">
                  <c:v>55427</c:v>
                </c:pt>
                <c:pt idx="331">
                  <c:v>55458</c:v>
                </c:pt>
                <c:pt idx="332">
                  <c:v>55488</c:v>
                </c:pt>
                <c:pt idx="333">
                  <c:v>55519</c:v>
                </c:pt>
                <c:pt idx="334">
                  <c:v>55550</c:v>
                </c:pt>
                <c:pt idx="335">
                  <c:v>55579</c:v>
                </c:pt>
                <c:pt idx="336">
                  <c:v>55610</c:v>
                </c:pt>
                <c:pt idx="337">
                  <c:v>55640</c:v>
                </c:pt>
                <c:pt idx="338">
                  <c:v>55671</c:v>
                </c:pt>
                <c:pt idx="339">
                  <c:v>55701</c:v>
                </c:pt>
                <c:pt idx="340">
                  <c:v>55732</c:v>
                </c:pt>
                <c:pt idx="341">
                  <c:v>55763</c:v>
                </c:pt>
                <c:pt idx="342">
                  <c:v>55793</c:v>
                </c:pt>
                <c:pt idx="343">
                  <c:v>55824</c:v>
                </c:pt>
                <c:pt idx="344">
                  <c:v>55854</c:v>
                </c:pt>
                <c:pt idx="345">
                  <c:v>55885</c:v>
                </c:pt>
                <c:pt idx="346">
                  <c:v>55916</c:v>
                </c:pt>
                <c:pt idx="347">
                  <c:v>55944</c:v>
                </c:pt>
                <c:pt idx="348">
                  <c:v>55975</c:v>
                </c:pt>
                <c:pt idx="349">
                  <c:v>56005</c:v>
                </c:pt>
                <c:pt idx="350">
                  <c:v>56036</c:v>
                </c:pt>
                <c:pt idx="351">
                  <c:v>56066</c:v>
                </c:pt>
                <c:pt idx="352">
                  <c:v>56097</c:v>
                </c:pt>
                <c:pt idx="353">
                  <c:v>56128</c:v>
                </c:pt>
                <c:pt idx="354">
                  <c:v>56158</c:v>
                </c:pt>
                <c:pt idx="355">
                  <c:v>56189</c:v>
                </c:pt>
                <c:pt idx="356">
                  <c:v>56219</c:v>
                </c:pt>
                <c:pt idx="357">
                  <c:v>56250</c:v>
                </c:pt>
                <c:pt idx="358">
                  <c:v>56281</c:v>
                </c:pt>
                <c:pt idx="359">
                  <c:v>56309</c:v>
                </c:pt>
              </c:numCache>
            </c:numRef>
          </c:cat>
          <c:val>
            <c:numRef>
              <c:f>' טבלת סילוקין - מסכמת'!$F$4:$F$363</c:f>
              <c:numCache>
                <c:formatCode>"₪"#,##0_);\("₪"#,##0\)</c:formatCode>
                <c:ptCount val="360"/>
                <c:pt idx="0">
                  <c:v>1455.5082437108049</c:v>
                </c:pt>
                <c:pt idx="1">
                  <c:v>1461.4693931315664</c:v>
                </c:pt>
                <c:pt idx="2">
                  <c:v>1467.4551115399613</c:v>
                </c:pt>
                <c:pt idx="3">
                  <c:v>1473.4655008390766</c:v>
                </c:pt>
                <c:pt idx="4">
                  <c:v>1479.5006633575708</c:v>
                </c:pt>
                <c:pt idx="5">
                  <c:v>1485.5607018514665</c:v>
                </c:pt>
                <c:pt idx="6">
                  <c:v>1491.6457195059565</c:v>
                </c:pt>
                <c:pt idx="7">
                  <c:v>1497.7558199372106</c:v>
                </c:pt>
                <c:pt idx="8">
                  <c:v>1503.8911071941975</c:v>
                </c:pt>
                <c:pt idx="9">
                  <c:v>1510.0516857605096</c:v>
                </c:pt>
                <c:pt idx="10">
                  <c:v>1516.2376605561963</c:v>
                </c:pt>
                <c:pt idx="11">
                  <c:v>1522.4491369396064</c:v>
                </c:pt>
                <c:pt idx="12">
                  <c:v>1528.6862207092408</c:v>
                </c:pt>
                <c:pt idx="13">
                  <c:v>1534.9490181056076</c:v>
                </c:pt>
                <c:pt idx="14">
                  <c:v>1541.2376358130878</c:v>
                </c:pt>
                <c:pt idx="15">
                  <c:v>1547.5521809618131</c:v>
                </c:pt>
                <c:pt idx="16">
                  <c:v>1553.892761129546</c:v>
                </c:pt>
                <c:pt idx="17">
                  <c:v>1560.2594843435697</c:v>
                </c:pt>
                <c:pt idx="18">
                  <c:v>1566.6524590825888</c:v>
                </c:pt>
                <c:pt idx="19">
                  <c:v>1573.0717942786359</c:v>
                </c:pt>
                <c:pt idx="20">
                  <c:v>1579.5175993189869</c:v>
                </c:pt>
                <c:pt idx="21">
                  <c:v>1585.9899840480825</c:v>
                </c:pt>
                <c:pt idx="22">
                  <c:v>1592.4890587694658</c:v>
                </c:pt>
                <c:pt idx="23">
                  <c:v>1599.0149342477168</c:v>
                </c:pt>
                <c:pt idx="24">
                  <c:v>1605.5677217104062</c:v>
                </c:pt>
                <c:pt idx="25">
                  <c:v>1612.1475328500499</c:v>
                </c:pt>
                <c:pt idx="26">
                  <c:v>1618.7544798260762</c:v>
                </c:pt>
                <c:pt idx="27">
                  <c:v>1625.3886752668018</c:v>
                </c:pt>
                <c:pt idx="28">
                  <c:v>1632.0502322714119</c:v>
                </c:pt>
                <c:pt idx="29">
                  <c:v>1638.7392644119568</c:v>
                </c:pt>
                <c:pt idx="30">
                  <c:v>1645.4558857353481</c:v>
                </c:pt>
                <c:pt idx="31">
                  <c:v>1652.2002107653714</c:v>
                </c:pt>
                <c:pt idx="32">
                  <c:v>1658.9723545047032</c:v>
                </c:pt>
                <c:pt idx="33">
                  <c:v>1665.7724324369394</c:v>
                </c:pt>
                <c:pt idx="34">
                  <c:v>1672.6005605286291</c:v>
                </c:pt>
                <c:pt idx="35">
                  <c:v>1679.4568552313231</c:v>
                </c:pt>
                <c:pt idx="36">
                  <c:v>1686.341433483625</c:v>
                </c:pt>
                <c:pt idx="37">
                  <c:v>1693.2544127132555</c:v>
                </c:pt>
                <c:pt idx="38">
                  <c:v>1700.1959108391254</c:v>
                </c:pt>
                <c:pt idx="39">
                  <c:v>1707.1660462734167</c:v>
                </c:pt>
                <c:pt idx="40">
                  <c:v>1714.1649379236715</c:v>
                </c:pt>
                <c:pt idx="41">
                  <c:v>1721.192705194894</c:v>
                </c:pt>
                <c:pt idx="42">
                  <c:v>1728.2494679916595</c:v>
                </c:pt>
                <c:pt idx="43">
                  <c:v>1735.3353467202314</c:v>
                </c:pt>
                <c:pt idx="44">
                  <c:v>1742.45046229069</c:v>
                </c:pt>
                <c:pt idx="45">
                  <c:v>1749.5949361190699</c:v>
                </c:pt>
                <c:pt idx="46">
                  <c:v>1756.7688901295071</c:v>
                </c:pt>
                <c:pt idx="47">
                  <c:v>1763.9724467563947</c:v>
                </c:pt>
                <c:pt idx="48">
                  <c:v>1771.2057289465483</c:v>
                </c:pt>
                <c:pt idx="49">
                  <c:v>1778.4688601613843</c:v>
                </c:pt>
                <c:pt idx="50">
                  <c:v>1785.7619643791022</c:v>
                </c:pt>
                <c:pt idx="51">
                  <c:v>1793.0851660968808</c:v>
                </c:pt>
                <c:pt idx="52">
                  <c:v>1800.438590333084</c:v>
                </c:pt>
                <c:pt idx="53">
                  <c:v>1807.8223626294739</c:v>
                </c:pt>
                <c:pt idx="54">
                  <c:v>1815.236609053436</c:v>
                </c:pt>
                <c:pt idx="55">
                  <c:v>1822.6814562002157</c:v>
                </c:pt>
                <c:pt idx="56">
                  <c:v>1830.1570311951609</c:v>
                </c:pt>
                <c:pt idx="57">
                  <c:v>1837.663461695977</c:v>
                </c:pt>
                <c:pt idx="58">
                  <c:v>1845.2008758949933</c:v>
                </c:pt>
                <c:pt idx="59">
                  <c:v>1852.7694025214357</c:v>
                </c:pt>
                <c:pt idx="60">
                  <c:v>1860.3691708437154</c:v>
                </c:pt>
                <c:pt idx="61">
                  <c:v>1868.000310671722</c:v>
                </c:pt>
                <c:pt idx="62">
                  <c:v>1875.6629523591309</c:v>
                </c:pt>
                <c:pt idx="63">
                  <c:v>1883.3572268057201</c:v>
                </c:pt>
                <c:pt idx="64">
                  <c:v>1891.0832654596963</c:v>
                </c:pt>
                <c:pt idx="65">
                  <c:v>1898.8412003200353</c:v>
                </c:pt>
                <c:pt idx="66">
                  <c:v>1906.6311639388252</c:v>
                </c:pt>
                <c:pt idx="67">
                  <c:v>1914.4532894236322</c:v>
                </c:pt>
                <c:pt idx="68">
                  <c:v>1922.3077104398658</c:v>
                </c:pt>
                <c:pt idx="69">
                  <c:v>1930.1945612131603</c:v>
                </c:pt>
                <c:pt idx="70">
                  <c:v>1938.1139765317689</c:v>
                </c:pt>
                <c:pt idx="71">
                  <c:v>1946.0660917489638</c:v>
                </c:pt>
                <c:pt idx="72">
                  <c:v>1954.0510427854499</c:v>
                </c:pt>
                <c:pt idx="73">
                  <c:v>1962.068966131792</c:v>
                </c:pt>
                <c:pt idx="74">
                  <c:v>1970.1199988508492</c:v>
                </c:pt>
                <c:pt idx="75">
                  <c:v>1978.2042785802221</c:v>
                </c:pt>
                <c:pt idx="76">
                  <c:v>1986.3219435347135</c:v>
                </c:pt>
                <c:pt idx="77">
                  <c:v>1994.4731325087946</c:v>
                </c:pt>
                <c:pt idx="78">
                  <c:v>2002.6579848790914</c:v>
                </c:pt>
                <c:pt idx="79">
                  <c:v>2010.8766406068742</c:v>
                </c:pt>
                <c:pt idx="80">
                  <c:v>2019.1292402405657</c:v>
                </c:pt>
                <c:pt idx="81">
                  <c:v>2027.4159249182539</c:v>
                </c:pt>
                <c:pt idx="82">
                  <c:v>2035.7368363702242</c:v>
                </c:pt>
                <c:pt idx="83">
                  <c:v>2044.0921169214969</c:v>
                </c:pt>
                <c:pt idx="84">
                  <c:v>2052.4819094943828</c:v>
                </c:pt>
                <c:pt idx="85">
                  <c:v>2060.9063576110448</c:v>
                </c:pt>
                <c:pt idx="86">
                  <c:v>2069.3656053960758</c:v>
                </c:pt>
                <c:pt idx="87">
                  <c:v>2077.8597975790872</c:v>
                </c:pt>
                <c:pt idx="88">
                  <c:v>2086.3890794973108</c:v>
                </c:pt>
                <c:pt idx="89">
                  <c:v>2094.9535970982133</c:v>
                </c:pt>
                <c:pt idx="90">
                  <c:v>2103.5534969421183</c:v>
                </c:pt>
                <c:pt idx="91">
                  <c:v>2112.1889262048517</c:v>
                </c:pt>
                <c:pt idx="92">
                  <c:v>2120.8600326803889</c:v>
                </c:pt>
                <c:pt idx="93">
                  <c:v>2129.5669647835198</c:v>
                </c:pt>
                <c:pt idx="94">
                  <c:v>2138.3098715525293</c:v>
                </c:pt>
                <c:pt idx="95">
                  <c:v>2147.0889026518817</c:v>
                </c:pt>
                <c:pt idx="96">
                  <c:v>2155.9042083749318</c:v>
                </c:pt>
                <c:pt idx="97">
                  <c:v>2164.7559396466363</c:v>
                </c:pt>
                <c:pt idx="98">
                  <c:v>2173.6442480262867</c:v>
                </c:pt>
                <c:pt idx="99">
                  <c:v>2182.5692857102513</c:v>
                </c:pt>
                <c:pt idx="100">
                  <c:v>2191.5312055347358</c:v>
                </c:pt>
                <c:pt idx="101">
                  <c:v>2200.5301609785492</c:v>
                </c:pt>
                <c:pt idx="102">
                  <c:v>2209.5663061658956</c:v>
                </c:pt>
                <c:pt idx="103">
                  <c:v>2218.6397958691668</c:v>
                </c:pt>
                <c:pt idx="104">
                  <c:v>2227.7507855117592</c:v>
                </c:pt>
                <c:pt idx="105">
                  <c:v>2236.8994311709002</c:v>
                </c:pt>
                <c:pt idx="106">
                  <c:v>2246.0858895804881</c:v>
                </c:pt>
                <c:pt idx="107">
                  <c:v>2255.3103181339534</c:v>
                </c:pt>
                <c:pt idx="108">
                  <c:v>2264.572874887122</c:v>
                </c:pt>
                <c:pt idx="109">
                  <c:v>2273.8737185611076</c:v>
                </c:pt>
                <c:pt idx="110">
                  <c:v>2283.2130085452086</c:v>
                </c:pt>
                <c:pt idx="111">
                  <c:v>2292.590904899826</c:v>
                </c:pt>
                <c:pt idx="112">
                  <c:v>2302.0075683593909</c:v>
                </c:pt>
                <c:pt idx="113">
                  <c:v>2311.4631603353146</c:v>
                </c:pt>
                <c:pt idx="114">
                  <c:v>2320.9578429189492</c:v>
                </c:pt>
                <c:pt idx="115">
                  <c:v>2330.4917788845628</c:v>
                </c:pt>
                <c:pt idx="116">
                  <c:v>2340.0651316923372</c:v>
                </c:pt>
                <c:pt idx="117">
                  <c:v>2349.6780654913746</c:v>
                </c:pt>
                <c:pt idx="118">
                  <c:v>2359.3307451227247</c:v>
                </c:pt>
                <c:pt idx="119">
                  <c:v>2369.0233361224259</c:v>
                </c:pt>
                <c:pt idx="120">
                  <c:v>2378.7560047245652</c:v>
                </c:pt>
                <c:pt idx="121">
                  <c:v>2388.5289178643538</c:v>
                </c:pt>
                <c:pt idx="122">
                  <c:v>2398.3422431812205</c:v>
                </c:pt>
                <c:pt idx="123">
                  <c:v>2408.1961490219219</c:v>
                </c:pt>
                <c:pt idx="124">
                  <c:v>2418.0908044436674</c:v>
                </c:pt>
                <c:pt idx="125">
                  <c:v>2428.0263792172691</c:v>
                </c:pt>
                <c:pt idx="126">
                  <c:v>2438.0030438303015</c:v>
                </c:pt>
                <c:pt idx="127">
                  <c:v>2448.0209694902842</c:v>
                </c:pt>
                <c:pt idx="128">
                  <c:v>2458.0803281278831</c:v>
                </c:pt>
                <c:pt idx="129">
                  <c:v>2468.181292400126</c:v>
                </c:pt>
                <c:pt idx="130">
                  <c:v>2478.3240356936421</c:v>
                </c:pt>
                <c:pt idx="131">
                  <c:v>2488.5087321279184</c:v>
                </c:pt>
                <c:pt idx="132">
                  <c:v>2498.7355565585767</c:v>
                </c:pt>
                <c:pt idx="133">
                  <c:v>2509.0046845806701</c:v>
                </c:pt>
                <c:pt idx="134">
                  <c:v>2519.3162925319943</c:v>
                </c:pt>
                <c:pt idx="135">
                  <c:v>2529.6705574964294</c:v>
                </c:pt>
                <c:pt idx="136">
                  <c:v>2540.0676573072969</c:v>
                </c:pt>
                <c:pt idx="137">
                  <c:v>2550.5077705507351</c:v>
                </c:pt>
                <c:pt idx="138">
                  <c:v>2560.9910765690993</c:v>
                </c:pt>
                <c:pt idx="139">
                  <c:v>2571.5177554643847</c:v>
                </c:pt>
                <c:pt idx="140">
                  <c:v>2582.0879881016704</c:v>
                </c:pt>
                <c:pt idx="141">
                  <c:v>2592.7019561125812</c:v>
                </c:pt>
                <c:pt idx="142">
                  <c:v>2603.3598418987831</c:v>
                </c:pt>
                <c:pt idx="143">
                  <c:v>2614.0618286354911</c:v>
                </c:pt>
                <c:pt idx="144">
                  <c:v>2624.8081002750041</c:v>
                </c:pt>
                <c:pt idx="145">
                  <c:v>2635.5988415502698</c:v>
                </c:pt>
                <c:pt idx="146">
                  <c:v>2646.4342379784644</c:v>
                </c:pt>
                <c:pt idx="147">
                  <c:v>2657.3144758646076</c:v>
                </c:pt>
                <c:pt idx="148">
                  <c:v>2668.2397423051953</c:v>
                </c:pt>
                <c:pt idx="149">
                  <c:v>2679.2102251918614</c:v>
                </c:pt>
                <c:pt idx="150">
                  <c:v>2690.226113215067</c:v>
                </c:pt>
                <c:pt idx="151">
                  <c:v>2701.2875958678178</c:v>
                </c:pt>
                <c:pt idx="152">
                  <c:v>2712.3948634494041</c:v>
                </c:pt>
                <c:pt idx="153">
                  <c:v>2723.5481070691767</c:v>
                </c:pt>
                <c:pt idx="154">
                  <c:v>2734.7475186503489</c:v>
                </c:pt>
                <c:pt idx="155">
                  <c:v>2745.9932909338222</c:v>
                </c:pt>
                <c:pt idx="156">
                  <c:v>2757.2856174820545</c:v>
                </c:pt>
                <c:pt idx="157">
                  <c:v>2768.6246926829481</c:v>
                </c:pt>
                <c:pt idx="158">
                  <c:v>2780.01071175378</c:v>
                </c:pt>
                <c:pt idx="159">
                  <c:v>2791.4438707451527</c:v>
                </c:pt>
                <c:pt idx="160">
                  <c:v>2802.9243665449953</c:v>
                </c:pt>
                <c:pt idx="161">
                  <c:v>2814.4523968825797</c:v>
                </c:pt>
                <c:pt idx="162">
                  <c:v>2826.0281603325875</c:v>
                </c:pt>
                <c:pt idx="163">
                  <c:v>2837.6518563192076</c:v>
                </c:pt>
                <c:pt idx="164">
                  <c:v>2849.3236851202714</c:v>
                </c:pt>
                <c:pt idx="165">
                  <c:v>2861.0438478714241</c:v>
                </c:pt>
                <c:pt idx="166">
                  <c:v>2872.8125465703451</c:v>
                </c:pt>
                <c:pt idx="167">
                  <c:v>2884.629984080992</c:v>
                </c:pt>
                <c:pt idx="168">
                  <c:v>2896.4963641379059</c:v>
                </c:pt>
                <c:pt idx="169">
                  <c:v>2908.4118913505445</c:v>
                </c:pt>
                <c:pt idx="170">
                  <c:v>2920.3767712076724</c:v>
                </c:pt>
                <c:pt idx="171">
                  <c:v>2932.3912100817865</c:v>
                </c:pt>
                <c:pt idx="172">
                  <c:v>2944.4554152335927</c:v>
                </c:pt>
                <c:pt idx="173">
                  <c:v>2956.5695948165367</c:v>
                </c:pt>
                <c:pt idx="174">
                  <c:v>2968.7339578813785</c:v>
                </c:pt>
                <c:pt idx="175">
                  <c:v>2980.948714380826</c:v>
                </c:pt>
                <c:pt idx="176">
                  <c:v>2993.2140751742122</c:v>
                </c:pt>
                <c:pt idx="177">
                  <c:v>3005.5302520322434</c:v>
                </c:pt>
                <c:pt idx="178">
                  <c:v>3017.8974576417909</c:v>
                </c:pt>
                <c:pt idx="179">
                  <c:v>3030.3159056107561</c:v>
                </c:pt>
                <c:pt idx="180">
                  <c:v>3042.7858104729894</c:v>
                </c:pt>
                <c:pt idx="181">
                  <c:v>3055.3073876932735</c:v>
                </c:pt>
                <c:pt idx="182">
                  <c:v>3067.8808536723873</c:v>
                </c:pt>
                <c:pt idx="183">
                  <c:v>3080.5064257522208</c:v>
                </c:pt>
                <c:pt idx="184">
                  <c:v>3093.1843222209786</c:v>
                </c:pt>
                <c:pt idx="185">
                  <c:v>3105.9147623184508</c:v>
                </c:pt>
                <c:pt idx="186">
                  <c:v>3118.6979662413692</c:v>
                </c:pt>
                <c:pt idx="187">
                  <c:v>3131.5341551488436</c:v>
                </c:pt>
                <c:pt idx="188">
                  <c:v>3144.423551167878</c:v>
                </c:pt>
                <c:pt idx="189">
                  <c:v>3157.3663773989924</c:v>
                </c:pt>
                <c:pt idx="190">
                  <c:v>3170.3628579219217</c:v>
                </c:pt>
                <c:pt idx="191">
                  <c:v>3183.4132178014229</c:v>
                </c:pt>
                <c:pt idx="192">
                  <c:v>3196.5176830931864</c:v>
                </c:pt>
                <c:pt idx="193">
                  <c:v>3209.6764808498456</c:v>
                </c:pt>
                <c:pt idx="194">
                  <c:v>3222.8898391271096</c:v>
                </c:pt>
                <c:pt idx="195">
                  <c:v>3236.1579869900088</c:v>
                </c:pt>
                <c:pt idx="196">
                  <c:v>3249.4811545192683</c:v>
                </c:pt>
                <c:pt idx="197">
                  <c:v>3262.8595728178066</c:v>
                </c:pt>
                <c:pt idx="198">
                  <c:v>3276.293474017376</c:v>
                </c:pt>
                <c:pt idx="199">
                  <c:v>3289.7830912853497</c:v>
                </c:pt>
                <c:pt idx="200">
                  <c:v>3303.3286588316487</c:v>
                </c:pt>
                <c:pt idx="201">
                  <c:v>3316.9304119158478</c:v>
                </c:pt>
                <c:pt idx="202">
                  <c:v>3330.5885868544328</c:v>
                </c:pt>
                <c:pt idx="203">
                  <c:v>3344.3034210282472</c:v>
                </c:pt>
                <c:pt idx="204">
                  <c:v>3358.0751528901164</c:v>
                </c:pt>
                <c:pt idx="205">
                  <c:v>3371.9040219726858</c:v>
                </c:pt>
                <c:pt idx="206">
                  <c:v>3385.7902688964559</c:v>
                </c:pt>
                <c:pt idx="207">
                  <c:v>3399.7341353780421</c:v>
                </c:pt>
                <c:pt idx="208">
                  <c:v>3413.7358642386807</c:v>
                </c:pt>
                <c:pt idx="209">
                  <c:v>3427.7956994129709</c:v>
                </c:pt>
                <c:pt idx="210">
                  <c:v>3441.9138859578939</c:v>
                </c:pt>
                <c:pt idx="211">
                  <c:v>3456.0906700621053</c:v>
                </c:pt>
                <c:pt idx="212">
                  <c:v>3470.3262990555349</c:v>
                </c:pt>
                <c:pt idx="213">
                  <c:v>3484.6210214193061</c:v>
                </c:pt>
                <c:pt idx="214">
                  <c:v>3498.9750867959829</c:v>
                </c:pt>
                <c:pt idx="215">
                  <c:v>3513.3887460002011</c:v>
                </c:pt>
                <c:pt idx="216">
                  <c:v>3527.862251029665</c:v>
                </c:pt>
                <c:pt idx="217">
                  <c:v>3542.3958550765765</c:v>
                </c:pt>
                <c:pt idx="218">
                  <c:v>3556.9898125394893</c:v>
                </c:pt>
                <c:pt idx="219">
                  <c:v>3571.6443790356543</c:v>
                </c:pt>
                <c:pt idx="220">
                  <c:v>3586.3598114138549</c:v>
                </c:pt>
                <c:pt idx="221">
                  <c:v>3601.1363677678041</c:v>
                </c:pt>
                <c:pt idx="222">
                  <c:v>3615.9743074501075</c:v>
                </c:pt>
                <c:pt idx="223">
                  <c:v>3630.8738910868724</c:v>
                </c:pt>
                <c:pt idx="224">
                  <c:v>3645.8353805929764</c:v>
                </c:pt>
                <c:pt idx="225">
                  <c:v>3660.8590391880743</c:v>
                </c:pt>
                <c:pt idx="226">
                  <c:v>3675.9451314133885</c:v>
                </c:pt>
                <c:pt idx="227">
                  <c:v>3691.0939231493394</c:v>
                </c:pt>
                <c:pt idx="228">
                  <c:v>3706.3056816341013</c:v>
                </c:pt>
                <c:pt idx="229">
                  <c:v>3721.5806754831387</c:v>
                </c:pt>
                <c:pt idx="230">
                  <c:v>3736.919174709828</c:v>
                </c:pt>
                <c:pt idx="231">
                  <c:v>3752.3214507472258</c:v>
                </c:pt>
                <c:pt idx="232">
                  <c:v>3767.787776471122</c:v>
                </c:pt>
                <c:pt idx="233">
                  <c:v>3783.3184262244499</c:v>
                </c:pt>
                <c:pt idx="234">
                  <c:v>3798.9136758432014</c:v>
                </c:pt>
                <c:pt idx="235">
                  <c:v>3814.5738026839749</c:v>
                </c:pt>
                <c:pt idx="236">
                  <c:v>3830.2990856533024</c:v>
                </c:pt>
                <c:pt idx="237">
                  <c:v>3846.0898052389207</c:v>
                </c:pt>
                <c:pt idx="238">
                  <c:v>3861.9462435431915</c:v>
                </c:pt>
                <c:pt idx="239">
                  <c:v>3877.8686843188375</c:v>
                </c:pt>
                <c:pt idx="240">
                  <c:v>3893.8574130072725</c:v>
                </c:pt>
                <c:pt idx="241">
                  <c:v>3909.9127167797424</c:v>
                </c:pt>
                <c:pt idx="242">
                  <c:v>3926.0348845815861</c:v>
                </c:pt>
                <c:pt idx="243">
                  <c:v>3942.2242071799392</c:v>
                </c:pt>
                <c:pt idx="244">
                  <c:v>3958.4809772152335</c:v>
                </c:pt>
                <c:pt idx="245">
                  <c:v>3974.8054892569135</c:v>
                </c:pt>
                <c:pt idx="246">
                  <c:v>3991.1980398638207</c:v>
                </c:pt>
                <c:pt idx="247">
                  <c:v>4007.6589276497875</c:v>
                </c:pt>
                <c:pt idx="248">
                  <c:v>4024.188453355001</c:v>
                </c:pt>
                <c:pt idx="249">
                  <c:v>4040.7869199238548</c:v>
                </c:pt>
                <c:pt idx="250">
                  <c:v>4057.4546325900164</c:v>
                </c:pt>
                <c:pt idx="251">
                  <c:v>4074.1918989696078</c:v>
                </c:pt>
                <c:pt idx="252">
                  <c:v>4090.9990291635095</c:v>
                </c:pt>
                <c:pt idx="253">
                  <c:v>4107.876335869918</c:v>
                </c:pt>
                <c:pt idx="254">
                  <c:v>4124.8241345085135</c:v>
                </c:pt>
                <c:pt idx="255">
                  <c:v>4141.8427433577453</c:v>
                </c:pt>
                <c:pt idx="256">
                  <c:v>4158.9324837070308</c:v>
                </c:pt>
                <c:pt idx="257">
                  <c:v>4176.0936800259306</c:v>
                </c:pt>
                <c:pt idx="258">
                  <c:v>4193.3266601526884</c:v>
                </c:pt>
                <c:pt idx="259">
                  <c:v>4210.6317555049845</c:v>
                </c:pt>
                <c:pt idx="260">
                  <c:v>4228.0093013161841</c:v>
                </c:pt>
                <c:pt idx="261">
                  <c:v>4245.4596369009851</c:v>
                </c:pt>
                <c:pt idx="262">
                  <c:v>4262.9831059551043</c:v>
                </c:pt>
                <c:pt idx="263">
                  <c:v>4280.5800568944414</c:v>
                </c:pt>
                <c:pt idx="264">
                  <c:v>4298.2508432403238</c:v>
                </c:pt>
                <c:pt idx="265">
                  <c:v>4315.9958240586329</c:v>
                </c:pt>
                <c:pt idx="266">
                  <c:v>4333.8153644623144</c:v>
                </c:pt>
                <c:pt idx="267">
                  <c:v>4351.7098361887183</c:v>
                </c:pt>
                <c:pt idx="268">
                  <c:v>4369.6796182657426</c:v>
                </c:pt>
                <c:pt idx="269">
                  <c:v>4387.7250977838839</c:v>
                </c:pt>
                <c:pt idx="270">
                  <c:v>4405.8466707952875</c:v>
                </c:pt>
                <c:pt idx="271">
                  <c:v>4424.0447433659601</c:v>
                </c:pt>
                <c:pt idx="272">
                  <c:v>4442.3197328138394</c:v>
                </c:pt>
                <c:pt idx="273">
                  <c:v>4460.6720691738419</c:v>
                </c:pt>
                <c:pt idx="274">
                  <c:v>4479.1021969421045</c:v>
                </c:pt>
                <c:pt idx="275">
                  <c:v>4497.6105771661405</c:v>
                </c:pt>
                <c:pt idx="276">
                  <c:v>4516.197689967139</c:v>
                </c:pt>
                <c:pt idx="277">
                  <c:v>4534.8640376067169</c:v>
                </c:pt>
                <c:pt idx="278">
                  <c:v>4553.6101482461709</c:v>
                </c:pt>
                <c:pt idx="279">
                  <c:v>4572.4365805954731</c:v>
                </c:pt>
                <c:pt idx="280">
                  <c:v>4591.3439297181412</c:v>
                </c:pt>
                <c:pt idx="281">
                  <c:v>4610.3328343559924</c:v>
                </c:pt>
                <c:pt idx="282">
                  <c:v>4629.4039862790587</c:v>
                </c:pt>
                <c:pt idx="283">
                  <c:v>4648.5581423735948</c:v>
                </c:pt>
                <c:pt idx="284">
                  <c:v>4667.7961404925445</c:v>
                </c:pt>
                <c:pt idx="285">
                  <c:v>4687.1189205699411</c:v>
                </c:pt>
                <c:pt idx="286">
                  <c:v>4706.5275532504475</c:v>
                </c:pt>
                <c:pt idx="287">
                  <c:v>4726.0232794954627</c:v>
                </c:pt>
                <c:pt idx="288">
                  <c:v>4745.60756664366</c:v>
                </c:pt>
                <c:pt idx="289">
                  <c:v>4765.2821898851371</c:v>
                </c:pt>
                <c:pt idx="290">
                  <c:v>4785.0493543721041</c:v>
                </c:pt>
                <c:pt idx="291">
                  <c:v>4804.9118850156256</c:v>
                </c:pt>
                <c:pt idx="292">
                  <c:v>4824.8735346613903</c:v>
                </c:pt>
                <c:pt idx="293">
                  <c:v>4844.9395119816327</c:v>
                </c:pt>
                <c:pt idx="294">
                  <c:v>4865.117448543353</c:v>
                </c:pt>
                <c:pt idx="295">
                  <c:v>4885.4193315143302</c:v>
                </c:pt>
                <c:pt idx="296">
                  <c:v>4905.8658491278393</c:v>
                </c:pt>
                <c:pt idx="297">
                  <c:v>4926.4979705575161</c:v>
                </c:pt>
                <c:pt idx="298">
                  <c:v>4947.4174486674729</c:v>
                </c:pt>
                <c:pt idx="299">
                  <c:v>4969.0296857485446</c:v>
                </c:pt>
                <c:pt idx="300">
                  <c:v>2557.6901538482634</c:v>
                </c:pt>
                <c:pt idx="301">
                  <c:v>2568.9866186944259</c:v>
                </c:pt>
                <c:pt idx="302">
                  <c:v>2580.3329762603262</c:v>
                </c:pt>
                <c:pt idx="303">
                  <c:v>2591.7294469054755</c:v>
                </c:pt>
                <c:pt idx="304">
                  <c:v>2603.1762519626423</c:v>
                </c:pt>
                <c:pt idx="305">
                  <c:v>2614.673613742144</c:v>
                </c:pt>
                <c:pt idx="306">
                  <c:v>2626.2217555361722</c:v>
                </c:pt>
                <c:pt idx="307">
                  <c:v>2637.8209016231231</c:v>
                </c:pt>
                <c:pt idx="308">
                  <c:v>2649.4712772719595</c:v>
                </c:pt>
                <c:pt idx="309">
                  <c:v>2661.1731087465773</c:v>
                </c:pt>
                <c:pt idx="310">
                  <c:v>2672.9266233102067</c:v>
                </c:pt>
                <c:pt idx="311">
                  <c:v>2684.7320492298272</c:v>
                </c:pt>
                <c:pt idx="312">
                  <c:v>2696.5896157805928</c:v>
                </c:pt>
                <c:pt idx="313">
                  <c:v>2708.4995532502908</c:v>
                </c:pt>
                <c:pt idx="314">
                  <c:v>2720.462092943812</c:v>
                </c:pt>
                <c:pt idx="315">
                  <c:v>2732.4774671876476</c:v>
                </c:pt>
                <c:pt idx="316">
                  <c:v>2744.5459093343929</c:v>
                </c:pt>
                <c:pt idx="317">
                  <c:v>2756.6676537672874</c:v>
                </c:pt>
                <c:pt idx="318">
                  <c:v>2768.8429359047586</c:v>
                </c:pt>
                <c:pt idx="319">
                  <c:v>2781.0719922050048</c:v>
                </c:pt>
                <c:pt idx="320">
                  <c:v>2793.355060170577</c:v>
                </c:pt>
                <c:pt idx="321">
                  <c:v>2805.6923783529965</c:v>
                </c:pt>
                <c:pt idx="322">
                  <c:v>2818.0841863573892</c:v>
                </c:pt>
                <c:pt idx="323">
                  <c:v>2830.5307248471345</c:v>
                </c:pt>
                <c:pt idx="324">
                  <c:v>2843.0322355485423</c:v>
                </c:pt>
                <c:pt idx="325">
                  <c:v>2855.5889612555488</c:v>
                </c:pt>
                <c:pt idx="326">
                  <c:v>2868.2011458344273</c:v>
                </c:pt>
                <c:pt idx="327">
                  <c:v>2880.869034228529</c:v>
                </c:pt>
                <c:pt idx="328">
                  <c:v>2893.5928724630389</c:v>
                </c:pt>
                <c:pt idx="329">
                  <c:v>2906.3729076497507</c:v>
                </c:pt>
                <c:pt idx="330">
                  <c:v>2919.2093879918707</c:v>
                </c:pt>
                <c:pt idx="331">
                  <c:v>2932.1025627888339</c:v>
                </c:pt>
                <c:pt idx="332">
                  <c:v>2945.0526824411522</c:v>
                </c:pt>
                <c:pt idx="333">
                  <c:v>2958.0599984552673</c:v>
                </c:pt>
                <c:pt idx="334">
                  <c:v>2971.1247634484453</c:v>
                </c:pt>
                <c:pt idx="335">
                  <c:v>2984.2472311536749</c:v>
                </c:pt>
                <c:pt idx="336">
                  <c:v>2997.4276564246043</c:v>
                </c:pt>
                <c:pt idx="337">
                  <c:v>3010.6662952404795</c:v>
                </c:pt>
                <c:pt idx="338">
                  <c:v>3023.9634047111244</c:v>
                </c:pt>
                <c:pt idx="339">
                  <c:v>3037.3192430819331</c:v>
                </c:pt>
                <c:pt idx="340">
                  <c:v>3050.7340697388781</c:v>
                </c:pt>
                <c:pt idx="341">
                  <c:v>3064.2081452135576</c:v>
                </c:pt>
                <c:pt idx="342">
                  <c:v>3077.7417311882509</c:v>
                </c:pt>
                <c:pt idx="343">
                  <c:v>3091.3350905009993</c:v>
                </c:pt>
                <c:pt idx="344">
                  <c:v>3104.988487150712</c:v>
                </c:pt>
                <c:pt idx="345">
                  <c:v>3118.7021863022946</c:v>
                </c:pt>
                <c:pt idx="346">
                  <c:v>3132.4764542917956</c:v>
                </c:pt>
                <c:pt idx="347">
                  <c:v>3146.3115586315839</c:v>
                </c:pt>
                <c:pt idx="348">
                  <c:v>3160.2077680155403</c:v>
                </c:pt>
                <c:pt idx="349">
                  <c:v>3174.1653523242753</c:v>
                </c:pt>
                <c:pt idx="350">
                  <c:v>3188.1845826303752</c:v>
                </c:pt>
                <c:pt idx="351">
                  <c:v>3202.2657312036586</c:v>
                </c:pt>
                <c:pt idx="352">
                  <c:v>3216.4090715164748</c:v>
                </c:pt>
                <c:pt idx="353">
                  <c:v>3230.6148782490063</c:v>
                </c:pt>
                <c:pt idx="354">
                  <c:v>3244.883427294606</c:v>
                </c:pt>
                <c:pt idx="355">
                  <c:v>3259.2149957651577</c:v>
                </c:pt>
                <c:pt idx="356">
                  <c:v>3273.6098619964523</c:v>
                </c:pt>
                <c:pt idx="357">
                  <c:v>3288.0683055536042</c:v>
                </c:pt>
                <c:pt idx="358">
                  <c:v>3302.5906072364655</c:v>
                </c:pt>
                <c:pt idx="359">
                  <c:v>3317.177049085094</c:v>
                </c:pt>
              </c:numCache>
            </c:numRef>
          </c:val>
          <c:smooth val="0"/>
          <c:extLst>
            <c:ext xmlns:c16="http://schemas.microsoft.com/office/drawing/2014/chart" uri="{C3380CC4-5D6E-409C-BE32-E72D297353CC}">
              <c16:uniqueId val="{00000001-0A5B-429F-940C-F5F9B74B7B6A}"/>
            </c:ext>
          </c:extLst>
        </c:ser>
        <c:ser>
          <c:idx val="2"/>
          <c:order val="2"/>
          <c:tx>
            <c:strRef>
              <c:f>' טבלת סילוקין - מסכמת'!$H$3</c:f>
              <c:strCache>
                <c:ptCount val="1"/>
                <c:pt idx="0">
                  <c:v>סך החזר</c:v>
                </c:pt>
              </c:strCache>
            </c:strRef>
          </c:tx>
          <c:spPr>
            <a:ln w="34925" cap="rnd">
              <a:solidFill>
                <a:schemeClr val="accent1">
                  <a:lumMod val="75000"/>
                </a:schemeClr>
              </a:solidFill>
              <a:round/>
            </a:ln>
            <a:effectLst>
              <a:outerShdw blurRad="40000" dist="23000" dir="5400000" rotWithShape="0">
                <a:srgbClr val="000000">
                  <a:alpha val="35000"/>
                </a:srgbClr>
              </a:outerShdw>
            </a:effectLst>
          </c:spPr>
          <c:marker>
            <c:symbol val="none"/>
          </c:marker>
          <c:cat>
            <c:numRef>
              <c:f>' טבלת סילוקין - מסכמת'!$C$4:$C$363</c:f>
              <c:numCache>
                <c:formatCode>m/d/yyyy</c:formatCode>
                <c:ptCount val="360"/>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pt idx="13">
                  <c:v>45778</c:v>
                </c:pt>
                <c:pt idx="14">
                  <c:v>45809</c:v>
                </c:pt>
                <c:pt idx="15">
                  <c:v>45839</c:v>
                </c:pt>
                <c:pt idx="16">
                  <c:v>45870</c:v>
                </c:pt>
                <c:pt idx="17">
                  <c:v>45901</c:v>
                </c:pt>
                <c:pt idx="18">
                  <c:v>45931</c:v>
                </c:pt>
                <c:pt idx="19">
                  <c:v>45962</c:v>
                </c:pt>
                <c:pt idx="20">
                  <c:v>45992</c:v>
                </c:pt>
                <c:pt idx="21">
                  <c:v>46023</c:v>
                </c:pt>
                <c:pt idx="22">
                  <c:v>46054</c:v>
                </c:pt>
                <c:pt idx="23">
                  <c:v>46082</c:v>
                </c:pt>
                <c:pt idx="24">
                  <c:v>46113</c:v>
                </c:pt>
                <c:pt idx="25">
                  <c:v>46143</c:v>
                </c:pt>
                <c:pt idx="26">
                  <c:v>46174</c:v>
                </c:pt>
                <c:pt idx="27">
                  <c:v>46204</c:v>
                </c:pt>
                <c:pt idx="28">
                  <c:v>46235</c:v>
                </c:pt>
                <c:pt idx="29">
                  <c:v>46266</c:v>
                </c:pt>
                <c:pt idx="30">
                  <c:v>46296</c:v>
                </c:pt>
                <c:pt idx="31">
                  <c:v>46327</c:v>
                </c:pt>
                <c:pt idx="32">
                  <c:v>46357</c:v>
                </c:pt>
                <c:pt idx="33">
                  <c:v>46388</c:v>
                </c:pt>
                <c:pt idx="34">
                  <c:v>46419</c:v>
                </c:pt>
                <c:pt idx="35">
                  <c:v>46447</c:v>
                </c:pt>
                <c:pt idx="36">
                  <c:v>46478</c:v>
                </c:pt>
                <c:pt idx="37">
                  <c:v>46508</c:v>
                </c:pt>
                <c:pt idx="38">
                  <c:v>46539</c:v>
                </c:pt>
                <c:pt idx="39">
                  <c:v>46569</c:v>
                </c:pt>
                <c:pt idx="40">
                  <c:v>46600</c:v>
                </c:pt>
                <c:pt idx="41">
                  <c:v>46631</c:v>
                </c:pt>
                <c:pt idx="42">
                  <c:v>46661</c:v>
                </c:pt>
                <c:pt idx="43">
                  <c:v>46692</c:v>
                </c:pt>
                <c:pt idx="44">
                  <c:v>46722</c:v>
                </c:pt>
                <c:pt idx="45">
                  <c:v>46753</c:v>
                </c:pt>
                <c:pt idx="46">
                  <c:v>46784</c:v>
                </c:pt>
                <c:pt idx="47">
                  <c:v>46813</c:v>
                </c:pt>
                <c:pt idx="48">
                  <c:v>46844</c:v>
                </c:pt>
                <c:pt idx="49">
                  <c:v>46874</c:v>
                </c:pt>
                <c:pt idx="50">
                  <c:v>46905</c:v>
                </c:pt>
                <c:pt idx="51">
                  <c:v>46935</c:v>
                </c:pt>
                <c:pt idx="52">
                  <c:v>46966</c:v>
                </c:pt>
                <c:pt idx="53">
                  <c:v>46997</c:v>
                </c:pt>
                <c:pt idx="54">
                  <c:v>47027</c:v>
                </c:pt>
                <c:pt idx="55">
                  <c:v>47058</c:v>
                </c:pt>
                <c:pt idx="56">
                  <c:v>47088</c:v>
                </c:pt>
                <c:pt idx="57">
                  <c:v>47119</c:v>
                </c:pt>
                <c:pt idx="58">
                  <c:v>47150</c:v>
                </c:pt>
                <c:pt idx="59">
                  <c:v>47178</c:v>
                </c:pt>
                <c:pt idx="60">
                  <c:v>47209</c:v>
                </c:pt>
                <c:pt idx="61">
                  <c:v>47239</c:v>
                </c:pt>
                <c:pt idx="62">
                  <c:v>47270</c:v>
                </c:pt>
                <c:pt idx="63">
                  <c:v>47300</c:v>
                </c:pt>
                <c:pt idx="64">
                  <c:v>47331</c:v>
                </c:pt>
                <c:pt idx="65">
                  <c:v>47362</c:v>
                </c:pt>
                <c:pt idx="66">
                  <c:v>47392</c:v>
                </c:pt>
                <c:pt idx="67">
                  <c:v>47423</c:v>
                </c:pt>
                <c:pt idx="68">
                  <c:v>47453</c:v>
                </c:pt>
                <c:pt idx="69">
                  <c:v>47484</c:v>
                </c:pt>
                <c:pt idx="70">
                  <c:v>47515</c:v>
                </c:pt>
                <c:pt idx="71">
                  <c:v>47543</c:v>
                </c:pt>
                <c:pt idx="72">
                  <c:v>47574</c:v>
                </c:pt>
                <c:pt idx="73">
                  <c:v>47604</c:v>
                </c:pt>
                <c:pt idx="74">
                  <c:v>47635</c:v>
                </c:pt>
                <c:pt idx="75">
                  <c:v>47665</c:v>
                </c:pt>
                <c:pt idx="76">
                  <c:v>47696</c:v>
                </c:pt>
                <c:pt idx="77">
                  <c:v>47727</c:v>
                </c:pt>
                <c:pt idx="78">
                  <c:v>47757</c:v>
                </c:pt>
                <c:pt idx="79">
                  <c:v>47788</c:v>
                </c:pt>
                <c:pt idx="80">
                  <c:v>47818</c:v>
                </c:pt>
                <c:pt idx="81">
                  <c:v>47849</c:v>
                </c:pt>
                <c:pt idx="82">
                  <c:v>47880</c:v>
                </c:pt>
                <c:pt idx="83">
                  <c:v>47908</c:v>
                </c:pt>
                <c:pt idx="84">
                  <c:v>47939</c:v>
                </c:pt>
                <c:pt idx="85">
                  <c:v>47969</c:v>
                </c:pt>
                <c:pt idx="86">
                  <c:v>48000</c:v>
                </c:pt>
                <c:pt idx="87">
                  <c:v>48030</c:v>
                </c:pt>
                <c:pt idx="88">
                  <c:v>48061</c:v>
                </c:pt>
                <c:pt idx="89">
                  <c:v>48092</c:v>
                </c:pt>
                <c:pt idx="90">
                  <c:v>48122</c:v>
                </c:pt>
                <c:pt idx="91">
                  <c:v>48153</c:v>
                </c:pt>
                <c:pt idx="92">
                  <c:v>48183</c:v>
                </c:pt>
                <c:pt idx="93">
                  <c:v>48214</c:v>
                </c:pt>
                <c:pt idx="94">
                  <c:v>48245</c:v>
                </c:pt>
                <c:pt idx="95">
                  <c:v>48274</c:v>
                </c:pt>
                <c:pt idx="96">
                  <c:v>48305</c:v>
                </c:pt>
                <c:pt idx="97">
                  <c:v>48335</c:v>
                </c:pt>
                <c:pt idx="98">
                  <c:v>48366</c:v>
                </c:pt>
                <c:pt idx="99">
                  <c:v>48396</c:v>
                </c:pt>
                <c:pt idx="100">
                  <c:v>48427</c:v>
                </c:pt>
                <c:pt idx="101">
                  <c:v>48458</c:v>
                </c:pt>
                <c:pt idx="102">
                  <c:v>48488</c:v>
                </c:pt>
                <c:pt idx="103">
                  <c:v>48519</c:v>
                </c:pt>
                <c:pt idx="104">
                  <c:v>48549</c:v>
                </c:pt>
                <c:pt idx="105">
                  <c:v>48580</c:v>
                </c:pt>
                <c:pt idx="106">
                  <c:v>48611</c:v>
                </c:pt>
                <c:pt idx="107">
                  <c:v>48639</c:v>
                </c:pt>
                <c:pt idx="108">
                  <c:v>48670</c:v>
                </c:pt>
                <c:pt idx="109">
                  <c:v>48700</c:v>
                </c:pt>
                <c:pt idx="110">
                  <c:v>48731</c:v>
                </c:pt>
                <c:pt idx="111">
                  <c:v>48761</c:v>
                </c:pt>
                <c:pt idx="112">
                  <c:v>48792</c:v>
                </c:pt>
                <c:pt idx="113">
                  <c:v>48823</c:v>
                </c:pt>
                <c:pt idx="114">
                  <c:v>48853</c:v>
                </c:pt>
                <c:pt idx="115">
                  <c:v>48884</c:v>
                </c:pt>
                <c:pt idx="116">
                  <c:v>48914</c:v>
                </c:pt>
                <c:pt idx="117">
                  <c:v>48945</c:v>
                </c:pt>
                <c:pt idx="118">
                  <c:v>48976</c:v>
                </c:pt>
                <c:pt idx="119">
                  <c:v>49004</c:v>
                </c:pt>
                <c:pt idx="120">
                  <c:v>49035</c:v>
                </c:pt>
                <c:pt idx="121">
                  <c:v>49065</c:v>
                </c:pt>
                <c:pt idx="122">
                  <c:v>49096</c:v>
                </c:pt>
                <c:pt idx="123">
                  <c:v>49126</c:v>
                </c:pt>
                <c:pt idx="124">
                  <c:v>49157</c:v>
                </c:pt>
                <c:pt idx="125">
                  <c:v>49188</c:v>
                </c:pt>
                <c:pt idx="126">
                  <c:v>49218</c:v>
                </c:pt>
                <c:pt idx="127">
                  <c:v>49249</c:v>
                </c:pt>
                <c:pt idx="128">
                  <c:v>49279</c:v>
                </c:pt>
                <c:pt idx="129">
                  <c:v>49310</c:v>
                </c:pt>
                <c:pt idx="130">
                  <c:v>49341</c:v>
                </c:pt>
                <c:pt idx="131">
                  <c:v>49369</c:v>
                </c:pt>
                <c:pt idx="132">
                  <c:v>49400</c:v>
                </c:pt>
                <c:pt idx="133">
                  <c:v>49430</c:v>
                </c:pt>
                <c:pt idx="134">
                  <c:v>49461</c:v>
                </c:pt>
                <c:pt idx="135">
                  <c:v>49491</c:v>
                </c:pt>
                <c:pt idx="136">
                  <c:v>49522</c:v>
                </c:pt>
                <c:pt idx="137">
                  <c:v>49553</c:v>
                </c:pt>
                <c:pt idx="138">
                  <c:v>49583</c:v>
                </c:pt>
                <c:pt idx="139">
                  <c:v>49614</c:v>
                </c:pt>
                <c:pt idx="140">
                  <c:v>49644</c:v>
                </c:pt>
                <c:pt idx="141">
                  <c:v>49675</c:v>
                </c:pt>
                <c:pt idx="142">
                  <c:v>49706</c:v>
                </c:pt>
                <c:pt idx="143">
                  <c:v>49735</c:v>
                </c:pt>
                <c:pt idx="144">
                  <c:v>49766</c:v>
                </c:pt>
                <c:pt idx="145">
                  <c:v>49796</c:v>
                </c:pt>
                <c:pt idx="146">
                  <c:v>49827</c:v>
                </c:pt>
                <c:pt idx="147">
                  <c:v>49857</c:v>
                </c:pt>
                <c:pt idx="148">
                  <c:v>49888</c:v>
                </c:pt>
                <c:pt idx="149">
                  <c:v>49919</c:v>
                </c:pt>
                <c:pt idx="150">
                  <c:v>49949</c:v>
                </c:pt>
                <c:pt idx="151">
                  <c:v>49980</c:v>
                </c:pt>
                <c:pt idx="152">
                  <c:v>50010</c:v>
                </c:pt>
                <c:pt idx="153">
                  <c:v>50041</c:v>
                </c:pt>
                <c:pt idx="154">
                  <c:v>50072</c:v>
                </c:pt>
                <c:pt idx="155">
                  <c:v>50100</c:v>
                </c:pt>
                <c:pt idx="156">
                  <c:v>50131</c:v>
                </c:pt>
                <c:pt idx="157">
                  <c:v>50161</c:v>
                </c:pt>
                <c:pt idx="158">
                  <c:v>50192</c:v>
                </c:pt>
                <c:pt idx="159">
                  <c:v>50222</c:v>
                </c:pt>
                <c:pt idx="160">
                  <c:v>50253</c:v>
                </c:pt>
                <c:pt idx="161">
                  <c:v>50284</c:v>
                </c:pt>
                <c:pt idx="162">
                  <c:v>50314</c:v>
                </c:pt>
                <c:pt idx="163">
                  <c:v>50345</c:v>
                </c:pt>
                <c:pt idx="164">
                  <c:v>50375</c:v>
                </c:pt>
                <c:pt idx="165">
                  <c:v>50406</c:v>
                </c:pt>
                <c:pt idx="166">
                  <c:v>50437</c:v>
                </c:pt>
                <c:pt idx="167">
                  <c:v>50465</c:v>
                </c:pt>
                <c:pt idx="168">
                  <c:v>50496</c:v>
                </c:pt>
                <c:pt idx="169">
                  <c:v>50526</c:v>
                </c:pt>
                <c:pt idx="170">
                  <c:v>50557</c:v>
                </c:pt>
                <c:pt idx="171">
                  <c:v>50587</c:v>
                </c:pt>
                <c:pt idx="172">
                  <c:v>50618</c:v>
                </c:pt>
                <c:pt idx="173">
                  <c:v>50649</c:v>
                </c:pt>
                <c:pt idx="174">
                  <c:v>50679</c:v>
                </c:pt>
                <c:pt idx="175">
                  <c:v>50710</c:v>
                </c:pt>
                <c:pt idx="176">
                  <c:v>50740</c:v>
                </c:pt>
                <c:pt idx="177">
                  <c:v>50771</c:v>
                </c:pt>
                <c:pt idx="178">
                  <c:v>50802</c:v>
                </c:pt>
                <c:pt idx="179">
                  <c:v>50830</c:v>
                </c:pt>
                <c:pt idx="180">
                  <c:v>50861</c:v>
                </c:pt>
                <c:pt idx="181">
                  <c:v>50891</c:v>
                </c:pt>
                <c:pt idx="182">
                  <c:v>50922</c:v>
                </c:pt>
                <c:pt idx="183">
                  <c:v>50952</c:v>
                </c:pt>
                <c:pt idx="184">
                  <c:v>50983</c:v>
                </c:pt>
                <c:pt idx="185">
                  <c:v>51014</c:v>
                </c:pt>
                <c:pt idx="186">
                  <c:v>51044</c:v>
                </c:pt>
                <c:pt idx="187">
                  <c:v>51075</c:v>
                </c:pt>
                <c:pt idx="188">
                  <c:v>51105</c:v>
                </c:pt>
                <c:pt idx="189">
                  <c:v>51136</c:v>
                </c:pt>
                <c:pt idx="190">
                  <c:v>51167</c:v>
                </c:pt>
                <c:pt idx="191">
                  <c:v>51196</c:v>
                </c:pt>
                <c:pt idx="192">
                  <c:v>51227</c:v>
                </c:pt>
                <c:pt idx="193">
                  <c:v>51257</c:v>
                </c:pt>
                <c:pt idx="194">
                  <c:v>51288</c:v>
                </c:pt>
                <c:pt idx="195">
                  <c:v>51318</c:v>
                </c:pt>
                <c:pt idx="196">
                  <c:v>51349</c:v>
                </c:pt>
                <c:pt idx="197">
                  <c:v>51380</c:v>
                </c:pt>
                <c:pt idx="198">
                  <c:v>51410</c:v>
                </c:pt>
                <c:pt idx="199">
                  <c:v>51441</c:v>
                </c:pt>
                <c:pt idx="200">
                  <c:v>51471</c:v>
                </c:pt>
                <c:pt idx="201">
                  <c:v>51502</c:v>
                </c:pt>
                <c:pt idx="202">
                  <c:v>51533</c:v>
                </c:pt>
                <c:pt idx="203">
                  <c:v>51561</c:v>
                </c:pt>
                <c:pt idx="204">
                  <c:v>51592</c:v>
                </c:pt>
                <c:pt idx="205">
                  <c:v>51622</c:v>
                </c:pt>
                <c:pt idx="206">
                  <c:v>51653</c:v>
                </c:pt>
                <c:pt idx="207">
                  <c:v>51683</c:v>
                </c:pt>
                <c:pt idx="208">
                  <c:v>51714</c:v>
                </c:pt>
                <c:pt idx="209">
                  <c:v>51745</c:v>
                </c:pt>
                <c:pt idx="210">
                  <c:v>51775</c:v>
                </c:pt>
                <c:pt idx="211">
                  <c:v>51806</c:v>
                </c:pt>
                <c:pt idx="212">
                  <c:v>51836</c:v>
                </c:pt>
                <c:pt idx="213">
                  <c:v>51867</c:v>
                </c:pt>
                <c:pt idx="214">
                  <c:v>51898</c:v>
                </c:pt>
                <c:pt idx="215">
                  <c:v>51926</c:v>
                </c:pt>
                <c:pt idx="216">
                  <c:v>51957</c:v>
                </c:pt>
                <c:pt idx="217">
                  <c:v>51987</c:v>
                </c:pt>
                <c:pt idx="218">
                  <c:v>52018</c:v>
                </c:pt>
                <c:pt idx="219">
                  <c:v>52048</c:v>
                </c:pt>
                <c:pt idx="220">
                  <c:v>52079</c:v>
                </c:pt>
                <c:pt idx="221">
                  <c:v>52110</c:v>
                </c:pt>
                <c:pt idx="222">
                  <c:v>52140</c:v>
                </c:pt>
                <c:pt idx="223">
                  <c:v>52171</c:v>
                </c:pt>
                <c:pt idx="224">
                  <c:v>52201</c:v>
                </c:pt>
                <c:pt idx="225">
                  <c:v>52232</c:v>
                </c:pt>
                <c:pt idx="226">
                  <c:v>52263</c:v>
                </c:pt>
                <c:pt idx="227">
                  <c:v>52291</c:v>
                </c:pt>
                <c:pt idx="228">
                  <c:v>52322</c:v>
                </c:pt>
                <c:pt idx="229">
                  <c:v>52352</c:v>
                </c:pt>
                <c:pt idx="230">
                  <c:v>52383</c:v>
                </c:pt>
                <c:pt idx="231">
                  <c:v>52413</c:v>
                </c:pt>
                <c:pt idx="232">
                  <c:v>52444</c:v>
                </c:pt>
                <c:pt idx="233">
                  <c:v>52475</c:v>
                </c:pt>
                <c:pt idx="234">
                  <c:v>52505</c:v>
                </c:pt>
                <c:pt idx="235">
                  <c:v>52536</c:v>
                </c:pt>
                <c:pt idx="236">
                  <c:v>52566</c:v>
                </c:pt>
                <c:pt idx="237">
                  <c:v>52597</c:v>
                </c:pt>
                <c:pt idx="238">
                  <c:v>52628</c:v>
                </c:pt>
                <c:pt idx="239">
                  <c:v>52657</c:v>
                </c:pt>
                <c:pt idx="240">
                  <c:v>52688</c:v>
                </c:pt>
                <c:pt idx="241">
                  <c:v>52718</c:v>
                </c:pt>
                <c:pt idx="242">
                  <c:v>52749</c:v>
                </c:pt>
                <c:pt idx="243">
                  <c:v>52779</c:v>
                </c:pt>
                <c:pt idx="244">
                  <c:v>52810</c:v>
                </c:pt>
                <c:pt idx="245">
                  <c:v>52841</c:v>
                </c:pt>
                <c:pt idx="246">
                  <c:v>52871</c:v>
                </c:pt>
                <c:pt idx="247">
                  <c:v>52902</c:v>
                </c:pt>
                <c:pt idx="248">
                  <c:v>52932</c:v>
                </c:pt>
                <c:pt idx="249">
                  <c:v>52963</c:v>
                </c:pt>
                <c:pt idx="250">
                  <c:v>52994</c:v>
                </c:pt>
                <c:pt idx="251">
                  <c:v>53022</c:v>
                </c:pt>
                <c:pt idx="252">
                  <c:v>53053</c:v>
                </c:pt>
                <c:pt idx="253">
                  <c:v>53083</c:v>
                </c:pt>
                <c:pt idx="254">
                  <c:v>53114</c:v>
                </c:pt>
                <c:pt idx="255">
                  <c:v>53144</c:v>
                </c:pt>
                <c:pt idx="256">
                  <c:v>53175</c:v>
                </c:pt>
                <c:pt idx="257">
                  <c:v>53206</c:v>
                </c:pt>
                <c:pt idx="258">
                  <c:v>53236</c:v>
                </c:pt>
                <c:pt idx="259">
                  <c:v>53267</c:v>
                </c:pt>
                <c:pt idx="260">
                  <c:v>53297</c:v>
                </c:pt>
                <c:pt idx="261">
                  <c:v>53328</c:v>
                </c:pt>
                <c:pt idx="262">
                  <c:v>53359</c:v>
                </c:pt>
                <c:pt idx="263">
                  <c:v>53387</c:v>
                </c:pt>
                <c:pt idx="264">
                  <c:v>53418</c:v>
                </c:pt>
                <c:pt idx="265">
                  <c:v>53448</c:v>
                </c:pt>
                <c:pt idx="266">
                  <c:v>53479</c:v>
                </c:pt>
                <c:pt idx="267">
                  <c:v>53509</c:v>
                </c:pt>
                <c:pt idx="268">
                  <c:v>53540</c:v>
                </c:pt>
                <c:pt idx="269">
                  <c:v>53571</c:v>
                </c:pt>
                <c:pt idx="270">
                  <c:v>53601</c:v>
                </c:pt>
                <c:pt idx="271">
                  <c:v>53632</c:v>
                </c:pt>
                <c:pt idx="272">
                  <c:v>53662</c:v>
                </c:pt>
                <c:pt idx="273">
                  <c:v>53693</c:v>
                </c:pt>
                <c:pt idx="274">
                  <c:v>53724</c:v>
                </c:pt>
                <c:pt idx="275">
                  <c:v>53752</c:v>
                </c:pt>
                <c:pt idx="276">
                  <c:v>53783</c:v>
                </c:pt>
                <c:pt idx="277">
                  <c:v>53813</c:v>
                </c:pt>
                <c:pt idx="278">
                  <c:v>53844</c:v>
                </c:pt>
                <c:pt idx="279">
                  <c:v>53874</c:v>
                </c:pt>
                <c:pt idx="280">
                  <c:v>53905</c:v>
                </c:pt>
                <c:pt idx="281">
                  <c:v>53936</c:v>
                </c:pt>
                <c:pt idx="282">
                  <c:v>53966</c:v>
                </c:pt>
                <c:pt idx="283">
                  <c:v>53997</c:v>
                </c:pt>
                <c:pt idx="284">
                  <c:v>54027</c:v>
                </c:pt>
                <c:pt idx="285">
                  <c:v>54058</c:v>
                </c:pt>
                <c:pt idx="286">
                  <c:v>54089</c:v>
                </c:pt>
                <c:pt idx="287">
                  <c:v>54118</c:v>
                </c:pt>
                <c:pt idx="288">
                  <c:v>54149</c:v>
                </c:pt>
                <c:pt idx="289">
                  <c:v>54179</c:v>
                </c:pt>
                <c:pt idx="290">
                  <c:v>54210</c:v>
                </c:pt>
                <c:pt idx="291">
                  <c:v>54240</c:v>
                </c:pt>
                <c:pt idx="292">
                  <c:v>54271</c:v>
                </c:pt>
                <c:pt idx="293">
                  <c:v>54302</c:v>
                </c:pt>
                <c:pt idx="294">
                  <c:v>54332</c:v>
                </c:pt>
                <c:pt idx="295">
                  <c:v>54363</c:v>
                </c:pt>
                <c:pt idx="296">
                  <c:v>54393</c:v>
                </c:pt>
                <c:pt idx="297">
                  <c:v>54424</c:v>
                </c:pt>
                <c:pt idx="298">
                  <c:v>54455</c:v>
                </c:pt>
                <c:pt idx="299">
                  <c:v>54483</c:v>
                </c:pt>
                <c:pt idx="300">
                  <c:v>54514</c:v>
                </c:pt>
                <c:pt idx="301">
                  <c:v>54544</c:v>
                </c:pt>
                <c:pt idx="302">
                  <c:v>54575</c:v>
                </c:pt>
                <c:pt idx="303">
                  <c:v>54605</c:v>
                </c:pt>
                <c:pt idx="304">
                  <c:v>54636</c:v>
                </c:pt>
                <c:pt idx="305">
                  <c:v>54667</c:v>
                </c:pt>
                <c:pt idx="306">
                  <c:v>54697</c:v>
                </c:pt>
                <c:pt idx="307">
                  <c:v>54728</c:v>
                </c:pt>
                <c:pt idx="308">
                  <c:v>54758</c:v>
                </c:pt>
                <c:pt idx="309">
                  <c:v>54789</c:v>
                </c:pt>
                <c:pt idx="310">
                  <c:v>54820</c:v>
                </c:pt>
                <c:pt idx="311">
                  <c:v>54848</c:v>
                </c:pt>
                <c:pt idx="312">
                  <c:v>54879</c:v>
                </c:pt>
                <c:pt idx="313">
                  <c:v>54909</c:v>
                </c:pt>
                <c:pt idx="314">
                  <c:v>54940</c:v>
                </c:pt>
                <c:pt idx="315">
                  <c:v>54970</c:v>
                </c:pt>
                <c:pt idx="316">
                  <c:v>55001</c:v>
                </c:pt>
                <c:pt idx="317">
                  <c:v>55032</c:v>
                </c:pt>
                <c:pt idx="318">
                  <c:v>55062</c:v>
                </c:pt>
                <c:pt idx="319">
                  <c:v>55093</c:v>
                </c:pt>
                <c:pt idx="320">
                  <c:v>55123</c:v>
                </c:pt>
                <c:pt idx="321">
                  <c:v>55154</c:v>
                </c:pt>
                <c:pt idx="322">
                  <c:v>55185</c:v>
                </c:pt>
                <c:pt idx="323">
                  <c:v>55213</c:v>
                </c:pt>
                <c:pt idx="324">
                  <c:v>55244</c:v>
                </c:pt>
                <c:pt idx="325">
                  <c:v>55274</c:v>
                </c:pt>
                <c:pt idx="326">
                  <c:v>55305</c:v>
                </c:pt>
                <c:pt idx="327">
                  <c:v>55335</c:v>
                </c:pt>
                <c:pt idx="328">
                  <c:v>55366</c:v>
                </c:pt>
                <c:pt idx="329">
                  <c:v>55397</c:v>
                </c:pt>
                <c:pt idx="330">
                  <c:v>55427</c:v>
                </c:pt>
                <c:pt idx="331">
                  <c:v>55458</c:v>
                </c:pt>
                <c:pt idx="332">
                  <c:v>55488</c:v>
                </c:pt>
                <c:pt idx="333">
                  <c:v>55519</c:v>
                </c:pt>
                <c:pt idx="334">
                  <c:v>55550</c:v>
                </c:pt>
                <c:pt idx="335">
                  <c:v>55579</c:v>
                </c:pt>
                <c:pt idx="336">
                  <c:v>55610</c:v>
                </c:pt>
                <c:pt idx="337">
                  <c:v>55640</c:v>
                </c:pt>
                <c:pt idx="338">
                  <c:v>55671</c:v>
                </c:pt>
                <c:pt idx="339">
                  <c:v>55701</c:v>
                </c:pt>
                <c:pt idx="340">
                  <c:v>55732</c:v>
                </c:pt>
                <c:pt idx="341">
                  <c:v>55763</c:v>
                </c:pt>
                <c:pt idx="342">
                  <c:v>55793</c:v>
                </c:pt>
                <c:pt idx="343">
                  <c:v>55824</c:v>
                </c:pt>
                <c:pt idx="344">
                  <c:v>55854</c:v>
                </c:pt>
                <c:pt idx="345">
                  <c:v>55885</c:v>
                </c:pt>
                <c:pt idx="346">
                  <c:v>55916</c:v>
                </c:pt>
                <c:pt idx="347">
                  <c:v>55944</c:v>
                </c:pt>
                <c:pt idx="348">
                  <c:v>55975</c:v>
                </c:pt>
                <c:pt idx="349">
                  <c:v>56005</c:v>
                </c:pt>
                <c:pt idx="350">
                  <c:v>56036</c:v>
                </c:pt>
                <c:pt idx="351">
                  <c:v>56066</c:v>
                </c:pt>
                <c:pt idx="352">
                  <c:v>56097</c:v>
                </c:pt>
                <c:pt idx="353">
                  <c:v>56128</c:v>
                </c:pt>
                <c:pt idx="354">
                  <c:v>56158</c:v>
                </c:pt>
                <c:pt idx="355">
                  <c:v>56189</c:v>
                </c:pt>
                <c:pt idx="356">
                  <c:v>56219</c:v>
                </c:pt>
                <c:pt idx="357">
                  <c:v>56250</c:v>
                </c:pt>
                <c:pt idx="358">
                  <c:v>56281</c:v>
                </c:pt>
                <c:pt idx="359">
                  <c:v>56309</c:v>
                </c:pt>
              </c:numCache>
            </c:numRef>
          </c:cat>
          <c:val>
            <c:numRef>
              <c:f>' טבלת סילוקין - מסכמת'!$H$4:$H$363</c:f>
              <c:numCache>
                <c:formatCode>"₪"#,##0_);\("₪"#,##0\)</c:formatCode>
                <c:ptCount val="360"/>
                <c:pt idx="0">
                  <c:v>5472.174910377471</c:v>
                </c:pt>
                <c:pt idx="1">
                  <c:v>5467.6560809799821</c:v>
                </c:pt>
                <c:pt idx="2">
                  <c:v>5468.3667053273421</c:v>
                </c:pt>
                <c:pt idx="3">
                  <c:v>5469.0784640271204</c:v>
                </c:pt>
                <c:pt idx="4">
                  <c:v>5469.7913588020747</c:v>
                </c:pt>
                <c:pt idx="5">
                  <c:v>5470.5053913776774</c:v>
                </c:pt>
                <c:pt idx="6">
                  <c:v>5471.2205634821448</c:v>
                </c:pt>
                <c:pt idx="7">
                  <c:v>5471.9368768464319</c:v>
                </c:pt>
                <c:pt idx="8">
                  <c:v>5472.6543332042584</c:v>
                </c:pt>
                <c:pt idx="9">
                  <c:v>5473.3729342921188</c:v>
                </c:pt>
                <c:pt idx="10">
                  <c:v>5474.0926818492935</c:v>
                </c:pt>
                <c:pt idx="11">
                  <c:v>5474.8135776178624</c:v>
                </c:pt>
                <c:pt idx="12">
                  <c:v>5475.5356233427265</c:v>
                </c:pt>
                <c:pt idx="13">
                  <c:v>5476.2588207716117</c:v>
                </c:pt>
                <c:pt idx="14">
                  <c:v>5476.9831716550889</c:v>
                </c:pt>
                <c:pt idx="15">
                  <c:v>5477.7086777465902</c:v>
                </c:pt>
                <c:pt idx="16">
                  <c:v>5478.435340802419</c:v>
                </c:pt>
                <c:pt idx="17">
                  <c:v>5479.1631625817718</c:v>
                </c:pt>
                <c:pt idx="18">
                  <c:v>5479.8921448467463</c:v>
                </c:pt>
                <c:pt idx="19">
                  <c:v>5480.6222893623653</c:v>
                </c:pt>
                <c:pt idx="20">
                  <c:v>5481.3535978965865</c:v>
                </c:pt>
                <c:pt idx="21">
                  <c:v>5482.0860722203197</c:v>
                </c:pt>
                <c:pt idx="22">
                  <c:v>5482.8197141074525</c:v>
                </c:pt>
                <c:pt idx="23">
                  <c:v>5483.554525334851</c:v>
                </c:pt>
                <c:pt idx="24">
                  <c:v>5484.2905076823918</c:v>
                </c:pt>
                <c:pt idx="25">
                  <c:v>5485.0276629329746</c:v>
                </c:pt>
                <c:pt idx="26">
                  <c:v>5485.7659928725388</c:v>
                </c:pt>
                <c:pt idx="27">
                  <c:v>5486.5054992900841</c:v>
                </c:pt>
                <c:pt idx="28">
                  <c:v>5487.2461839776861</c:v>
                </c:pt>
                <c:pt idx="29">
                  <c:v>5487.9880487305236</c:v>
                </c:pt>
                <c:pt idx="30">
                  <c:v>5488.7310953468841</c:v>
                </c:pt>
                <c:pt idx="31">
                  <c:v>5489.4753256281983</c:v>
                </c:pt>
                <c:pt idx="32">
                  <c:v>5490.2207413790529</c:v>
                </c:pt>
                <c:pt idx="33">
                  <c:v>5490.9673444072096</c:v>
                </c:pt>
                <c:pt idx="34">
                  <c:v>5491.7151365236314</c:v>
                </c:pt>
                <c:pt idx="35">
                  <c:v>5492.4641195425002</c:v>
                </c:pt>
                <c:pt idx="36">
                  <c:v>5493.2142952812401</c:v>
                </c:pt>
                <c:pt idx="37">
                  <c:v>5493.9656655605395</c:v>
                </c:pt>
                <c:pt idx="38">
                  <c:v>5494.7182322043727</c:v>
                </c:pt>
                <c:pt idx="39">
                  <c:v>5495.4719970400274</c:v>
                </c:pt>
                <c:pt idx="40">
                  <c:v>5496.2269618981236</c:v>
                </c:pt>
                <c:pt idx="41">
                  <c:v>5496.9831286126364</c:v>
                </c:pt>
                <c:pt idx="42">
                  <c:v>5497.740499020927</c:v>
                </c:pt>
                <c:pt idx="43">
                  <c:v>5498.4990749637618</c:v>
                </c:pt>
                <c:pt idx="44">
                  <c:v>5499.2588582853441</c:v>
                </c:pt>
                <c:pt idx="45">
                  <c:v>5500.0198508333306</c:v>
                </c:pt>
                <c:pt idx="46">
                  <c:v>5500.7820544588676</c:v>
                </c:pt>
                <c:pt idx="47">
                  <c:v>5501.545471016615</c:v>
                </c:pt>
                <c:pt idx="48">
                  <c:v>5502.3101023647705</c:v>
                </c:pt>
                <c:pt idx="49">
                  <c:v>5503.0759503651016</c:v>
                </c:pt>
                <c:pt idx="50">
                  <c:v>5503.8430168829773</c:v>
                </c:pt>
                <c:pt idx="51">
                  <c:v>5504.6113037873893</c:v>
                </c:pt>
                <c:pt idx="52">
                  <c:v>5505.3808129509871</c:v>
                </c:pt>
                <c:pt idx="53">
                  <c:v>5506.1515462501102</c:v>
                </c:pt>
                <c:pt idx="54">
                  <c:v>5506.9235055648151</c:v>
                </c:pt>
                <c:pt idx="55">
                  <c:v>5507.6966927789135</c:v>
                </c:pt>
                <c:pt idx="56">
                  <c:v>5508.4711097799973</c:v>
                </c:pt>
                <c:pt idx="57">
                  <c:v>5509.246758459476</c:v>
                </c:pt>
                <c:pt idx="58">
                  <c:v>5510.0236407126122</c:v>
                </c:pt>
                <c:pt idx="59">
                  <c:v>5510.8017584385552</c:v>
                </c:pt>
                <c:pt idx="60">
                  <c:v>5511.5811135403728</c:v>
                </c:pt>
                <c:pt idx="61">
                  <c:v>5512.3617079250917</c:v>
                </c:pt>
                <c:pt idx="62">
                  <c:v>5513.1435435037365</c:v>
                </c:pt>
                <c:pt idx="63">
                  <c:v>5513.9266221913604</c:v>
                </c:pt>
                <c:pt idx="64">
                  <c:v>5514.7109459070934</c:v>
                </c:pt>
                <c:pt idx="65">
                  <c:v>5515.4965165741714</c:v>
                </c:pt>
                <c:pt idx="66">
                  <c:v>5516.2833361199837</c:v>
                </c:pt>
                <c:pt idx="67">
                  <c:v>5517.0714064761141</c:v>
                </c:pt>
                <c:pt idx="68">
                  <c:v>5517.8607295783786</c:v>
                </c:pt>
                <c:pt idx="69">
                  <c:v>5518.6513073668739</c:v>
                </c:pt>
                <c:pt idx="70">
                  <c:v>5519.4431417860169</c:v>
                </c:pt>
                <c:pt idx="71">
                  <c:v>5520.2362347845929</c:v>
                </c:pt>
                <c:pt idx="72">
                  <c:v>5521.0305883157989</c:v>
                </c:pt>
                <c:pt idx="73">
                  <c:v>5521.8262043372961</c:v>
                </c:pt>
                <c:pt idx="74">
                  <c:v>5522.6230848112518</c:v>
                </c:pt>
                <c:pt idx="75">
                  <c:v>5523.4212317043903</c:v>
                </c:pt>
                <c:pt idx="76">
                  <c:v>5524.2206469880475</c:v>
                </c:pt>
                <c:pt idx="77">
                  <c:v>5525.0213326382163</c:v>
                </c:pt>
                <c:pt idx="78">
                  <c:v>5525.8232906356061</c:v>
                </c:pt>
                <c:pt idx="79">
                  <c:v>5526.6265229656874</c:v>
                </c:pt>
                <c:pt idx="80">
                  <c:v>5527.4310316187612</c:v>
                </c:pt>
                <c:pt idx="81">
                  <c:v>5528.2368185899977</c:v>
                </c:pt>
                <c:pt idx="82">
                  <c:v>5529.0438858795114</c:v>
                </c:pt>
                <c:pt idx="83">
                  <c:v>5529.8522354924062</c:v>
                </c:pt>
                <c:pt idx="84">
                  <c:v>5530.6618694388471</c:v>
                </c:pt>
                <c:pt idx="85">
                  <c:v>5531.4727897341145</c:v>
                </c:pt>
                <c:pt idx="86">
                  <c:v>5532.2849983986735</c:v>
                </c:pt>
                <c:pt idx="87">
                  <c:v>5533.0984974582325</c:v>
                </c:pt>
                <c:pt idx="88">
                  <c:v>5533.913288943817</c:v>
                </c:pt>
                <c:pt idx="89">
                  <c:v>5534.7293748918337</c:v>
                </c:pt>
                <c:pt idx="90">
                  <c:v>5535.5467573441356</c:v>
                </c:pt>
                <c:pt idx="91">
                  <c:v>5536.365438348108</c:v>
                </c:pt>
                <c:pt idx="92">
                  <c:v>5537.185419956726</c:v>
                </c:pt>
                <c:pt idx="93">
                  <c:v>5538.0067042286373</c:v>
                </c:pt>
                <c:pt idx="94">
                  <c:v>5538.8292932282429</c:v>
                </c:pt>
                <c:pt idx="95">
                  <c:v>5539.6531890257647</c:v>
                </c:pt>
                <c:pt idx="96">
                  <c:v>5540.4783936973381</c:v>
                </c:pt>
                <c:pt idx="97">
                  <c:v>5541.3049093250902</c:v>
                </c:pt>
                <c:pt idx="98">
                  <c:v>5542.1327379972199</c:v>
                </c:pt>
                <c:pt idx="99">
                  <c:v>5542.9618818080926</c:v>
                </c:pt>
                <c:pt idx="100">
                  <c:v>5543.7923428583272</c:v>
                </c:pt>
                <c:pt idx="101">
                  <c:v>5544.6241232548864</c:v>
                </c:pt>
                <c:pt idx="102">
                  <c:v>5545.4572251111695</c:v>
                </c:pt>
                <c:pt idx="103">
                  <c:v>5546.291650547113</c:v>
                </c:pt>
                <c:pt idx="104">
                  <c:v>5547.1274016892876</c:v>
                </c:pt>
                <c:pt idx="105">
                  <c:v>5547.9644806709948</c:v>
                </c:pt>
                <c:pt idx="106">
                  <c:v>5548.8028896323785</c:v>
                </c:pt>
                <c:pt idx="107">
                  <c:v>5549.6426307205311</c:v>
                </c:pt>
                <c:pt idx="108">
                  <c:v>5550.4837060895952</c:v>
                </c:pt>
                <c:pt idx="109">
                  <c:v>5551.3261179008859</c:v>
                </c:pt>
                <c:pt idx="110">
                  <c:v>5552.1698683229988</c:v>
                </c:pt>
                <c:pt idx="111">
                  <c:v>5553.0149595319363</c:v>
                </c:pt>
                <c:pt idx="112">
                  <c:v>5553.8613937112186</c:v>
                </c:pt>
                <c:pt idx="113">
                  <c:v>5554.7091730520206</c:v>
                </c:pt>
                <c:pt idx="114">
                  <c:v>5555.5582997532947</c:v>
                </c:pt>
                <c:pt idx="115">
                  <c:v>5556.4087760218999</c:v>
                </c:pt>
                <c:pt idx="116">
                  <c:v>5557.2606040727424</c:v>
                </c:pt>
                <c:pt idx="117">
                  <c:v>5558.1137861289153</c:v>
                </c:pt>
                <c:pt idx="118">
                  <c:v>5558.9683244218359</c:v>
                </c:pt>
                <c:pt idx="119">
                  <c:v>5559.8242211914003</c:v>
                </c:pt>
                <c:pt idx="120">
                  <c:v>5560.6814786861305</c:v>
                </c:pt>
                <c:pt idx="121">
                  <c:v>5561.5400991633287</c:v>
                </c:pt>
                <c:pt idx="122">
                  <c:v>5562.4000848892429</c:v>
                </c:pt>
                <c:pt idx="123">
                  <c:v>5563.2614381392268</c:v>
                </c:pt>
                <c:pt idx="124">
                  <c:v>5564.1241611979076</c:v>
                </c:pt>
                <c:pt idx="125">
                  <c:v>5564.9882563593674</c:v>
                </c:pt>
                <c:pt idx="126">
                  <c:v>5565.8537259273162</c:v>
                </c:pt>
                <c:pt idx="127">
                  <c:v>5566.7205722152767</c:v>
                </c:pt>
                <c:pt idx="128">
                  <c:v>5567.5887975467795</c:v>
                </c:pt>
                <c:pt idx="129">
                  <c:v>5568.4584042555489</c:v>
                </c:pt>
                <c:pt idx="130">
                  <c:v>5569.3293946857139</c:v>
                </c:pt>
                <c:pt idx="131">
                  <c:v>5570.2017711920089</c:v>
                </c:pt>
                <c:pt idx="132">
                  <c:v>5571.0755361399915</c:v>
                </c:pt>
                <c:pt idx="133">
                  <c:v>5571.9506919062587</c:v>
                </c:pt>
                <c:pt idx="134">
                  <c:v>5572.8272408786752</c:v>
                </c:pt>
                <c:pt idx="135">
                  <c:v>5573.7051854566052</c:v>
                </c:pt>
                <c:pt idx="136">
                  <c:v>5574.584528051153</c:v>
                </c:pt>
                <c:pt idx="137">
                  <c:v>5575.4652710854161</c:v>
                </c:pt>
                <c:pt idx="138">
                  <c:v>5576.3474169947312</c:v>
                </c:pt>
                <c:pt idx="139">
                  <c:v>5577.2309682269461</c:v>
                </c:pt>
                <c:pt idx="140">
                  <c:v>5578.1159272426848</c:v>
                </c:pt>
                <c:pt idx="141">
                  <c:v>5579.0022965156331</c:v>
                </c:pt>
                <c:pt idx="142">
                  <c:v>5579.8900785328278</c:v>
                </c:pt>
                <c:pt idx="143">
                  <c:v>5580.7792757949501</c:v>
                </c:pt>
                <c:pt idx="144">
                  <c:v>5581.6698908166363</c:v>
                </c:pt>
                <c:pt idx="145">
                  <c:v>5582.5619261267984</c:v>
                </c:pt>
                <c:pt idx="146">
                  <c:v>5583.4553842689465</c:v>
                </c:pt>
                <c:pt idx="147">
                  <c:v>5584.3502678015338</c:v>
                </c:pt>
                <c:pt idx="148">
                  <c:v>5585.2465792983039</c:v>
                </c:pt>
                <c:pt idx="149">
                  <c:v>5586.1443213486518</c:v>
                </c:pt>
                <c:pt idx="150">
                  <c:v>5587.0434965579998</c:v>
                </c:pt>
                <c:pt idx="151">
                  <c:v>5587.9441075481827</c:v>
                </c:pt>
                <c:pt idx="152">
                  <c:v>5588.8461569578449</c:v>
                </c:pt>
                <c:pt idx="153">
                  <c:v>5589.749647442859</c:v>
                </c:pt>
                <c:pt idx="154">
                  <c:v>5590.6545816767484</c:v>
                </c:pt>
                <c:pt idx="155">
                  <c:v>5591.56096235113</c:v>
                </c:pt>
                <c:pt idx="156">
                  <c:v>5592.4687921761724</c:v>
                </c:pt>
                <c:pt idx="157">
                  <c:v>5593.3780738810683</c:v>
                </c:pt>
                <c:pt idx="158">
                  <c:v>5594.2888102145234</c:v>
                </c:pt>
                <c:pt idx="159">
                  <c:v>5595.2010039452643</c:v>
                </c:pt>
                <c:pt idx="160">
                  <c:v>5596.1146578625667</c:v>
                </c:pt>
                <c:pt idx="161">
                  <c:v>5597.0297747767936</c:v>
                </c:pt>
                <c:pt idx="162">
                  <c:v>5597.9463575199625</c:v>
                </c:pt>
                <c:pt idx="163">
                  <c:v>5598.8644089463278</c:v>
                </c:pt>
                <c:pt idx="164">
                  <c:v>5599.7839319329905</c:v>
                </c:pt>
                <c:pt idx="165">
                  <c:v>5600.7049293805194</c:v>
                </c:pt>
                <c:pt idx="166">
                  <c:v>5601.627404213612</c:v>
                </c:pt>
                <c:pt idx="167">
                  <c:v>5602.5513593817586</c:v>
                </c:pt>
                <c:pt idx="168">
                  <c:v>5603.4767978599521</c:v>
                </c:pt>
                <c:pt idx="169">
                  <c:v>5604.403722649412</c:v>
                </c:pt>
                <c:pt idx="170">
                  <c:v>5605.3321367783456</c:v>
                </c:pt>
                <c:pt idx="171">
                  <c:v>5606.2620433027259</c:v>
                </c:pt>
                <c:pt idx="172">
                  <c:v>5607.193445307109</c:v>
                </c:pt>
                <c:pt idx="173">
                  <c:v>5608.1263459054862</c:v>
                </c:pt>
                <c:pt idx="174">
                  <c:v>5609.0607482421601</c:v>
                </c:pt>
                <c:pt idx="175">
                  <c:v>5609.9966554926632</c:v>
                </c:pt>
                <c:pt idx="176">
                  <c:v>5610.9340708647105</c:v>
                </c:pt>
                <c:pt idx="177">
                  <c:v>5611.8729975991919</c:v>
                </c:pt>
                <c:pt idx="178">
                  <c:v>5612.8134389711977</c:v>
                </c:pt>
                <c:pt idx="179">
                  <c:v>5613.755398291104</c:v>
                </c:pt>
                <c:pt idx="180">
                  <c:v>5614.698878905685</c:v>
                </c:pt>
                <c:pt idx="181">
                  <c:v>5615.6438841992767</c:v>
                </c:pt>
                <c:pt idx="182">
                  <c:v>5616.590417595</c:v>
                </c:pt>
                <c:pt idx="183">
                  <c:v>5617.538482556015</c:v>
                </c:pt>
                <c:pt idx="184">
                  <c:v>5618.4880825868568</c:v>
                </c:pt>
                <c:pt idx="185">
                  <c:v>5619.4392212347984</c:v>
                </c:pt>
                <c:pt idx="186">
                  <c:v>5620.3919020913008</c:v>
                </c:pt>
                <c:pt idx="187">
                  <c:v>5621.3461287935106</c:v>
                </c:pt>
                <c:pt idx="188">
                  <c:v>5622.3019050258217</c:v>
                </c:pt>
                <c:pt idx="189">
                  <c:v>5623.2592345215253</c:v>
                </c:pt>
                <c:pt idx="190">
                  <c:v>5624.2181210645122</c:v>
                </c:pt>
                <c:pt idx="191">
                  <c:v>5625.1785684910683</c:v>
                </c:pt>
                <c:pt idx="192">
                  <c:v>5626.1405806917483</c:v>
                </c:pt>
                <c:pt idx="193">
                  <c:v>5627.1041616133307</c:v>
                </c:pt>
                <c:pt idx="194">
                  <c:v>5628.0693152608746</c:v>
                </c:pt>
                <c:pt idx="195">
                  <c:v>5629.0360456998687</c:v>
                </c:pt>
                <c:pt idx="196">
                  <c:v>5630.0043570584785</c:v>
                </c:pt>
                <c:pt idx="197">
                  <c:v>5630.9742535299092</c:v>
                </c:pt>
                <c:pt idx="198">
                  <c:v>5631.9457393748835</c:v>
                </c:pt>
                <c:pt idx="199">
                  <c:v>5632.9188189242377</c:v>
                </c:pt>
                <c:pt idx="200">
                  <c:v>5633.8934965816425</c:v>
                </c:pt>
                <c:pt idx="201">
                  <c:v>5634.8697768264747</c:v>
                </c:pt>
                <c:pt idx="202">
                  <c:v>5635.8476642168207</c:v>
                </c:pt>
                <c:pt idx="203">
                  <c:v>5636.8271633926415</c:v>
                </c:pt>
                <c:pt idx="204">
                  <c:v>5637.8082790790941</c:v>
                </c:pt>
                <c:pt idx="205">
                  <c:v>5638.7910160900365</c:v>
                </c:pt>
                <c:pt idx="206">
                  <c:v>5639.7753793317133</c:v>
                </c:pt>
                <c:pt idx="207">
                  <c:v>5640.7613738066339</c:v>
                </c:pt>
                <c:pt idx="208">
                  <c:v>5641.7490046176672</c:v>
                </c:pt>
                <c:pt idx="209">
                  <c:v>5642.7382769723581</c:v>
                </c:pt>
                <c:pt idx="210">
                  <c:v>5643.7291961874798</c:v>
                </c:pt>
                <c:pt idx="211">
                  <c:v>5644.721767693838</c:v>
                </c:pt>
                <c:pt idx="212">
                  <c:v>5645.7159970413586</c:v>
                </c:pt>
                <c:pt idx="213">
                  <c:v>5646.7118899044517</c:v>
                </c:pt>
                <c:pt idx="214">
                  <c:v>5647.7094520876899</c:v>
                </c:pt>
                <c:pt idx="215">
                  <c:v>5648.708689531828</c:v>
                </c:pt>
                <c:pt idx="216">
                  <c:v>5649.7096083201632</c:v>
                </c:pt>
                <c:pt idx="217">
                  <c:v>5650.7122146852853</c:v>
                </c:pt>
                <c:pt idx="218">
                  <c:v>5651.71651501624</c:v>
                </c:pt>
                <c:pt idx="219">
                  <c:v>5652.7225158661213</c:v>
                </c:pt>
                <c:pt idx="220">
                  <c:v>5653.7302239601413</c:v>
                </c:pt>
                <c:pt idx="221">
                  <c:v>5654.7396462042125</c:v>
                </c:pt>
                <c:pt idx="222">
                  <c:v>5655.7507896940615</c:v>
                </c:pt>
                <c:pt idx="223">
                  <c:v>5656.7636617249555</c:v>
                </c:pt>
                <c:pt idx="224">
                  <c:v>5657.7782698020374</c:v>
                </c:pt>
                <c:pt idx="225">
                  <c:v>5658.7946216513674</c:v>
                </c:pt>
                <c:pt idx="226">
                  <c:v>5659.8127252316963</c:v>
                </c:pt>
                <c:pt idx="227">
                  <c:v>5660.8325887470419</c:v>
                </c:pt>
                <c:pt idx="228">
                  <c:v>5661.8542206601387</c:v>
                </c:pt>
                <c:pt idx="229">
                  <c:v>5662.877629706818</c:v>
                </c:pt>
                <c:pt idx="230">
                  <c:v>5663.9028249114253</c:v>
                </c:pt>
                <c:pt idx="231">
                  <c:v>5664.9298156033374</c:v>
                </c:pt>
                <c:pt idx="232">
                  <c:v>5665.9586114346885</c:v>
                </c:pt>
                <c:pt idx="233">
                  <c:v>5666.9892223994175</c:v>
                </c:pt>
                <c:pt idx="234">
                  <c:v>5668.0216588537442</c:v>
                </c:pt>
                <c:pt idx="235">
                  <c:v>5669.0559315382197</c:v>
                </c:pt>
                <c:pt idx="236">
                  <c:v>5670.0920516014839</c:v>
                </c:pt>
                <c:pt idx="237">
                  <c:v>5671.1300306258991</c:v>
                </c:pt>
                <c:pt idx="238">
                  <c:v>5672.1698806552495</c:v>
                </c:pt>
                <c:pt idx="239">
                  <c:v>5673.2116142246832</c:v>
                </c:pt>
                <c:pt idx="240">
                  <c:v>5674.2552443931554</c:v>
                </c:pt>
                <c:pt idx="241">
                  <c:v>5675.3007847785975</c:v>
                </c:pt>
                <c:pt idx="242">
                  <c:v>5676.3482495961016</c:v>
                </c:pt>
                <c:pt idx="243">
                  <c:v>5677.3976536994433</c:v>
                </c:pt>
                <c:pt idx="244">
                  <c:v>5678.4490126262981</c:v>
                </c:pt>
                <c:pt idx="245">
                  <c:v>5679.5023426475382</c:v>
                </c:pt>
                <c:pt idx="246">
                  <c:v>5680.557660821084</c:v>
                </c:pt>
                <c:pt idx="247">
                  <c:v>5681.6149850508118</c:v>
                </c:pt>
                <c:pt idx="248">
                  <c:v>5682.6743341510901</c:v>
                </c:pt>
                <c:pt idx="249">
                  <c:v>5683.7357279176322</c:v>
                </c:pt>
                <c:pt idx="250">
                  <c:v>5684.7991872053954</c:v>
                </c:pt>
                <c:pt idx="251">
                  <c:v>5685.8647340143898</c:v>
                </c:pt>
                <c:pt idx="252">
                  <c:v>5686.9323915844061</c:v>
                </c:pt>
                <c:pt idx="253">
                  <c:v>5688.0021844997636</c:v>
                </c:pt>
                <c:pt idx="254">
                  <c:v>5689.0741388054103</c:v>
                </c:pt>
                <c:pt idx="255">
                  <c:v>5690.1482821358659</c:v>
                </c:pt>
                <c:pt idx="256">
                  <c:v>5691.2246438587672</c:v>
                </c:pt>
                <c:pt idx="257">
                  <c:v>5692.3032552350478</c:v>
                </c:pt>
                <c:pt idx="258">
                  <c:v>5693.3841495981032</c:v>
                </c:pt>
                <c:pt idx="259">
                  <c:v>5694.4673625547439</c:v>
                </c:pt>
                <c:pt idx="260">
                  <c:v>5695.552932211177</c:v>
                </c:pt>
                <c:pt idx="261">
                  <c:v>5696.6408994278499</c:v>
                </c:pt>
                <c:pt idx="262">
                  <c:v>5697.7313081077436</c:v>
                </c:pt>
                <c:pt idx="263">
                  <c:v>5698.8242055234668</c:v>
                </c:pt>
                <c:pt idx="264">
                  <c:v>5699.9196426896688</c:v>
                </c:pt>
                <c:pt idx="265">
                  <c:v>5701.0176747884716</c:v>
                </c:pt>
                <c:pt idx="266">
                  <c:v>5702.1183616572926</c:v>
                </c:pt>
                <c:pt idx="267">
                  <c:v>5703.2217683503623</c:v>
                </c:pt>
                <c:pt idx="268">
                  <c:v>5704.3279657877429</c:v>
                </c:pt>
                <c:pt idx="269">
                  <c:v>5705.437031508739</c:v>
                </c:pt>
                <c:pt idx="270">
                  <c:v>5706.5490505505486</c:v>
                </c:pt>
                <c:pt idx="271">
                  <c:v>5707.6641164780249</c:v>
                </c:pt>
                <c:pt idx="272">
                  <c:v>5708.7823325968839</c:v>
                </c:pt>
                <c:pt idx="273">
                  <c:v>5709.903813391029</c:v>
                </c:pt>
                <c:pt idx="274">
                  <c:v>5711.0286862356843</c:v>
                </c:pt>
                <c:pt idx="275">
                  <c:v>5712.1570934523779</c:v>
                </c:pt>
                <c:pt idx="276">
                  <c:v>5713.2891947911676</c:v>
                </c:pt>
                <c:pt idx="277">
                  <c:v>5714.4251704513827</c:v>
                </c:pt>
                <c:pt idx="278">
                  <c:v>5715.5652247875632</c:v>
                </c:pt>
                <c:pt idx="279">
                  <c:v>5716.7095908961574</c:v>
                </c:pt>
                <c:pt idx="280">
                  <c:v>5717.8585363468474</c:v>
                </c:pt>
                <c:pt idx="281">
                  <c:v>5719.0123704195967</c:v>
                </c:pt>
                <c:pt idx="282">
                  <c:v>5720.1714533487921</c:v>
                </c:pt>
                <c:pt idx="283">
                  <c:v>5721.3362082821277</c:v>
                </c:pt>
                <c:pt idx="284">
                  <c:v>5722.5071369713423</c:v>
                </c:pt>
                <c:pt idx="285">
                  <c:v>5723.6848406861627</c:v>
                </c:pt>
                <c:pt idx="286">
                  <c:v>5724.8700485881654</c:v>
                </c:pt>
                <c:pt idx="287">
                  <c:v>5726.0636570048728</c:v>
                </c:pt>
                <c:pt idx="288">
                  <c:v>5727.2667850502603</c:v>
                </c:pt>
                <c:pt idx="289">
                  <c:v>5728.4808555019972</c:v>
                </c:pt>
                <c:pt idx="290">
                  <c:v>5729.7077160801664</c:v>
                </c:pt>
                <c:pt idx="291">
                  <c:v>5730.9498280468788</c:v>
                </c:pt>
                <c:pt idx="292">
                  <c:v>5732.2105725922411</c:v>
                </c:pt>
                <c:pt idx="293">
                  <c:v>5733.4947759217039</c:v>
                </c:pt>
                <c:pt idx="294">
                  <c:v>5734.80967166147</c:v>
                </c:pt>
                <c:pt idx="295">
                  <c:v>5736.166825189578</c:v>
                </c:pt>
                <c:pt idx="296">
                  <c:v>5737.5864623829175</c:v>
                </c:pt>
                <c:pt idx="297">
                  <c:v>5739.1090105517624</c:v>
                </c:pt>
                <c:pt idx="298">
                  <c:v>5740.8354845543799</c:v>
                </c:pt>
                <c:pt idx="299">
                  <c:v>5743.1674462854999</c:v>
                </c:pt>
                <c:pt idx="300">
                  <c:v>3320.5314495390558</c:v>
                </c:pt>
                <c:pt idx="301">
                  <c:v>3320.481556819318</c:v>
                </c:pt>
                <c:pt idx="302">
                  <c:v>3320.4314437400685</c:v>
                </c:pt>
                <c:pt idx="303">
                  <c:v>3320.3811093280519</c:v>
                </c:pt>
                <c:pt idx="304">
                  <c:v>3320.330552605717</c:v>
                </c:pt>
                <c:pt idx="305">
                  <c:v>3320.279772591191</c:v>
                </c:pt>
                <c:pt idx="306">
                  <c:v>3320.2287682982678</c:v>
                </c:pt>
                <c:pt idx="307">
                  <c:v>3320.1775387363832</c:v>
                </c:pt>
                <c:pt idx="308">
                  <c:v>3320.1260829106018</c:v>
                </c:pt>
                <c:pt idx="309">
                  <c:v>3320.0743998215889</c:v>
                </c:pt>
                <c:pt idx="310">
                  <c:v>3320.0224884655981</c:v>
                </c:pt>
                <c:pt idx="311">
                  <c:v>3319.9703478344536</c:v>
                </c:pt>
                <c:pt idx="312">
                  <c:v>3319.9179769155216</c:v>
                </c:pt>
                <c:pt idx="313">
                  <c:v>3319.8653746916975</c:v>
                </c:pt>
                <c:pt idx="314">
                  <c:v>3319.8125401413836</c:v>
                </c:pt>
                <c:pt idx="315">
                  <c:v>3319.7594722384738</c:v>
                </c:pt>
                <c:pt idx="316">
                  <c:v>3319.7061699523256</c:v>
                </c:pt>
                <c:pt idx="317">
                  <c:v>3319.652632247748</c:v>
                </c:pt>
                <c:pt idx="318">
                  <c:v>3319.598858084973</c:v>
                </c:pt>
                <c:pt idx="319">
                  <c:v>3319.544846419647</c:v>
                </c:pt>
                <c:pt idx="320">
                  <c:v>3319.4905962027992</c:v>
                </c:pt>
                <c:pt idx="321">
                  <c:v>3319.4361063808265</c:v>
                </c:pt>
                <c:pt idx="322">
                  <c:v>3319.3813758954739</c:v>
                </c:pt>
                <c:pt idx="323">
                  <c:v>3319.3264036838109</c:v>
                </c:pt>
                <c:pt idx="324">
                  <c:v>3319.2711886782126</c:v>
                </c:pt>
                <c:pt idx="325">
                  <c:v>3319.2157298063407</c:v>
                </c:pt>
                <c:pt idx="326">
                  <c:v>3319.160025991117</c:v>
                </c:pt>
                <c:pt idx="327">
                  <c:v>3319.1040761507093</c:v>
                </c:pt>
                <c:pt idx="328">
                  <c:v>3319.0478791985074</c:v>
                </c:pt>
                <c:pt idx="329">
                  <c:v>3318.9914340430996</c:v>
                </c:pt>
                <c:pt idx="330">
                  <c:v>3318.9347395882555</c:v>
                </c:pt>
                <c:pt idx="331">
                  <c:v>3318.8777947329013</c:v>
                </c:pt>
                <c:pt idx="332">
                  <c:v>3318.8205983711046</c:v>
                </c:pt>
                <c:pt idx="333">
                  <c:v>3318.7631493920421</c:v>
                </c:pt>
                <c:pt idx="334">
                  <c:v>3318.7054466799896</c:v>
                </c:pt>
                <c:pt idx="335">
                  <c:v>3318.6474891142907</c:v>
                </c:pt>
                <c:pt idx="336">
                  <c:v>3318.5892755693444</c:v>
                </c:pt>
                <c:pt idx="337">
                  <c:v>3318.5308049145742</c:v>
                </c:pt>
                <c:pt idx="338">
                  <c:v>3318.4720760144119</c:v>
                </c:pt>
                <c:pt idx="339">
                  <c:v>3318.4130877282751</c:v>
                </c:pt>
                <c:pt idx="340">
                  <c:v>3318.3538389105402</c:v>
                </c:pt>
                <c:pt idx="341">
                  <c:v>3318.2943284105263</c:v>
                </c:pt>
                <c:pt idx="342">
                  <c:v>3318.2345550724717</c:v>
                </c:pt>
                <c:pt idx="343">
                  <c:v>3318.1745177355074</c:v>
                </c:pt>
                <c:pt idx="344">
                  <c:v>3318.1142152336379</c:v>
                </c:pt>
                <c:pt idx="345">
                  <c:v>3318.0536463957187</c:v>
                </c:pt>
                <c:pt idx="346">
                  <c:v>3317.9928100454308</c:v>
                </c:pt>
                <c:pt idx="347">
                  <c:v>3317.9317050012628</c:v>
                </c:pt>
                <c:pt idx="348">
                  <c:v>3317.8703300764842</c:v>
                </c:pt>
                <c:pt idx="349">
                  <c:v>3317.8086840791202</c:v>
                </c:pt>
                <c:pt idx="350">
                  <c:v>3317.7467658119358</c:v>
                </c:pt>
                <c:pt idx="351">
                  <c:v>3317.6845740724029</c:v>
                </c:pt>
                <c:pt idx="352">
                  <c:v>3317.6221076526881</c:v>
                </c:pt>
                <c:pt idx="353">
                  <c:v>3317.5593653396199</c:v>
                </c:pt>
                <c:pt idx="354">
                  <c:v>3317.4963459146684</c:v>
                </c:pt>
                <c:pt idx="355">
                  <c:v>3317.4330481539241</c:v>
                </c:pt>
                <c:pt idx="356">
                  <c:v>3317.3694708280677</c:v>
                </c:pt>
                <c:pt idx="357">
                  <c:v>3317.3056127023578</c:v>
                </c:pt>
                <c:pt idx="358">
                  <c:v>3317.2414725365916</c:v>
                </c:pt>
                <c:pt idx="359">
                  <c:v>3317.177049085094</c:v>
                </c:pt>
              </c:numCache>
            </c:numRef>
          </c:val>
          <c:smooth val="0"/>
          <c:extLst>
            <c:ext xmlns:c16="http://schemas.microsoft.com/office/drawing/2014/chart" uri="{C3380CC4-5D6E-409C-BE32-E72D297353CC}">
              <c16:uniqueId val="{00000002-0A5B-429F-940C-F5F9B74B7B6A}"/>
            </c:ext>
          </c:extLst>
        </c:ser>
        <c:dLbls>
          <c:showLegendKey val="0"/>
          <c:showVal val="0"/>
          <c:showCatName val="0"/>
          <c:showSerName val="0"/>
          <c:showPercent val="0"/>
          <c:showBubbleSize val="0"/>
        </c:dLbls>
        <c:smooth val="0"/>
        <c:axId val="1760390352"/>
        <c:axId val="622179344"/>
      </c:lineChart>
      <c:dateAx>
        <c:axId val="1760390352"/>
        <c:scaling>
          <c:orientation val="minMax"/>
        </c:scaling>
        <c:delete val="0"/>
        <c:axPos val="b"/>
        <c:numFmt formatCode="yyyy" sourceLinked="0"/>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he-IL"/>
          </a:p>
        </c:txPr>
        <c:crossAx val="622179344"/>
        <c:crosses val="autoZero"/>
        <c:auto val="0"/>
        <c:lblOffset val="100"/>
        <c:baseTimeUnit val="months"/>
        <c:majorUnit val="1"/>
        <c:majorTimeUnit val="years"/>
      </c:dateAx>
      <c:valAx>
        <c:axId val="6221793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he-IL"/>
          </a:p>
        </c:txPr>
        <c:crossAx val="1760390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he-I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he-IL">
                <a:latin typeface="Tahoma" panose="020B0604030504040204" pitchFamily="34" charset="0"/>
                <a:ea typeface="Tahoma" panose="020B0604030504040204" pitchFamily="34" charset="0"/>
                <a:cs typeface="Tahoma" panose="020B0604030504040204" pitchFamily="34" charset="0"/>
              </a:rPr>
              <a:t>הרכב</a:t>
            </a:r>
            <a:r>
              <a:rPr lang="he-IL" baseline="0">
                <a:latin typeface="Tahoma" panose="020B0604030504040204" pitchFamily="34" charset="0"/>
                <a:ea typeface="Tahoma" panose="020B0604030504040204" pitchFamily="34" charset="0"/>
                <a:cs typeface="Tahoma" panose="020B0604030504040204" pitchFamily="34" charset="0"/>
              </a:rPr>
              <a:t> הלוואה</a:t>
            </a:r>
            <a:endParaRPr lang="he-I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he-IL"/>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2"/>
              </a:solidFill>
              <a:ln w="25400">
                <a:solidFill>
                  <a:schemeClr val="accent2"/>
                </a:solidFill>
              </a:ln>
              <a:effectLst/>
              <a:sp3d contourW="25400">
                <a:contourClr>
                  <a:schemeClr val="accent2"/>
                </a:contourClr>
              </a:sp3d>
            </c:spPr>
            <c:extLst>
              <c:ext xmlns:c16="http://schemas.microsoft.com/office/drawing/2014/chart" uri="{C3380CC4-5D6E-409C-BE32-E72D297353CC}">
                <c16:uniqueId val="{00000008-8983-4F05-84DB-0D64BE23E5EC}"/>
              </c:ext>
            </c:extLst>
          </c:dPt>
          <c:dPt>
            <c:idx val="1"/>
            <c:bubble3D val="0"/>
            <c:spPr>
              <a:solidFill>
                <a:schemeClr val="accent3">
                  <a:lumMod val="75000"/>
                </a:schemeClr>
              </a:solidFill>
              <a:ln w="25400">
                <a:solidFill>
                  <a:schemeClr val="accent3">
                    <a:lumMod val="75000"/>
                  </a:schemeClr>
                </a:solidFill>
              </a:ln>
              <a:effectLst/>
              <a:sp3d contourW="25400">
                <a:contourClr>
                  <a:schemeClr val="accent3">
                    <a:lumMod val="75000"/>
                  </a:schemeClr>
                </a:contourClr>
              </a:sp3d>
            </c:spPr>
            <c:extLst>
              <c:ext xmlns:c16="http://schemas.microsoft.com/office/drawing/2014/chart" uri="{C3380CC4-5D6E-409C-BE32-E72D297353CC}">
                <c16:uniqueId val="{00000009-8983-4F05-84DB-0D64BE23E5EC}"/>
              </c:ext>
            </c:extLst>
          </c:dPt>
          <c:dPt>
            <c:idx val="2"/>
            <c:bubble3D val="0"/>
            <c:spPr>
              <a:solidFill>
                <a:schemeClr val="bg1">
                  <a:lumMod val="65000"/>
                </a:schemeClr>
              </a:solidFill>
              <a:ln w="25400">
                <a:solidFill>
                  <a:schemeClr val="bg1">
                    <a:lumMod val="75000"/>
                  </a:schemeClr>
                </a:solidFill>
              </a:ln>
              <a:effectLst/>
              <a:sp3d contourW="25400">
                <a:contourClr>
                  <a:schemeClr val="bg1">
                    <a:lumMod val="75000"/>
                  </a:schemeClr>
                </a:contourClr>
              </a:sp3d>
            </c:spPr>
            <c:extLst>
              <c:ext xmlns:c16="http://schemas.microsoft.com/office/drawing/2014/chart" uri="{C3380CC4-5D6E-409C-BE32-E72D297353CC}">
                <c16:uniqueId val="{0000000A-8983-4F05-84DB-0D64BE23E5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דאשבורד!$B$13:$D$13</c:f>
              <c:strCache>
                <c:ptCount val="3"/>
                <c:pt idx="0">
                  <c:v>סכום הלוואה</c:v>
                </c:pt>
                <c:pt idx="1">
                  <c:v>סך הריבית ששולמה</c:v>
                </c:pt>
                <c:pt idx="2">
                  <c:v>סך תשלומי הצמדה</c:v>
                </c:pt>
              </c:strCache>
            </c:strRef>
          </c:cat>
          <c:val>
            <c:numRef>
              <c:f>דאשבורד!$B$14:$D$14</c:f>
              <c:numCache>
                <c:formatCode>"₪"#,##0_);\("₪"#,##0\)</c:formatCode>
                <c:ptCount val="3"/>
                <c:pt idx="0">
                  <c:v>1000000</c:v>
                </c:pt>
                <c:pt idx="1">
                  <c:v>843848.04288074747</c:v>
                </c:pt>
                <c:pt idx="2">
                  <c:v>32939.727366265368</c:v>
                </c:pt>
              </c:numCache>
            </c:numRef>
          </c:val>
          <c:extLst>
            <c:ext xmlns:c16="http://schemas.microsoft.com/office/drawing/2014/chart" uri="{C3380CC4-5D6E-409C-BE32-E72D297353CC}">
              <c16:uniqueId val="{00000000-8983-4F05-84DB-0D64BE23E5EC}"/>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9085187403522608"/>
          <c:y val="0.34108149942795613"/>
          <c:w val="0.29059525026904104"/>
          <c:h val="0.34730298135809945"/>
        </c:manualLayout>
      </c:layout>
      <c:overlay val="0"/>
      <c:spPr>
        <a:noFill/>
        <a:ln cap="rnd">
          <a:noFill/>
        </a:ln>
        <a:effectLst/>
      </c:spPr>
      <c:txPr>
        <a:bodyPr rot="0" spcFirstLastPara="1" vertOverflow="ellipsis" vert="horz" wrap="square" anchor="ctr" anchorCtr="1"/>
        <a:lstStyle/>
        <a:p>
          <a:pPr rtl="1">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he-IL"/>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17929</xdr:colOff>
      <xdr:row>11</xdr:row>
      <xdr:rowOff>89647</xdr:rowOff>
    </xdr:from>
    <xdr:to>
      <xdr:col>15</xdr:col>
      <xdr:colOff>941294</xdr:colOff>
      <xdr:row>21</xdr:row>
      <xdr:rowOff>32273</xdr:rowOff>
    </xdr:to>
    <xdr:graphicFrame macro="">
      <xdr:nvGraphicFramePr>
        <xdr:cNvPr id="4" name="תרשים 3">
          <a:extLst>
            <a:ext uri="{FF2B5EF4-FFF2-40B4-BE49-F238E27FC236}">
              <a16:creationId xmlns:a16="http://schemas.microsoft.com/office/drawing/2014/main" id="{70B60647-118B-4559-82E5-CCF584D3D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170329</xdr:colOff>
      <xdr:row>11</xdr:row>
      <xdr:rowOff>98610</xdr:rowOff>
    </xdr:from>
    <xdr:to>
      <xdr:col>5</xdr:col>
      <xdr:colOff>17930</xdr:colOff>
      <xdr:row>21</xdr:row>
      <xdr:rowOff>44822</xdr:rowOff>
    </xdr:to>
    <xdr:graphicFrame macro="">
      <xdr:nvGraphicFramePr>
        <xdr:cNvPr id="6" name="תרשים 5">
          <a:extLst>
            <a:ext uri="{FF2B5EF4-FFF2-40B4-BE49-F238E27FC236}">
              <a16:creationId xmlns:a16="http://schemas.microsoft.com/office/drawing/2014/main" id="{939963E8-41B6-364B-A086-5F2EB04418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761AD3-08C3-467F-9375-ADA0A4017FCC}" name="פרטי_הלוואה19" displayName="פרטי_הלוואה19" ref="B3:E9" headerRowDxfId="143" dataDxfId="142" totalsRowDxfId="141">
  <autoFilter ref="B3:E9" xr:uid="{00000000-0009-0000-0100-000005000000}">
    <filterColumn colId="0" hiddenButton="1"/>
    <filterColumn colId="1" hiddenButton="1"/>
    <filterColumn colId="2" hiddenButton="1"/>
    <filterColumn colId="3" hiddenButton="1"/>
  </autoFilter>
  <tableColumns count="4">
    <tableColumn id="1" xr3:uid="{9CB1A4BA-BD94-4F5C-8881-F3B6CA1FD349}" name="פרטי הלוואה" totalsRowLabel="סה&quot;כ" dataDxfId="140"/>
    <tableColumn id="4" xr3:uid="{862BEA4F-8086-4719-8288-C6BF47227543}" name="ערכים" totalsRowFunction="count" dataDxfId="139"/>
    <tableColumn id="2" xr3:uid="{B42D4341-4374-4A6C-9DC6-BECE836BFE18}" name="פירוט" dataDxfId="138" totalsRowDxfId="137"/>
    <tableColumn id="3" xr3:uid="{FE455F00-3FF3-4CF9-BBEA-939F3810AACA}" name="סה&quot;כ" dataDxfId="136" dataCellStyle="Currency"/>
  </tableColumns>
  <tableStyleInfo name="מחשבון משכנתה" showFirstColumn="0" showLastColumn="1" showRowStripes="1" showColumnStripes="1"/>
  <extLst>
    <ext xmlns:x14="http://schemas.microsoft.com/office/spreadsheetml/2009/9/main" uri="{504A1905-F514-4f6f-8877-14C23A59335A}">
      <x14:table altTextSummary="הזן פרטי הלוואה כדי להפיק נתונים סטטיסטיים חשובים של תשלומי הלוואה חודשיים, סך התשלומים החודשיים, סך תשלומי ההלוואה ושיעור הריבית הכולל."/>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פרטי_הלוואה" displayName="פרטי_הלוואה" ref="B3:E9" headerRowDxfId="135" dataDxfId="134" totalsRowDxfId="133">
  <autoFilter ref="B3:E9" xr:uid="{00000000-0009-0000-0100-000005000000}">
    <filterColumn colId="0" hiddenButton="1"/>
    <filterColumn colId="1" hiddenButton="1"/>
    <filterColumn colId="2" hiddenButton="1"/>
    <filterColumn colId="3" hiddenButton="1"/>
  </autoFilter>
  <tableColumns count="4">
    <tableColumn id="1" xr3:uid="{00000000-0010-0000-0000-000001000000}" name="פרטי הלוואה" totalsRowLabel="סה&quot;כ" dataDxfId="20"/>
    <tableColumn id="4" xr3:uid="{00000000-0010-0000-0000-000004000000}" name="ערכים" totalsRowFunction="count" dataDxfId="19"/>
    <tableColumn id="2" xr3:uid="{00000000-0010-0000-0000-000002000000}" name="פירוט" dataDxfId="18" totalsRowDxfId="132"/>
    <tableColumn id="3" xr3:uid="{00000000-0010-0000-0000-000003000000}" name="סה&quot;כ" dataDxfId="17" dataCellStyle="Currency"/>
  </tableColumns>
  <tableStyleInfo name="מחשבון משכנתה" showFirstColumn="0" showLastColumn="1" showRowStripes="1" showColumnStripes="1"/>
  <extLst>
    <ext xmlns:x14="http://schemas.microsoft.com/office/spreadsheetml/2009/9/main" uri="{504A1905-F514-4f6f-8877-14C23A59335A}">
      <x14:table altTextSummary="הזן פרטי הלוואה כדי להפיק נתונים סטטיסטיים חשובים של תשלומי הלוואה חודשיים, סך התשלומים החודשיים, סך תשלומי ההלוואה ושיעור הריבית הכולל."/>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88DD1C-B27C-45F7-B9E5-6A19DA254F45}" name="פרטי_הלוואה2" displayName="פרטי_הלוואה2" ref="F3:I9" headerRowDxfId="131" dataDxfId="130" totalsRowDxfId="129">
  <autoFilter ref="F3:I9" xr:uid="{0988DD1C-B27C-45F7-B9E5-6A19DA254F45}"/>
  <tableColumns count="4">
    <tableColumn id="1" xr3:uid="{00C1E178-4F7B-417F-A9D1-99F7ABBAD60F}" name="פרטי הלוואה" totalsRowLabel="סה&quot;כ" dataDxfId="16"/>
    <tableColumn id="4" xr3:uid="{812015FE-67D1-421D-ACB1-3B6795968B3A}" name="ערכים" totalsRowFunction="count" dataDxfId="15"/>
    <tableColumn id="2" xr3:uid="{3497CB57-9078-4871-B5DB-7EB589061027}" name="פירוט" dataDxfId="14" totalsRowDxfId="128"/>
    <tableColumn id="3" xr3:uid="{CEBEDEF5-B0E7-49E1-A8C6-F00EEA8F5EFD}" name="סה&quot;כ" dataDxfId="13" dataCellStyle="Currency"/>
  </tableColumns>
  <tableStyleInfo name="מחשבון משכנתה" showFirstColumn="0" showLastColumn="1" showRowStripes="1" showColumnStripes="1"/>
  <extLst>
    <ext xmlns:x14="http://schemas.microsoft.com/office/spreadsheetml/2009/9/main" uri="{504A1905-F514-4f6f-8877-14C23A59335A}">
      <x14:table altTextSummary="הזן פרטי הלוואה כדי להפיק נתונים סטטיסטיים חשובים של תשלומי הלוואה חודשיים, סך התשלומים החודשיים, סך תשלומי ההלוואה ושיעור הריבית הכולל."/>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D0B4DD-ECA7-4604-8755-FE1A7B899711}" name="פרטי_הלוואה3" displayName="פרטי_הלוואה3" ref="J3:M9" headerRowDxfId="127" dataDxfId="126" totalsRowDxfId="125">
  <autoFilter ref="J3:M9" xr:uid="{07D0B4DD-ECA7-4604-8755-FE1A7B899711}"/>
  <tableColumns count="4">
    <tableColumn id="1" xr3:uid="{CB7381F7-B882-4D39-9968-D43300A7E8E4}" name="פרטי הלוואה" totalsRowLabel="סה&quot;כ" dataDxfId="12"/>
    <tableColumn id="4" xr3:uid="{8744ECE0-5D3C-48FF-BDD9-AFBFA643F1D2}" name="ערכים" totalsRowFunction="count" dataDxfId="11"/>
    <tableColumn id="2" xr3:uid="{9656E1FB-08EA-4799-86BC-EAA3FD67ED93}" name="פירוט" dataDxfId="10"/>
    <tableColumn id="3" xr3:uid="{C553A66A-413C-46A8-8C41-5A125313E38C}" name="סה&quot;כ" dataDxfId="9" dataCellStyle="Currency"/>
  </tableColumns>
  <tableStyleInfo name="מחשבון משכנתה" showFirstColumn="0" showLastColumn="1" showRowStripes="1" showColumnStripes="1"/>
  <extLst>
    <ext xmlns:x14="http://schemas.microsoft.com/office/spreadsheetml/2009/9/main" uri="{504A1905-F514-4f6f-8877-14C23A59335A}">
      <x14:table altTextSummary="הזן פרטי הלוואה כדי להפיק נתונים סטטיסטיים חשובים של תשלומי הלוואה חודשיים, סך התשלומים החודשיים, סך תשלומי ההלוואה ושיעור הריבית הכולל."/>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F8E937-B80D-466E-AFE6-BBD6DEFE6973}" name="פרטי_הלוואה4" displayName="פרטי_הלוואה4" ref="N3:Q9" headerRowDxfId="124" dataDxfId="123" totalsRowDxfId="122">
  <autoFilter ref="N3:Q9" xr:uid="{F2F8E937-B80D-466E-AFE6-BBD6DEFE6973}"/>
  <tableColumns count="4">
    <tableColumn id="1" xr3:uid="{1E18BBD2-7E5D-4593-ACA5-F3E4DEC16634}" name="פרטי הלוואה" totalsRowLabel="סה&quot;כ" dataDxfId="8"/>
    <tableColumn id="4" xr3:uid="{CF4FC5CA-BED1-4082-A1F8-D45993272079}" name="ערכים" totalsRowFunction="count" dataDxfId="7"/>
    <tableColumn id="2" xr3:uid="{FDB07ED4-0B65-4E99-A3F9-9032FA097989}" name="פירוט" dataDxfId="6"/>
    <tableColumn id="3" xr3:uid="{2C2560C5-5CD9-400F-96A0-F6B370965FE9}" name="סה&quot;כ" dataDxfId="5" dataCellStyle="Currency"/>
  </tableColumns>
  <tableStyleInfo name="מחשבון משכנתה" showFirstColumn="0" showLastColumn="1" showRowStripes="1" showColumnStripes="1"/>
  <extLst>
    <ext xmlns:x14="http://schemas.microsoft.com/office/spreadsheetml/2009/9/main" uri="{504A1905-F514-4f6f-8877-14C23A59335A}">
      <x14:table altTextSummary="הזן פרטי הלוואה כדי להפיק נתונים סטטיסטיים חשובים של תשלומי הלוואה חודשיים, סך התשלומים החודשיים, סך תשלומי ההלוואה ושיעור הריבית הכולל."/>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0FD1B03-7A1E-472F-9A4E-D398B8CD14F4}" name="הפחתה23" displayName="הפחתה23" ref="B3:J363" headerRowDxfId="121" dataDxfId="120" totalsRowDxfId="119">
  <autoFilter ref="B3:J363" xr:uid="{00000000-0009-0000-0100-000001000000}"/>
  <tableColumns count="9">
    <tableColumn id="1" xr3:uid="{5601D8CA-79BE-494B-B8AC-1F7ADC21CBE6}" name="מס'" totalsRowLabel="סה&quot;כ" dataDxfId="118" totalsRowDxfId="117">
      <calculatedColumnFormula>MAX(הפחתה[[#This Row],[מס'']],הפחתה5[[#This Row],[מס'']],הפחתה7[[#This Row],[מס'']],הפחתה8[[#This Row],[מס'']])</calculatedColumnFormula>
    </tableColumn>
    <tableColumn id="2" xr3:uid="{B000771C-3BAF-4C37-8F7C-877BE9F65EE8}" name="תאריך" dataDxfId="116" dataCellStyle="תאריך">
      <calculatedColumnFormula>IF(ValuesEntered,IF(הפחתה23[[#This Row],[מס'']]&lt;=תקופת_ההלוואה,IF(ROW()-ROW(הפחתה[[#Headers],[תאריך]])=1,LoanStart,IF(I3&gt;0,EDATE(C3,1),"")),""),"")</calculatedColumnFormula>
    </tableColumn>
    <tableColumn id="3" xr3:uid="{6264CE9B-8690-48DE-92BD-C26D019CF714}" name="יתרת פתיחה" dataDxfId="115" dataCellStyle="Currency">
      <calculatedColumnFormula>SUM(הפחתה[[#This Row],[יתרת פתיחה]],הפחתה5[[#This Row],[יתרת פתיחה]],הפחתה7[[#This Row],[יתרת פתיחה]],הפחתה8[[#This Row],[יתרת פתיחה]])</calculatedColumnFormula>
    </tableColumn>
    <tableColumn id="4" xr3:uid="{EC9C18D9-973A-4775-A91B-FD87376C7F64}" name="ריבית" dataDxfId="114" totalsRowDxfId="113" dataCellStyle="Currency">
      <calculatedColumnFormula>SUM(הפחתה[[#This Row],[ריבית]],הפחתה5[[#This Row],[ריבית]],הפחתה7[[#This Row],[ריבית]],הפחתה8[[#This Row],[ריבית]])</calculatedColumnFormula>
    </tableColumn>
    <tableColumn id="5" xr3:uid="{9A217245-ED9C-464B-A539-5DBD5FBDC897}" name="קרן" dataDxfId="112" totalsRowDxfId="111" dataCellStyle="Currency">
      <calculatedColumnFormula>SUM(הפחתה[[#This Row],[קרן]],הפחתה5[[#This Row],[קרן]],הפחתה7[[#This Row],[קרן]],הפחתה8[[#This Row],[קרן]])</calculatedColumnFormula>
    </tableColumn>
    <tableColumn id="7" xr3:uid="{D90FCBA9-095D-4C6E-935B-B9B90C412B70}" name="מס_x000a_רכוש" dataDxfId="110" totalsRowDxfId="109" dataCellStyle="Currency">
      <calculatedColumnFormula>IF(הפחתה23[[#This Row],[תאריך]]="",0,PropertyTaxAmount)</calculatedColumnFormula>
    </tableColumn>
    <tableColumn id="9" xr3:uid="{A1B9900D-967E-4701-B615-3D92DF9B31AB}" name="סך החזר" dataDxfId="108" totalsRowDxfId="107" dataCellStyle="Currency">
      <calculatedColumnFormula>IF(הפחתה23[[#This Row],[תאריך]]="",0,הפחתה23[[#This Row],[ריבית]]+הפחתה23[[#This Row],[קרן]]+הפחתה23[[#This Row],[מס
רכוש]])</calculatedColumnFormula>
    </tableColumn>
    <tableColumn id="10" xr3:uid="{E8CA10D7-5A6E-43BB-A7CE-96CD67F9E1C7}" name="יתרת_x000a_סגירה" dataDxfId="106" totalsRowDxfId="105" dataCellStyle="Currency">
      <calculatedColumnFormula>IF(הפחתה23[[#This Row],[תאריך]]="",0,הפחתה23[[#This Row],[יתרת פתיחה]]-הפחתה23[[#This Row],[קרן]])</calculatedColumnFormula>
    </tableColumn>
    <tableColumn id="11" xr3:uid="{CB81F2A7-1FA2-44B4-BE11-65A3E4A03586}" name="תשלומים_x000a_שנותרו" totalsRowFunction="sum" dataDxfId="104">
      <calculatedColumnFormula>MAX(הפחתה[[#This Row],[תשלומים
שנותרו]],הפחתה5[[#This Row],[תשלומים
שנותרו]],הפחתה7[[#This Row],[תשלומים
שנותרו]],הפחתה8[[#This Row],[תשלומים
שנותרו]])</calculatedColumnFormula>
    </tableColumn>
  </tableColumns>
  <tableStyleInfo name="מחשבון משכנתה" showFirstColumn="0" showLastColumn="0" showRowStripes="1" showColumnStripes="0"/>
  <extLst>
    <ext xmlns:x14="http://schemas.microsoft.com/office/spreadsheetml/2009/9/main" uri="{504A1905-F514-4f6f-8877-14C23A59335A}">
      <x14:table altTextSummary="חישובים של תשלומי הלוואה לאורך זמן. עבור תשלומים נוספים, ההנחה היא שבוצע תשלום נוסף באותו סכום חודשי. הוסף שורה חדשה והזן תאריך תשלום. העמודות מתעדכנות באופן אוטומטי"/>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הפחתה" displayName="הפחתה" ref="B3:J363" headerRowDxfId="103" dataDxfId="102" totalsRowDxfId="101">
  <autoFilter ref="B3:J363" xr:uid="{00000000-0009-0000-0100-000001000000}"/>
  <tableColumns count="9">
    <tableColumn id="1" xr3:uid="{00000000-0010-0000-0100-000001000000}" name="מס'" totalsRowLabel="סה&quot;כ" dataDxfId="100" totalsRowDxfId="99">
      <calculatedColumnFormula>ROWS($B$4:B4)</calculatedColumnFormula>
    </tableColumn>
    <tableColumn id="2" xr3:uid="{00000000-0010-0000-0100-000002000000}" name="תאריך" dataDxfId="98" totalsRowDxfId="97" dataCellStyle="תאריך">
      <calculatedColumnFormula>IF(ValuesEntered,IF(הפחתה[[#This Row],[מס'']]&lt;=תקופת_ההלוואה,IF(ROW()-ROW(הפחתה[[#Headers],[תאריך]])=1,LoanStart,IF(I3&gt;0,EDATE(C3,1),"")),""),"")</calculatedColumnFormula>
    </tableColumn>
    <tableColumn id="3" xr3:uid="{00000000-0010-0000-0100-000003000000}" name="יתרת פתיחה" dataDxfId="96" dataCellStyle="Currency">
      <calculatedColumnFormula>IF(ROW()-ROW(הפחתה[[#Headers],[יתרת פתיחה]])=1,סכום_הלוואה,IF(הפחתה[[#This Row],[תאריך]]="",0,INDEX(הפחתה[], ROW()-4,8)))</calculatedColumnFormula>
    </tableColumn>
    <tableColumn id="4" xr3:uid="{00000000-0010-0000-0100-000004000000}" name="ריבית" dataDxfId="95" totalsRowDxfId="94" dataCellStyle="Currency">
      <calculatedColumnFormula>IF(ValuesEntered,IF(ROW()-ROW(הפחתה[[#Headers],[ריבית]])=1,-IPMT(שיעור_ריבית/12,1,תקופת_ההלוואה-ROWS($C$4:C4)+1,הפחתה[[#This Row],[יתרת פתיחה]]),IFERROR(-IPMT(שיעור_ריבית/12,1,הפחתה[[#This Row],[תשלומים
שנותרו]],D5),0)),0)</calculatedColumnFormula>
    </tableColumn>
    <tableColumn id="5" xr3:uid="{00000000-0010-0000-0100-000005000000}" name="קרן" dataDxfId="93" totalsRowDxfId="92" dataCellStyle="Currency">
      <calculatedColumnFormula>IFERROR(IF(AND(ValuesEntered,הפחתה[[#This Row],[תאריך]]&lt;&gt;""),-PPMT(שיעור_ריבית/12,1,תקופת_ההלוואה-ROWS($C$4:C4)+1,הפחתה[[#This Row],[יתרת פתיחה]]),""),0)</calculatedColumnFormula>
    </tableColumn>
    <tableColumn id="7" xr3:uid="{00000000-0010-0000-0100-000007000000}" name="מדד" dataDxfId="91" totalsRowDxfId="90" dataCellStyle="Currency">
      <calculatedColumnFormula>(הפחתה[[#This Row],[יתרת פתיחה]])*(מדד/12)</calculatedColumnFormula>
    </tableColumn>
    <tableColumn id="9" xr3:uid="{00000000-0010-0000-0100-000009000000}" name="סך_x000a_תשלומים" dataDxfId="89" totalsRowDxfId="88" dataCellStyle="Currency">
      <calculatedColumnFormula>IF(הפחתה[[#This Row],[תאריך]]="",0,הפחתה[[#This Row],[ריבית]]+הפחתה[[#This Row],[קרן]]+הפחתה[[#This Row],[מדד]])</calculatedColumnFormula>
    </tableColumn>
    <tableColumn id="10" xr3:uid="{00000000-0010-0000-0100-00000A000000}" name="יתרת_x000a_סגירה" dataDxfId="87" totalsRowDxfId="86" dataCellStyle="Currency">
      <calculatedColumnFormula>IF(הפחתה[[#This Row],[תאריך]]="",0,הפחתה[[#This Row],[יתרת פתיחה]]-הפחתה[[#This Row],[קרן]]+הפחתה[[#This Row],[מדד]])</calculatedColumnFormula>
    </tableColumn>
    <tableColumn id="11" xr3:uid="{00000000-0010-0000-0100-00000B000000}" name="תשלומים_x000a_שנותרו" totalsRowFunction="sum" dataDxfId="85">
      <calculatedColumnFormula>IF(הפחתה[[#This Row],[יתרת
סגירה]]&gt;0,LastRow-ROW(),0)</calculatedColumnFormula>
    </tableColumn>
  </tableColumns>
  <tableStyleInfo name="מחשבון משכנתה" showFirstColumn="0" showLastColumn="0" showRowStripes="1" showColumnStripes="0"/>
  <extLst>
    <ext xmlns:x14="http://schemas.microsoft.com/office/spreadsheetml/2009/9/main" uri="{504A1905-F514-4f6f-8877-14C23A59335A}">
      <x14:table altTextSummary="חישובים של תשלומי הלוואה לאורך זמן. עבור תשלומים נוספים, ההנחה היא שבוצע תשלום נוסף באותו סכום חודשי. הוסף שורה חדשה והזן תאריך תשלום. העמודות מתעדכנות באופן אוטומטי"/>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EEEF7B-4927-4903-94DC-49F73163A1D0}" name="הפחתה8" displayName="הפחתה8" ref="AC3:AK363" headerRowDxfId="84" dataDxfId="83" totalsRowDxfId="82">
  <autoFilter ref="AC3:AK363" xr:uid="{CDEEEF7B-4927-4903-94DC-49F73163A1D0}"/>
  <tableColumns count="9">
    <tableColumn id="1" xr3:uid="{A9F03B0C-57F0-4870-A552-547B34965C00}" name="מס'" totalsRowLabel="סה&quot;כ" dataDxfId="81" totalsRowDxfId="80">
      <calculatedColumnFormula>ROWS($AC$4:AC4)</calculatedColumnFormula>
    </tableColumn>
    <tableColumn id="2" xr3:uid="{6AF1EAD0-C70F-41DB-A20A-6DC308DE52EE}" name="תאריך" dataDxfId="79" dataCellStyle="תאריך">
      <calculatedColumnFormula>IF(ValuesEntered4,IF(הפחתה8[[#This Row],[מס'']]&lt;=תקופת_ההלוואה4,IF(ROW()-ROW(הפחתה8[[#Headers],[תאריך]])=1,LoanStart4,IF(AJ3&gt;0,EDATE(AD3,1),"")),""),"")</calculatedColumnFormula>
    </tableColumn>
    <tableColumn id="3" xr3:uid="{CFCA259C-4C26-4F3F-8D93-0D8A2BF8F1D1}" name="יתרת פתיחה" dataDxfId="78" totalsRowDxfId="77" dataCellStyle="Currency">
      <calculatedColumnFormula>IF(ROW()-ROW(הפחתה8[[#Headers],[יתרת פתיחה]])=1,סכום_הלוואה4,IF(הפחתה8[[#This Row],[תאריך]]="",0,INDEX(הפחתה8[], ROW()-4,8)))</calculatedColumnFormula>
    </tableColumn>
    <tableColumn id="4" xr3:uid="{74D4A668-E41F-4BFB-AF73-09936F999C9F}" name="ריבית" dataDxfId="76" totalsRowDxfId="75" dataCellStyle="Currency">
      <calculatedColumnFormula>IF(ValuesEntered4,IF(ROW()-ROW(הפחתה8[[#Headers],[ריבית]])=1,-IPMT(שיעור_ריבית4/12,1,תקופת_ההלוואה4-ROWS($C$4:AD4)+1,הפחתה8[[#This Row],[יתרת פתיחה]]),IFERROR(-IPMT(שיעור_ריבית4/12,1,הפחתה8[[#This Row],[תשלומים
שנותרו]],AE5),0)),0)</calculatedColumnFormula>
    </tableColumn>
    <tableColumn id="5" xr3:uid="{DFA8B876-1260-4825-8510-EC7B660AE0F2}" name="קרן" dataDxfId="74" totalsRowDxfId="73" dataCellStyle="Currency">
      <calculatedColumnFormula>IFERROR(IF(AND(ValuesEntered4,הפחתה8[[#This Row],[תאריך]]&lt;&gt;""),-PPMT(שיעור_ריבית4/12,1,תקופת_ההלוואה4-ROWS($C$4:AD4)+1,הפחתה8[[#This Row],[יתרת פתיחה]]),""),0)</calculatedColumnFormula>
    </tableColumn>
    <tableColumn id="7" xr3:uid="{857BBF30-50FF-4FDE-ADF1-A4CD4FA424A6}" name="מדד" dataDxfId="72" totalsRowDxfId="71" dataCellStyle="Currency">
      <calculatedColumnFormula>(הפחתה8[[#This Row],[יתרת פתיחה]])*(מדד4/12)</calculatedColumnFormula>
    </tableColumn>
    <tableColumn id="9" xr3:uid="{B922AAD4-ACF0-45C7-8735-66B1F922C94F}" name="סך_x000a_תשלומים" dataDxfId="70" totalsRowDxfId="69" dataCellStyle="Currency">
      <calculatedColumnFormula>IF(הפחתה8[[#This Row],[תאריך]]="",0,הפחתה8[[#This Row],[ריבית]]+הפחתה8[[#This Row],[קרן]]+הפחתה8[[#This Row],[מדד]])</calculatedColumnFormula>
    </tableColumn>
    <tableColumn id="10" xr3:uid="{4F44E941-6346-4E6E-A449-6169CD15A97A}" name="יתרת_x000a_סגירה" dataDxfId="68" totalsRowDxfId="67" dataCellStyle="Currency">
      <calculatedColumnFormula>IF(הפחתה8[[#This Row],[תאריך]]="",0,הפחתה8[[#This Row],[יתרת פתיחה]]-הפחתה8[[#This Row],[קרן]])</calculatedColumnFormula>
    </tableColumn>
    <tableColumn id="11" xr3:uid="{4A6DD6F8-202E-47E6-9CAC-3A9727F4398A}" name="תשלומים_x000a_שנותרו" totalsRowFunction="sum" dataDxfId="66" totalsRowDxfId="65">
      <calculatedColumnFormula>IF(הפחתה8[[#This Row],[יתרת
סגירה]]&gt;0,LastRow4-ROW(),0)</calculatedColumnFormula>
    </tableColumn>
  </tableColumns>
  <tableStyleInfo name="מחשבון משכנתה" showFirstColumn="0" showLastColumn="0" showRowStripes="1" showColumnStripes="0"/>
  <extLst>
    <ext xmlns:x14="http://schemas.microsoft.com/office/spreadsheetml/2009/9/main" uri="{504A1905-F514-4f6f-8877-14C23A59335A}">
      <x14:table altTextSummary="חישובים של תשלומי הלוואה לאורך זמן. עבור תשלומים נוספים, ההנחה היא שבוצע תשלום נוסף באותו סכום חודשי. הוסף שורה חדשה והזן תאריך תשלום. העמודות מתעדכנות באופן אוטומטי"/>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1859E04-44F0-40C4-AA03-5B1EDF1428F3}" name="הפחתה7" displayName="הפחתה7" ref="T3:AB363" headerRowDxfId="64" dataDxfId="63" totalsRowDxfId="62">
  <autoFilter ref="T3:AB363" xr:uid="{61859E04-44F0-40C4-AA03-5B1EDF1428F3}"/>
  <tableColumns count="9">
    <tableColumn id="1" xr3:uid="{5EA15A02-618B-415E-AF92-07CD9BE959D5}" name="מס'" totalsRowLabel="סה&quot;כ" dataDxfId="61" totalsRowDxfId="60">
      <calculatedColumnFormula>ROWS($T$4:T4)</calculatedColumnFormula>
    </tableColumn>
    <tableColumn id="2" xr3:uid="{40AD8A43-237E-494E-AB39-77631A74411F}" name="תאריך" dataDxfId="59" totalsRowDxfId="58" dataCellStyle="תאריך">
      <calculatedColumnFormula>IF(ValuesEntered3,IF(הפחתה7[[#This Row],[מס'']]&lt;=תקופת_ההלוואה3,IF(ROW()-ROW(הפחתה7[[#Headers],[תאריך]])=1,LoanStart3,IF(AA3&gt;0,EDATE(U3,1),"")),""),"")</calculatedColumnFormula>
    </tableColumn>
    <tableColumn id="3" xr3:uid="{690AC143-845F-486E-A9A8-C8F8436EB864}" name="יתרת פתיחה" dataDxfId="57" totalsRowDxfId="56" dataCellStyle="Currency">
      <calculatedColumnFormula>IF(ROW()-ROW(הפחתה7[[#Headers],[יתרת פתיחה]])=1,סכום_הלוואה3,IF(הפחתה7[[#This Row],[תאריך]]="",0,INDEX(הפחתה7[], ROW()-4,8)))</calculatedColumnFormula>
    </tableColumn>
    <tableColumn id="4" xr3:uid="{5C773A44-BE8E-4501-8323-30368F359B53}" name="ריבית" dataDxfId="55" totalsRowDxfId="54" dataCellStyle="Currency">
      <calculatedColumnFormula>IF(ValuesEntered3,IF(ROW()-ROW(הפחתה7[[#Headers],[ריבית]])=1,-IPMT(שיעור_ריבית3/12,1,תקופת_ההלוואה3-ROWS($C$4:U4)+1,הפחתה7[[#This Row],[יתרת פתיחה]]),IFERROR(-IPMT(שיעור_ריבית3/12,1,הפחתה7[[#This Row],[תשלומים
שנותרו]],V5),0)),0)</calculatedColumnFormula>
    </tableColumn>
    <tableColumn id="5" xr3:uid="{6C50E90D-2F1D-4EB3-AE8E-28E5896864D5}" name="קרן" dataDxfId="53" totalsRowDxfId="52" dataCellStyle="Currency">
      <calculatedColumnFormula>IFERROR(IF(AND(ValuesEntered3,הפחתה7[[#This Row],[תאריך]]&lt;&gt;""),-PPMT(שיעור_ריבית3/12,1,תקופת_ההלוואה3-ROWS($C$4:U4)+1,הפחתה7[[#This Row],[יתרת פתיחה]]),""),0)</calculatedColumnFormula>
    </tableColumn>
    <tableColumn id="7" xr3:uid="{4086A3B5-3155-4042-9973-4692F77FEAAD}" name="מדד" dataDxfId="51" totalsRowDxfId="50" dataCellStyle="Currency">
      <calculatedColumnFormula>(הפחתה7[[#This Row],[יתרת פתיחה]])*(מדד3/12)</calculatedColumnFormula>
    </tableColumn>
    <tableColumn id="9" xr3:uid="{F8D4FA09-6A65-41BA-99D5-B2E612D19DB9}" name="סך_x000a_תשלומים" dataDxfId="49" totalsRowDxfId="48" dataCellStyle="Currency">
      <calculatedColumnFormula>IF(הפחתה7[[#This Row],[תאריך]]="",0,הפחתה7[[#This Row],[ריבית]]+הפחתה7[[#This Row],[קרן]]+הפחתה7[[#This Row],[מדד]])</calculatedColumnFormula>
    </tableColumn>
    <tableColumn id="10" xr3:uid="{D9045D94-79D8-4917-AFF1-437CAE897413}" name="יתרת_x000a_סגירה" dataDxfId="47" totalsRowDxfId="46" dataCellStyle="Currency">
      <calculatedColumnFormula>IF(הפחתה7[[#This Row],[תאריך]]="",0,הפחתה7[[#This Row],[יתרת פתיחה]]-הפחתה7[[#This Row],[קרן]]+הפחתה7[[#This Row],[מדד]])</calculatedColumnFormula>
    </tableColumn>
    <tableColumn id="11" xr3:uid="{E9F92EE3-44E7-4988-983D-9A00381D7D87}" name="תשלומים_x000a_שנותרו" totalsRowFunction="sum" dataDxfId="45" totalsRowDxfId="44">
      <calculatedColumnFormula>IF(הפחתה7[[#This Row],[יתרת
סגירה]]&gt;0,LastRow3-ROW(),0)</calculatedColumnFormula>
    </tableColumn>
  </tableColumns>
  <tableStyleInfo name="מחשבון משכנתה" showFirstColumn="0" showLastColumn="0" showRowStripes="1" showColumnStripes="0"/>
  <extLst>
    <ext xmlns:x14="http://schemas.microsoft.com/office/spreadsheetml/2009/9/main" uri="{504A1905-F514-4f6f-8877-14C23A59335A}">
      <x14:table altTextSummary="חישובים של תשלומי הלוואה לאורך זמן. עבור תשלומים נוספים, ההנחה היא שבוצע תשלום נוסף באותו סכום חודשי. הוסף שורה חדשה והזן תאריך תשלום. העמודות מתעדכנות באופן אוטומטי"/>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5EA7BB-39CF-49A3-844B-CF26AF8F59E4}" name="הפחתה5" displayName="הפחתה5" ref="K3:S363" headerRowDxfId="43" dataDxfId="42" totalsRowDxfId="41" dataCellStyle="Currency">
  <autoFilter ref="K3:S363" xr:uid="{275EA7BB-39CF-49A3-844B-CF26AF8F59E4}"/>
  <tableColumns count="9">
    <tableColumn id="1" xr3:uid="{D934AF21-034A-426E-A539-08FBA6723DCA}" name="מס'" totalsRowLabel="סה&quot;כ" dataDxfId="40" totalsRowDxfId="39" dataCellStyle="פסיק [0]">
      <calculatedColumnFormula>ROWS($K$4:K4)</calculatedColumnFormula>
    </tableColumn>
    <tableColumn id="2" xr3:uid="{0BD59F77-5715-435E-934A-B2454EDA491E}" name="תאריך" dataDxfId="38" dataCellStyle="תאריך">
      <calculatedColumnFormula>IF(ValuesEntered2,IF(הפחתה5[[#This Row],[מס'']]&lt;=תקופת_ההלוואה2,IF(ROW()-ROW(הפחתה5[[#Headers],[תאריך]])=1,LoanStart2,IF(R3&gt;0,EDATE(L3,1),"")),""),"")</calculatedColumnFormula>
    </tableColumn>
    <tableColumn id="3" xr3:uid="{8E532DFF-FA27-4821-81FA-5564077D9DD5}" name="יתרת פתיחה" dataDxfId="37" dataCellStyle="Currency">
      <calculatedColumnFormula>IF(ROW()-ROW(הפחתה5[[#Headers],[יתרת פתיחה]])=1,סכום_הלוואה2,IF(הפחתה5[[#This Row],[תאריך]]="",0,INDEX(הפחתה5[], ROW()-4,8)))</calculatedColumnFormula>
    </tableColumn>
    <tableColumn id="4" xr3:uid="{C8199525-5573-449D-A1E3-CDCD340E3DCC}" name="ריבית" dataDxfId="36" dataCellStyle="Currency">
      <calculatedColumnFormula>IF(ValuesEntered2,IF(ROW()-ROW(הפחתה5[[#Headers],[ריבית]])=1,-IPMT(שיעור_ריבית2/12,1,תקופת_ההלוואה2-ROWS($L$4:L4)+1,הפחתה5[[#This Row],[יתרת פתיחה]]),IFERROR(-IPMT(שיעור_ריבית2/12,1,הפחתה5[[#This Row],[תשלומים
שנותרו]],M5),0)),0)</calculatedColumnFormula>
    </tableColumn>
    <tableColumn id="5" xr3:uid="{F06A7501-5140-4B8F-9FD2-AFE3750C23EB}" name="קרן" dataDxfId="35" totalsRowDxfId="34" dataCellStyle="Currency">
      <calculatedColumnFormula>IFERROR(IF(AND(ValuesEntered2,הפחתה5[[#This Row],[תאריך]]&lt;&gt;""),-PPMT(שיעור_ריבית2/12,1,תקופת_ההלוואה2-ROWS($L$4:L4)+1,הפחתה5[[#This Row],[יתרת פתיחה]]),""),0)</calculatedColumnFormula>
    </tableColumn>
    <tableColumn id="7" xr3:uid="{D785A84C-C74E-4497-81C9-8BEEDDADC952}" name="מדד" dataDxfId="33" totalsRowDxfId="32" dataCellStyle="Currency">
      <calculatedColumnFormula>(הפחתה5[[#This Row],[יתרת פתיחה]])*(מדד2/12)</calculatedColumnFormula>
    </tableColumn>
    <tableColumn id="9" xr3:uid="{FA06F014-3EFD-4E36-BC00-3A4EE7C60C14}" name="סך_x000a_תשלומים" dataDxfId="31" totalsRowDxfId="30" dataCellStyle="Currency">
      <calculatedColumnFormula>IF(הפחתה5[[#This Row],[תאריך]]="",0,הפחתה5[[#This Row],[ריבית]]+הפחתה5[[#This Row],[קרן]]+הפחתה5[[#This Row],[מדד]])</calculatedColumnFormula>
    </tableColumn>
    <tableColumn id="10" xr3:uid="{4F3A139F-2867-4143-9603-B17F06EDC650}" name="יתרת_x000a_סגירה" dataDxfId="29" totalsRowDxfId="28" dataCellStyle="Currency">
      <calculatedColumnFormula>IF(הפחתה5[[#This Row],[תאריך]]="",0,הפחתה5[[#This Row],[יתרת פתיחה]]-הפחתה5[[#This Row],[קרן]]+הפחתה5[[#This Row],[מדד]])</calculatedColumnFormula>
    </tableColumn>
    <tableColumn id="11" xr3:uid="{797FD282-859F-4745-BB58-18B11504E2E9}" name="תשלומים_x000a_שנותרו" totalsRowFunction="sum" dataDxfId="27" dataCellStyle="פסיק [0]">
      <calculatedColumnFormula>IF(הפחתה5[[#This Row],[יתרת
סגירה]]&gt;0,LastRow2-ROW(),0)</calculatedColumnFormula>
    </tableColumn>
  </tableColumns>
  <tableStyleInfo name="מחשבון משכנתה" showFirstColumn="0" showLastColumn="0" showRowStripes="1" showColumnStripes="0"/>
  <extLst>
    <ext xmlns:x14="http://schemas.microsoft.com/office/spreadsheetml/2009/9/main" uri="{504A1905-F514-4f6f-8877-14C23A59335A}">
      <x14:table altTextSummary="חישובים של תשלומי הלוואה לאורך זמן. עבור תשלומים נוספים, ההנחה היא שבוצע תשלום נוסף באותו סכום חודשי. הוסף שורה חדשה והזן תאריך תשלום. העמודות מתעדכנות באופן אוטומטי"/>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5C5FAAD-F6C6-4538-8A7C-41E85820EF87}" name="טבלה9" displayName="טבלה9" ref="A1:E12" totalsRowShown="0" headerRowDxfId="26">
  <autoFilter ref="A1:E12" xr:uid="{95C5FAAD-F6C6-4538-8A7C-41E85820EF87}"/>
  <tableColumns count="5">
    <tableColumn id="1" xr3:uid="{D0A11A22-C854-40E5-88FC-64DFA25DD580}" name="משך ההשקעה בחודשים" dataDxfId="25">
      <calculatedColumnFormula>12*B2</calculatedColumnFormula>
    </tableColumn>
    <tableColumn id="2" xr3:uid="{E4B93829-5126-4EB6-8F1A-085D4C427B98}" name="עמודה1" dataDxfId="24"/>
    <tableColumn id="3" xr3:uid="{90FF83C9-B73B-4599-A3A0-7BA0619A0A65}" name="החזר ריבית כוללת לתקופה" dataDxfId="23"/>
    <tableColumn id="4" xr3:uid="{381E6E5A-6780-4C82-BACD-D81569A5D726}" name="החזר קרן כוללת לתקופה" dataDxfId="22"/>
    <tableColumn id="5" xr3:uid="{771B640A-986D-43ED-BCDF-3127D3A4E7C8}" name="החזר מדד לתקופה" dataDxfId="21"/>
  </tableColumns>
  <tableStyleInfo showFirstColumn="0" showLastColumn="0" showRowStripes="1" showColumnStripes="0"/>
</table>
</file>

<file path=xl/theme/theme1.xml><?xml version="1.0" encoding="utf-8"?>
<a:theme xmlns:a="http://schemas.openxmlformats.org/drawingml/2006/main" name="Office Theme">
  <a:themeElements>
    <a:clrScheme name="Custom 12">
      <a:dk1>
        <a:sysClr val="windowText" lastClr="000000"/>
      </a:dk1>
      <a:lt1>
        <a:sysClr val="window" lastClr="FFFFFF"/>
      </a:lt1>
      <a:dk2>
        <a:srgbClr val="051B20"/>
      </a:dk2>
      <a:lt2>
        <a:srgbClr val="F7F7F9"/>
      </a:lt2>
      <a:accent1>
        <a:srgbClr val="8FC356"/>
      </a:accent1>
      <a:accent2>
        <a:srgbClr val="1C8FA7"/>
      </a:accent2>
      <a:accent3>
        <a:srgbClr val="EAA158"/>
      </a:accent3>
      <a:accent4>
        <a:srgbClr val="F6655A"/>
      </a:accent4>
      <a:accent5>
        <a:srgbClr val="E1D780"/>
      </a:accent5>
      <a:accent6>
        <a:srgbClr val="95669E"/>
      </a:accent6>
      <a:hlink>
        <a:srgbClr val="6B9B37"/>
      </a:hlink>
      <a:folHlink>
        <a:srgbClr val="95669E"/>
      </a:folHlink>
    </a:clrScheme>
    <a:fontScheme name="Theme Fonts">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4.bin"/><Relationship Id="rId5" Type="http://schemas.openxmlformats.org/officeDocument/2006/relationships/table" Target="../tables/table10.xml"/><Relationship Id="rId4" Type="http://schemas.openxmlformats.org/officeDocument/2006/relationships/table" Target="../tables/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E54A-268A-4E66-AAB7-2F6BD0284552}">
  <sheetPr>
    <tabColor rgb="FF3366FF"/>
    <pageSetUpPr autoPageBreaks="0" fitToPage="1"/>
  </sheetPr>
  <dimension ref="A1:P16"/>
  <sheetViews>
    <sheetView showGridLines="0" rightToLeft="1" tabSelected="1" zoomScale="85" zoomScaleNormal="85" workbookViewId="0">
      <selection activeCell="R11" sqref="R11"/>
    </sheetView>
  </sheetViews>
  <sheetFormatPr defaultColWidth="8.796875" defaultRowHeight="30" customHeight="1" x14ac:dyDescent="0.25"/>
  <cols>
    <col min="1" max="1" width="2.59765625" style="3" customWidth="1"/>
    <col min="2" max="2" width="10.8984375" style="4" bestFit="1" customWidth="1"/>
    <col min="3" max="3" width="10.5" style="3" bestFit="1" customWidth="1"/>
    <col min="4" max="4" width="10.19921875" style="3" customWidth="1"/>
    <col min="5" max="5" width="12.5" bestFit="1" customWidth="1"/>
    <col min="6" max="6" width="8.19921875" style="3" customWidth="1"/>
    <col min="7" max="7" width="12.796875" style="3" customWidth="1"/>
    <col min="8" max="8" width="9.59765625" style="3" customWidth="1"/>
    <col min="9" max="9" width="10.19921875" style="3" customWidth="1"/>
    <col min="10" max="10" width="9.8984375" style="3" bestFit="1" customWidth="1"/>
    <col min="11" max="11" width="10.19921875" style="3" bestFit="1" customWidth="1"/>
    <col min="12" max="12" width="7.69921875" style="3" customWidth="1"/>
    <col min="13" max="13" width="10.296875" style="3" customWidth="1"/>
    <col min="14" max="14" width="8.796875" style="3" customWidth="1"/>
    <col min="15" max="15" width="10.19921875" style="3" customWidth="1"/>
    <col min="16" max="16" width="12.5" style="3" bestFit="1" customWidth="1"/>
    <col min="17" max="16384" width="8.796875" style="3"/>
  </cols>
  <sheetData>
    <row r="1" spans="1:16" ht="20.399999999999999" customHeight="1" x14ac:dyDescent="0.25">
      <c r="A1" s="1"/>
      <c r="B1" s="73"/>
      <c r="C1" s="74"/>
      <c r="D1" s="74"/>
      <c r="E1" s="75"/>
      <c r="F1" s="44"/>
      <c r="G1" s="79" t="s">
        <v>34</v>
      </c>
      <c r="H1" s="80"/>
      <c r="I1" s="80"/>
      <c r="J1" s="80"/>
      <c r="K1" s="80"/>
      <c r="L1" s="80"/>
      <c r="M1" s="80"/>
      <c r="N1" s="80"/>
      <c r="O1" s="80"/>
      <c r="P1" s="81"/>
    </row>
    <row r="2" spans="1:16" ht="31.2" thickBot="1" x14ac:dyDescent="0.3">
      <c r="A2" s="1"/>
      <c r="B2" s="76" t="s">
        <v>65</v>
      </c>
      <c r="C2" s="77"/>
      <c r="D2" s="77"/>
      <c r="E2" s="78"/>
      <c r="F2" s="44"/>
      <c r="G2" s="51" t="s">
        <v>35</v>
      </c>
      <c r="H2" s="102">
        <v>18</v>
      </c>
      <c r="I2" s="103">
        <f>H2/12</f>
        <v>1.5</v>
      </c>
      <c r="J2" s="48" t="s">
        <v>36</v>
      </c>
      <c r="K2" s="48" t="s">
        <v>37</v>
      </c>
      <c r="L2" s="48" t="s">
        <v>58</v>
      </c>
      <c r="M2" s="48" t="s">
        <v>39</v>
      </c>
      <c r="N2" s="48" t="s">
        <v>41</v>
      </c>
      <c r="O2" s="48" t="s">
        <v>54</v>
      </c>
      <c r="P2" s="61" t="s">
        <v>46</v>
      </c>
    </row>
    <row r="3" spans="1:16" ht="35.1" customHeight="1" thickTop="1" x14ac:dyDescent="0.25">
      <c r="A3" s="1"/>
      <c r="B3" s="26" t="s">
        <v>0</v>
      </c>
      <c r="C3" s="27" t="s">
        <v>5</v>
      </c>
      <c r="D3" s="28" t="s">
        <v>22</v>
      </c>
      <c r="E3" s="29" t="s">
        <v>11</v>
      </c>
      <c r="F3" s="44"/>
      <c r="G3" s="51" t="s">
        <v>38</v>
      </c>
      <c r="H3" s="104">
        <v>4000</v>
      </c>
      <c r="I3" s="103"/>
      <c r="J3" s="105" cm="1">
        <f t="array" aca="1" ref="J3" ca="1">_xlfn.IFS(H2=12,נתונים!C2,H2=18,נתונים!C3,H2=24,נתונים!C4,H2=36,נתונים!C5,H2=48,נתונים!C6,H2=60,נתונים!C7,H2=72,נתונים!C8,H2=84,נתונים!C9,H2=96,נתונים!C10,H2=108,נתונים!C11,H2=120,נתונים!C12)</f>
        <v>71388.180629697003</v>
      </c>
      <c r="K3" s="105" cm="1">
        <f t="array" aca="1" ref="K3" ca="1">_xlfn.IFS(H2=12,נתונים!D1,H2=18,נתונים!D2,H2=24,נתונים!D3,H2=36,נתונים!D4,H2=48,נתונים!D5,H2=60,נתונים!D6,H2=72,נתונים!D7,H2=84,נתונים!D8,H2=96,נתונים!D9,H2=108,נתונים!D10,H2=120,נתונים!D11)</f>
        <v>17864.990744324125</v>
      </c>
      <c r="L3" s="105" cm="1">
        <f t="array" aca="1" ref="L3" ca="1">_xlfn.IFS(H2=12,נתונים!E1,H2=18,נתונים!E2,H2=24,נתונים!E3,H2=36,נתונים!E4,H2=48,נתונים!E5,H2=60,נתונים!E6,H2=72,נתונים!E7,H2=84,נתונים!E8,H2=96,נתונים!E9,H2=108,נתונים!E10,H2=120,נתונים!E11)</f>
        <v>1990.7911976534449</v>
      </c>
      <c r="M3" s="105">
        <f>H3*H2</f>
        <v>72000</v>
      </c>
      <c r="N3" s="105">
        <f ca="1">M3-(J3+K3+L3)</f>
        <v>-19243.962571674565</v>
      </c>
      <c r="O3" s="105">
        <f ca="1">M3-J3-((H3)*I2)-K3-L3</f>
        <v>-25243.962571674572</v>
      </c>
      <c r="P3" s="62">
        <f>H5*H7*(H2/12)</f>
        <v>143850.00000000003</v>
      </c>
    </row>
    <row r="4" spans="1:16" ht="30" customHeight="1" thickBot="1" x14ac:dyDescent="0.3">
      <c r="A4" s="2"/>
      <c r="B4" s="30" t="s">
        <v>66</v>
      </c>
      <c r="C4" s="56">
        <f>((סכום_הלוואה/C6)*שיעור_ריבית)+((סכום_הלוואה2/C6)*שיעור_ריבית2)+((סכום_הלוואה3/C6)*שיעור_ריבית3)+((סכום_הלוואה4/C6)*שיעור_ריבית4)</f>
        <v>4.8199999999999993E-2</v>
      </c>
      <c r="D4" s="5" t="s">
        <v>7</v>
      </c>
      <c r="E4" s="70" cm="1">
        <f t="array" ref="E4">MonthlyLoanPayment+MonthlyLoanPayment2+MonthlyLoanPayment3+MonthlyLoanPayment4</f>
        <v>5472.1749103774719</v>
      </c>
      <c r="F4" s="44"/>
      <c r="G4" s="51" t="s">
        <v>40</v>
      </c>
      <c r="H4" s="104">
        <v>370000</v>
      </c>
      <c r="I4" s="103"/>
      <c r="J4" s="48" t="s">
        <v>48</v>
      </c>
      <c r="K4" s="48" t="s">
        <v>45</v>
      </c>
      <c r="L4" s="48" t="s">
        <v>61</v>
      </c>
      <c r="M4" s="103"/>
      <c r="N4" s="103"/>
      <c r="O4" s="106"/>
      <c r="P4" s="61" t="s">
        <v>53</v>
      </c>
    </row>
    <row r="5" spans="1:16" ht="30" customHeight="1" thickTop="1" x14ac:dyDescent="0.25">
      <c r="A5" s="2"/>
      <c r="B5" s="30" t="s">
        <v>2</v>
      </c>
      <c r="C5" s="57">
        <f>MAX(תקופת_ההלוואה,תקופת_ההלוואה2,תקופת_ההלוואה3,תקופת_ההלוואה4)</f>
        <v>360</v>
      </c>
      <c r="D5" s="5" t="s">
        <v>8</v>
      </c>
      <c r="E5" s="53">
        <f ca="1">פרטי_הלוואה[[#This Row],[סה"כ]]+פרטי_הלוואה2[[#This Row],[סה"כ]]+פרטי_הלוואה3[[#This Row],[סה"כ]]+פרטי_הלוואה4[[#This Row],[סה"כ]]</f>
        <v>1909726.285130556</v>
      </c>
      <c r="F5" s="44"/>
      <c r="G5" s="51" t="s">
        <v>49</v>
      </c>
      <c r="H5" s="104">
        <v>1370000</v>
      </c>
      <c r="I5" s="103"/>
      <c r="J5" s="136">
        <f ca="1">(L5) / (H5+H6)</f>
        <v>6.5353067676608451E-2</v>
      </c>
      <c r="K5" s="136">
        <f ca="1">(L5)/(H4+H6)</f>
        <v>0.22318860684408848</v>
      </c>
      <c r="L5" s="137">
        <f ca="1">P5-((H5-K3)+H6)+O3</f>
        <v>92413.028172649589</v>
      </c>
      <c r="M5" s="103"/>
      <c r="N5" s="103"/>
      <c r="O5" s="106"/>
      <c r="P5" s="62">
        <f>H5+P3</f>
        <v>1513850</v>
      </c>
    </row>
    <row r="6" spans="1:16" ht="30" customHeight="1" thickBot="1" x14ac:dyDescent="0.3">
      <c r="A6" s="2"/>
      <c r="B6" s="30" t="s">
        <v>3</v>
      </c>
      <c r="C6" s="58" cm="1">
        <f t="array" ref="C6">הלוואה_כוללת</f>
        <v>1000000</v>
      </c>
      <c r="D6" s="5" t="s">
        <v>9</v>
      </c>
      <c r="E6" s="53">
        <f ca="1">פרטי_הלוואה[[#This Row],[סה"כ]]+פרטי_הלוואה2[[#This Row],[סה"כ]]+פרטי_הלוואה3[[#This Row],[סה"כ]]+פרטי_הלוואה4[[#This Row],[סה"כ]]</f>
        <v>1876786.5577642901</v>
      </c>
      <c r="F6" s="44"/>
      <c r="G6" s="51" t="s">
        <v>50</v>
      </c>
      <c r="H6" s="104">
        <f>(H5*0.02)*1.17+ 6000 + 6000</f>
        <v>44058</v>
      </c>
      <c r="I6" s="103"/>
      <c r="J6" s="48" t="s">
        <v>62</v>
      </c>
      <c r="K6" s="48" t="s">
        <v>63</v>
      </c>
      <c r="L6" s="48" t="s">
        <v>64</v>
      </c>
      <c r="M6" s="103"/>
      <c r="N6" s="103"/>
      <c r="O6" s="103"/>
      <c r="P6" s="63"/>
    </row>
    <row r="7" spans="1:16" ht="30" customHeight="1" thickTop="1" x14ac:dyDescent="0.25">
      <c r="A7" s="2"/>
      <c r="B7" s="30" t="s">
        <v>4</v>
      </c>
      <c r="C7" s="52">
        <f ca="1">MIN(LoanStart,LoanStart2,LoanStart3,LoanStart4)</f>
        <v>45383</v>
      </c>
      <c r="D7" s="5" t="s">
        <v>10</v>
      </c>
      <c r="E7" s="53" cm="1">
        <f t="array" aca="1" ref="E7" ca="1">total_interest_paid+total_interest_paid2+total_interest_paid3+total_interest_paid4</f>
        <v>843848.04288074747</v>
      </c>
      <c r="F7" s="44"/>
      <c r="G7" s="51" t="s">
        <v>47</v>
      </c>
      <c r="H7" s="64">
        <v>7.0000000000000007E-2</v>
      </c>
      <c r="I7" s="103"/>
      <c r="J7" s="136">
        <f ca="1">J5/I2</f>
        <v>4.3568711784405634E-2</v>
      </c>
      <c r="K7" s="136">
        <f ca="1">K5/I2</f>
        <v>0.14879240456272566</v>
      </c>
      <c r="L7" s="137">
        <f ca="1">L5/I2</f>
        <v>61608.685448433062</v>
      </c>
      <c r="M7" s="103"/>
      <c r="N7" s="103"/>
      <c r="O7" s="103"/>
      <c r="P7" s="63"/>
    </row>
    <row r="8" spans="1:16" ht="30" hidden="1" customHeight="1" thickTop="1" x14ac:dyDescent="0.25">
      <c r="A8" s="2"/>
      <c r="B8" s="49"/>
      <c r="C8" s="10"/>
      <c r="D8" s="5"/>
      <c r="E8" s="53">
        <v>0</v>
      </c>
      <c r="F8" s="72"/>
      <c r="G8" s="51" t="s">
        <v>53</v>
      </c>
      <c r="H8" s="105">
        <f>H5*((1+H7)^I2)</f>
        <v>1516338.7506424813</v>
      </c>
      <c r="I8" s="103"/>
      <c r="J8" s="103"/>
      <c r="K8" s="103"/>
      <c r="L8" s="103"/>
      <c r="M8" s="103"/>
      <c r="N8" s="103"/>
      <c r="O8" s="103"/>
      <c r="P8" s="63"/>
    </row>
    <row r="9" spans="1:16" ht="30" customHeight="1" thickBot="1" x14ac:dyDescent="0.3">
      <c r="A9" s="2"/>
      <c r="B9" s="49" t="s">
        <v>58</v>
      </c>
      <c r="C9" s="50">
        <f>(מדד+מדד2+מדד3+מדד4)/4</f>
        <v>5.0000000000000001E-3</v>
      </c>
      <c r="D9" s="5" t="s">
        <v>59</v>
      </c>
      <c r="E9" s="53">
        <f ca="1">פרטי_הלוואה[[#This Row],[סה"כ]]+פרטי_הלוואה2[[#This Row],[סה"כ]]+פרטי_הלוואה3[[#This Row],[סה"כ]]+פרטי_הלוואה4[[#This Row],[סה"כ]]</f>
        <v>32939.727366265368</v>
      </c>
      <c r="F9" s="72"/>
      <c r="G9" s="51" t="s">
        <v>53</v>
      </c>
      <c r="H9" s="105">
        <f>H5*((1+H7)^I2)</f>
        <v>1516338.7506424813</v>
      </c>
      <c r="I9" s="103"/>
      <c r="J9" s="59" t="s">
        <v>55</v>
      </c>
      <c r="K9" s="59" t="s">
        <v>56</v>
      </c>
      <c r="L9" s="103"/>
      <c r="M9" s="103"/>
      <c r="N9" s="103"/>
      <c r="O9" s="107"/>
      <c r="P9" s="63"/>
    </row>
    <row r="10" spans="1:16" customFormat="1" ht="30" customHeight="1" thickTop="1" x14ac:dyDescent="0.25">
      <c r="A10" s="1"/>
      <c r="B10" s="55" t="s">
        <v>51</v>
      </c>
      <c r="C10" s="71">
        <f ca="1">E6/C6</f>
        <v>1.8767865577642902</v>
      </c>
      <c r="D10" s="41" t="s">
        <v>6</v>
      </c>
      <c r="E10" s="54">
        <f>E4</f>
        <v>5472.1749103774719</v>
      </c>
      <c r="F10" s="72"/>
      <c r="G10" s="51" t="s">
        <v>52</v>
      </c>
      <c r="H10" s="105">
        <f>H8-H5</f>
        <v>146338.75064248126</v>
      </c>
      <c r="I10" s="107"/>
      <c r="J10" s="108">
        <v>44682</v>
      </c>
      <c r="K10" s="109">
        <f>J10+(I2*365)</f>
        <v>45229.5</v>
      </c>
      <c r="L10" s="107"/>
      <c r="M10" s="107"/>
      <c r="N10" s="103"/>
      <c r="O10" s="107"/>
      <c r="P10" s="63"/>
    </row>
    <row r="11" spans="1:16" ht="30" customHeight="1" thickBot="1" x14ac:dyDescent="0.3">
      <c r="A11" s="2"/>
      <c r="B11" s="37"/>
      <c r="C11" s="38"/>
      <c r="D11" s="39"/>
      <c r="E11" s="60" t="s">
        <v>12</v>
      </c>
      <c r="G11" s="65"/>
      <c r="H11" s="66"/>
      <c r="I11" s="66"/>
      <c r="J11" s="66"/>
      <c r="K11" s="66"/>
      <c r="L11" s="66"/>
      <c r="M11" s="66"/>
      <c r="N11" s="39"/>
      <c r="O11" s="66"/>
      <c r="P11" s="67"/>
    </row>
    <row r="13" spans="1:16" ht="30" hidden="1" customHeight="1" x14ac:dyDescent="0.25">
      <c r="B13" s="4" t="str">
        <f>B6</f>
        <v>סכום הלוואה</v>
      </c>
      <c r="C13" s="3" t="str">
        <f>D7</f>
        <v>סך הריבית ששולמה</v>
      </c>
      <c r="D13" s="3" t="str">
        <f>D9</f>
        <v>סך תשלומי הצמדה</v>
      </c>
    </row>
    <row r="14" spans="1:16" ht="30" hidden="1" customHeight="1" x14ac:dyDescent="0.25">
      <c r="B14" s="68">
        <f>C6</f>
        <v>1000000</v>
      </c>
      <c r="C14" s="69">
        <f ca="1">E7</f>
        <v>843848.04288074747</v>
      </c>
      <c r="D14" s="69">
        <f ca="1">E9</f>
        <v>32939.727366265368</v>
      </c>
    </row>
    <row r="16" spans="1:16" ht="30" customHeight="1" x14ac:dyDescent="0.25">
      <c r="F16" s="44"/>
      <c r="G16" s="44"/>
      <c r="H16" s="44"/>
      <c r="I16" s="44"/>
      <c r="J16" s="44"/>
      <c r="K16" s="44"/>
      <c r="L16" s="44"/>
      <c r="M16" s="44"/>
      <c r="N16" s="44"/>
      <c r="O16" s="44"/>
      <c r="P16" s="44"/>
    </row>
  </sheetData>
  <sheetProtection insertRows="0" deleteRows="0" selectLockedCells="1"/>
  <mergeCells count="4">
    <mergeCell ref="F8:F10"/>
    <mergeCell ref="B1:E1"/>
    <mergeCell ref="B2:E2"/>
    <mergeCell ref="G1:P1"/>
  </mergeCells>
  <dataValidations count="14">
    <dataValidation allowBlank="1" showInputMessage="1" showErrorMessage="1" prompt="קישור לגליון העבודה 'טבלת סילוקין'" sqref="E11" xr:uid="{BE52A604-DF3C-4EB6-A241-E172BBC917AE}"/>
    <dataValidation allowBlank="1" showInputMessage="1" showErrorMessage="1" prompt="הערה זו חלה על סך התשלומים החודשיים בתא D5" sqref="B10" xr:uid="{BDAB62C0-22BF-4D76-AD12-ABE5792692C5}"/>
    <dataValidation allowBlank="1" showInputMessage="1" showErrorMessage="1" prompt="תשלום ההלוואה החודשי מחושב באופן אוטומטי למטה" sqref="D10" xr:uid="{5C86D03A-86F3-429D-89C6-2D1E03CEBBC4}"/>
    <dataValidation allowBlank="1" showInputMessage="1" showErrorMessage="1" prompt="הסה&quot;כ בעמודה זו תחת כותרת זו מחושב באופן אוטומטי. הזן 'סכום מס מאפיין חודשי' בתא E8" sqref="E3" xr:uid="{BADE7808-7C83-4CE4-B158-456D3F43F9D3}"/>
    <dataValidation allowBlank="1" showInputMessage="1" showErrorMessage="1" prompt="סטטיסטיקת מפתח עבור ההלוואה מופיעה בעמודה זו תחת כותרת זו. הזן 'סכום מס מאפיין חודשי' בתא E8" sqref="D3" xr:uid="{60B9349D-83F3-4E4E-8EA0-AA6373A848B0}"/>
    <dataValidation allowBlank="1" showInputMessage="1" showErrorMessage="1" prompt="הזן ערכי פרטי הלוואה בעמודה זו תחת כותרת זו. הזן סכום מס מאפיין חודשי בתא E8" sqref="C3" xr:uid="{C9BCE44E-A517-4F0A-8300-167385547440}"/>
    <dataValidation allowBlank="1" showInputMessage="1" showErrorMessage="1" prompt="תשלום ההלוואה החודשי מחושב באופן אוטומטי בתא זה" sqref="E10" xr:uid="{AF87A6D2-C956-4FA3-BF62-BD7255BF179D}"/>
    <dataValidation allowBlank="1" showInputMessage="1" showErrorMessage="1" prompt="פרטי ההלוואה שיש להזין נמצאים בעמודה זו תחת כותרת זו" sqref="B3" xr:uid="{4EF08845-2C28-4362-B3E8-BCA9819DC8ED}"/>
    <dataValidation allowBlank="1" showInputMessage="1" showErrorMessage="1" prompt="הזן את סכום מס הרכוש החודשי בתא זה" sqref="E8:E9" xr:uid="{D47AABE4-D31E-407D-9E6E-7A8C87C8D807}"/>
    <dataValidation allowBlank="1" showInputMessage="1" showErrorMessage="1" prompt="הזן את תאריך תחילת ההלוואה בתא זה" sqref="C7" xr:uid="{85EE658A-BDD2-4A68-9FD0-C98A0E69A193}"/>
    <dataValidation allowBlank="1" showInputMessage="1" showErrorMessage="1" prompt="הזן את סכום ההלוואה הכולל בתא זה" sqref="C6" xr:uid="{91283B45-08A4-496C-B939-7284AFFC5495}"/>
    <dataValidation allowBlank="1" showInputMessage="1" showErrorMessage="1" prompt="הזן את שיעור הריבית בתא זה" sqref="C4" xr:uid="{4CBAED9A-4603-4628-809B-9BC55ED45520}"/>
    <dataValidation allowBlank="1" showInputMessage="1" showErrorMessage="1" prompt="'מחשבון משכנתה' מכיל פרטי הלוואה ומחשב באופן אוטומטי נתונים סטטיסטיים חשובים כדי לגלות מהו 'סך תשלומי ההלוואה החודשיים'. קישור ניווט ל'טבלת סילוקין' נמצא בתא E10" sqref="A1" xr:uid="{9D74E105-68FA-4A58-ADD3-2A7443DDBF3A}"/>
    <dataValidation type="whole" errorStyle="warning" allowBlank="1" showInputMessage="1" showErrorMessage="1" error="האורך המרבי של הלוואה עבור מחשבון זה הוא 360 חודשים (30 שנים). בחר 'נסה שנית' כדי להזין ערך בין 1 ל- 360, ביטול כדי 'לצאת'" prompt="הזן את משך ההלוואה (בחודשים). ערכים חוקיים הם בין 1 ל- 360 (30 שנים)" sqref="C5" xr:uid="{27729319-28D2-4DCE-8D18-E2636877B917}">
      <formula1>1</formula1>
      <formula2>360</formula2>
    </dataValidation>
  </dataValidations>
  <hyperlinks>
    <hyperlink ref="E11" location="' טבלת סילוקין - מסכמת'!ColumnTitle2" tooltip="קישור לטבלת הסילוקין" display="לטבלת הסילוקין" xr:uid="{A0056BE5-3D1D-44AF-98A1-B3B84993D276}"/>
  </hyperlinks>
  <printOptions horizontalCentered="1"/>
  <pageMargins left="0.25" right="0.25" top="0.75" bottom="0.75" header="0.3" footer="0.3"/>
  <pageSetup paperSize="9" orientation="landscape" r:id="rId1"/>
  <headerFooter differentFirst="1">
    <oddFooter>Page &amp;P of &amp;N</oddFooter>
  </headerFooter>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BD6E8308-6555-44B9-9FE9-76BA8BE79DC6}">
          <x14:formula1>
            <xm:f>נתונים!$A$2:$A$12</xm:f>
          </x14:formula1>
          <xm:sqref>H2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39997558519241921"/>
    <pageSetUpPr autoPageBreaks="0" fitToPage="1"/>
  </sheetPr>
  <dimension ref="A1:Q18"/>
  <sheetViews>
    <sheetView showGridLines="0" rightToLeft="1" zoomScale="88" zoomScaleNormal="85" workbookViewId="0">
      <selection activeCell="U7" sqref="U7"/>
    </sheetView>
  </sheetViews>
  <sheetFormatPr defaultColWidth="8.796875" defaultRowHeight="30" customHeight="1" x14ac:dyDescent="0.25"/>
  <cols>
    <col min="1" max="1" width="2.59765625" style="3" customWidth="1"/>
    <col min="2" max="2" width="10.8984375" style="4" bestFit="1" customWidth="1"/>
    <col min="3" max="3" width="12.296875" style="3" bestFit="1" customWidth="1"/>
    <col min="4" max="4" width="11" style="3" customWidth="1"/>
    <col min="5" max="5" width="11.69921875" customWidth="1"/>
    <col min="6" max="6" width="10.19921875" style="3" customWidth="1"/>
    <col min="7" max="7" width="8.19921875" style="3" customWidth="1"/>
    <col min="8" max="8" width="11.69921875" style="3" customWidth="1"/>
    <col min="9" max="9" width="9.59765625" style="3" customWidth="1"/>
    <col min="10" max="10" width="10.19921875" style="3" customWidth="1"/>
    <col min="11" max="11" width="8.19921875" style="3" customWidth="1"/>
    <col min="12" max="12" width="10.19921875" style="3" customWidth="1"/>
    <col min="13" max="13" width="7.69921875" style="3" customWidth="1"/>
    <col min="14" max="14" width="10.296875" style="3" customWidth="1"/>
    <col min="15" max="15" width="8.796875" style="3" customWidth="1"/>
    <col min="16" max="16" width="10.19921875" style="3" customWidth="1"/>
    <col min="17" max="17" width="7.69921875" style="3" customWidth="1"/>
    <col min="18" max="16384" width="8.796875" style="3"/>
  </cols>
  <sheetData>
    <row r="1" spans="1:17" ht="20.399999999999999" customHeight="1" x14ac:dyDescent="0.25">
      <c r="A1" s="1"/>
      <c r="B1" s="82" t="s">
        <v>20</v>
      </c>
      <c r="C1" s="83"/>
      <c r="D1" s="83"/>
      <c r="E1" s="84"/>
      <c r="F1" s="82" t="s">
        <v>25</v>
      </c>
      <c r="G1" s="83"/>
      <c r="H1" s="83"/>
      <c r="I1" s="84"/>
      <c r="J1" s="82" t="s">
        <v>26</v>
      </c>
      <c r="K1" s="83"/>
      <c r="L1" s="83"/>
      <c r="M1" s="84"/>
      <c r="N1" s="82" t="s">
        <v>27</v>
      </c>
      <c r="O1" s="83"/>
      <c r="P1" s="83"/>
      <c r="Q1" s="84"/>
    </row>
    <row r="2" spans="1:17" ht="16.2" customHeight="1" thickBot="1" x14ac:dyDescent="0.3">
      <c r="A2" s="1"/>
      <c r="B2" s="76" t="s">
        <v>21</v>
      </c>
      <c r="C2" s="77"/>
      <c r="D2" s="77"/>
      <c r="E2" s="78"/>
      <c r="F2" s="76" t="s">
        <v>28</v>
      </c>
      <c r="G2" s="77"/>
      <c r="H2" s="77"/>
      <c r="I2" s="78"/>
      <c r="J2" s="76" t="s">
        <v>85</v>
      </c>
      <c r="K2" s="77"/>
      <c r="L2" s="77"/>
      <c r="M2" s="78"/>
      <c r="N2" s="76"/>
      <c r="O2" s="77"/>
      <c r="P2" s="77"/>
      <c r="Q2" s="78"/>
    </row>
    <row r="3" spans="1:17" ht="35.1" customHeight="1" thickTop="1" x14ac:dyDescent="0.25">
      <c r="A3" s="1"/>
      <c r="B3" s="26" t="s">
        <v>0</v>
      </c>
      <c r="C3" s="120" t="s">
        <v>5</v>
      </c>
      <c r="D3" s="121" t="s">
        <v>22</v>
      </c>
      <c r="E3" s="29" t="s">
        <v>11</v>
      </c>
      <c r="F3" s="26" t="s">
        <v>0</v>
      </c>
      <c r="G3" s="120" t="s">
        <v>5</v>
      </c>
      <c r="H3" s="121" t="s">
        <v>22</v>
      </c>
      <c r="I3" s="29" t="s">
        <v>11</v>
      </c>
      <c r="J3" s="26" t="s">
        <v>0</v>
      </c>
      <c r="K3" s="120" t="s">
        <v>5</v>
      </c>
      <c r="L3" s="121" t="s">
        <v>22</v>
      </c>
      <c r="M3" s="29" t="s">
        <v>11</v>
      </c>
      <c r="N3" s="26" t="s">
        <v>0</v>
      </c>
      <c r="O3" s="120" t="s">
        <v>5</v>
      </c>
      <c r="P3" s="121" t="s">
        <v>22</v>
      </c>
      <c r="Q3" s="29" t="s">
        <v>11</v>
      </c>
    </row>
    <row r="4" spans="1:17" ht="30" customHeight="1" x14ac:dyDescent="0.25">
      <c r="A4" s="2"/>
      <c r="B4" s="30" t="s">
        <v>1</v>
      </c>
      <c r="C4" s="34">
        <v>5.2999999999999999E-2</v>
      </c>
      <c r="D4" s="122" t="s">
        <v>7</v>
      </c>
      <c r="E4" s="31">
        <f>IFERROR(PMT(שיעור_ריבית/12,תקופת_ההלוואה,-סכום_הלוואה),0)</f>
        <v>3331.8279143852174</v>
      </c>
      <c r="F4" s="30" t="s">
        <v>1</v>
      </c>
      <c r="G4" s="34">
        <v>4.7E-2</v>
      </c>
      <c r="H4" s="122" t="s">
        <v>7</v>
      </c>
      <c r="I4" s="31">
        <f>IFERROR(PMT(שיעור_ריבית2/12,תקופת_ההלוואה2,-סכום_הלוואה2),0)</f>
        <v>1701.7358185880596</v>
      </c>
      <c r="J4" s="30" t="s">
        <v>1</v>
      </c>
      <c r="K4" s="34">
        <v>2.3E-2</v>
      </c>
      <c r="L4" s="122" t="s">
        <v>7</v>
      </c>
      <c r="M4" s="31">
        <f>IFERROR(PMT(שיעור_ריבית3/12,תקופת_ההלוואה3,-סכום_הלוואה3),0)</f>
        <v>438.61117740419473</v>
      </c>
      <c r="N4" s="30" t="s">
        <v>1</v>
      </c>
      <c r="O4" s="34">
        <v>0</v>
      </c>
      <c r="P4" s="122" t="s">
        <v>7</v>
      </c>
      <c r="Q4" s="31">
        <f>IFERROR(PMT(שיעור_ריבית4/12,תקופת_ההלוואה4,-סכום_הלוואה4),0)</f>
        <v>0</v>
      </c>
    </row>
    <row r="5" spans="1:17" ht="30" customHeight="1" x14ac:dyDescent="0.25">
      <c r="A5" s="2"/>
      <c r="B5" s="30" t="s">
        <v>2</v>
      </c>
      <c r="C5" s="35">
        <v>360</v>
      </c>
      <c r="D5" s="122" t="s">
        <v>8</v>
      </c>
      <c r="E5" s="31">
        <f>IFERROR(IF(ValuesEntered,SUM(total_payments),0),0)</f>
        <v>1196811.0605853009</v>
      </c>
      <c r="F5" s="30" t="s">
        <v>2</v>
      </c>
      <c r="G5" s="35">
        <v>300</v>
      </c>
      <c r="H5" s="122" t="s">
        <v>8</v>
      </c>
      <c r="I5" s="31">
        <f>IFERROR(IF(ValuesEntered2,SUM(total_payments2),0),0)</f>
        <v>509347.80862504081</v>
      </c>
      <c r="J5" s="30" t="s">
        <v>2</v>
      </c>
      <c r="K5" s="35">
        <v>300</v>
      </c>
      <c r="L5" s="122" t="s">
        <v>8</v>
      </c>
      <c r="M5" s="31">
        <f ca="1">IFERROR(IF(ValuesEntered3,SUM(total_payments3),0),0)</f>
        <v>203567.41592021426</v>
      </c>
      <c r="N5" s="30" t="s">
        <v>2</v>
      </c>
      <c r="O5" s="35">
        <v>1</v>
      </c>
      <c r="P5" s="122" t="s">
        <v>8</v>
      </c>
      <c r="Q5" s="31">
        <f ca="1">IFERROR(IF(ValuesEntered4,SUM(total_payments4),0),0)</f>
        <v>0</v>
      </c>
    </row>
    <row r="6" spans="1:17" ht="30" customHeight="1" x14ac:dyDescent="0.25">
      <c r="A6" s="2"/>
      <c r="B6" s="30" t="s">
        <v>3</v>
      </c>
      <c r="C6" s="36">
        <v>600000</v>
      </c>
      <c r="D6" s="122" t="s">
        <v>9</v>
      </c>
      <c r="E6" s="31">
        <f>IFERROR(IF(ValuesEntered,SUM(total_loan_payment),0),0)</f>
        <v>1196811.0605853007</v>
      </c>
      <c r="F6" s="30" t="s">
        <v>3</v>
      </c>
      <c r="G6" s="36">
        <v>300000</v>
      </c>
      <c r="H6" s="122" t="s">
        <v>9</v>
      </c>
      <c r="I6" s="31">
        <f>IFERROR(IF(ValuesEntered2,SUM(total_loan_payment2),0),0)</f>
        <v>509347.80862504046</v>
      </c>
      <c r="J6" s="30" t="s">
        <v>3</v>
      </c>
      <c r="K6" s="36">
        <v>100000</v>
      </c>
      <c r="L6" s="122" t="s">
        <v>9</v>
      </c>
      <c r="M6" s="31">
        <f ca="1">IFERROR(IF(ValuesEntered3,SUM(total_loan_payment3),0),0)</f>
        <v>170627.68855394909</v>
      </c>
      <c r="N6" s="30" t="s">
        <v>3</v>
      </c>
      <c r="O6" s="36">
        <v>0</v>
      </c>
      <c r="P6" s="122" t="s">
        <v>9</v>
      </c>
      <c r="Q6" s="31">
        <f ca="1">IFERROR(IF(ValuesEntered4,SUM(total_loan_payment4),0),0)</f>
        <v>0</v>
      </c>
    </row>
    <row r="7" spans="1:17" ht="30" customHeight="1" x14ac:dyDescent="0.25">
      <c r="A7" s="2"/>
      <c r="B7" s="30" t="s">
        <v>4</v>
      </c>
      <c r="C7" s="25">
        <v>45383</v>
      </c>
      <c r="D7" s="122" t="s">
        <v>10</v>
      </c>
      <c r="E7" s="31">
        <f>IFERROR(IF(ValuesEntered,SUM(ריבית),0),0)</f>
        <v>596811.06058530067</v>
      </c>
      <c r="F7" s="30" t="s">
        <v>4</v>
      </c>
      <c r="G7" s="25">
        <v>45383</v>
      </c>
      <c r="H7" s="122" t="s">
        <v>10</v>
      </c>
      <c r="I7" s="31">
        <f>IFERROR(IF(ValuesEntered2,SUM(ריבית2),0),0)</f>
        <v>209347.80862504052</v>
      </c>
      <c r="J7" s="30" t="s">
        <v>4</v>
      </c>
      <c r="K7" s="25">
        <f ca="1">TODAY()+120</f>
        <v>45621</v>
      </c>
      <c r="L7" s="122" t="s">
        <v>10</v>
      </c>
      <c r="M7" s="31">
        <f ca="1">IFERROR(IF(ValuesEntered3,SUM(ריבית3),0),0)</f>
        <v>37689.173670406264</v>
      </c>
      <c r="N7" s="30" t="s">
        <v>4</v>
      </c>
      <c r="O7" s="25">
        <f ca="1">TODAY()+120</f>
        <v>45621</v>
      </c>
      <c r="P7" s="122" t="s">
        <v>10</v>
      </c>
      <c r="Q7" s="31">
        <f ca="1">IFERROR(IF(ValuesEntered4,SUM(ריבית4),0),0)</f>
        <v>0</v>
      </c>
    </row>
    <row r="8" spans="1:17" ht="32.4" hidden="1" customHeight="1" x14ac:dyDescent="0.25">
      <c r="A8" s="2"/>
      <c r="B8" s="49" t="s">
        <v>58</v>
      </c>
      <c r="C8" s="50">
        <v>0.01</v>
      </c>
      <c r="D8" s="122" t="s">
        <v>59</v>
      </c>
      <c r="E8" s="31">
        <v>0</v>
      </c>
      <c r="F8" s="103" t="s">
        <v>58</v>
      </c>
      <c r="G8" s="50">
        <v>0.01</v>
      </c>
      <c r="H8" s="122" t="s">
        <v>59</v>
      </c>
      <c r="I8" s="31">
        <v>0</v>
      </c>
      <c r="J8" s="103" t="s">
        <v>58</v>
      </c>
      <c r="K8" s="50">
        <v>0.01</v>
      </c>
      <c r="L8" s="122" t="s">
        <v>59</v>
      </c>
      <c r="M8" s="31">
        <v>0</v>
      </c>
      <c r="N8" s="51" t="s">
        <v>58</v>
      </c>
      <c r="O8" s="50">
        <v>0.01</v>
      </c>
      <c r="P8" s="122" t="s">
        <v>59</v>
      </c>
      <c r="Q8" s="31">
        <v>0</v>
      </c>
    </row>
    <row r="9" spans="1:17" ht="32.4" customHeight="1" x14ac:dyDescent="0.25">
      <c r="A9" s="2"/>
      <c r="B9" s="49" t="s">
        <v>58</v>
      </c>
      <c r="C9" s="50">
        <v>0</v>
      </c>
      <c r="D9" s="122" t="s">
        <v>59</v>
      </c>
      <c r="E9" s="31">
        <f>SUM(הפחתה[מדד])</f>
        <v>0</v>
      </c>
      <c r="F9" s="103" t="s">
        <v>58</v>
      </c>
      <c r="G9" s="50">
        <v>0</v>
      </c>
      <c r="H9" s="122" t="s">
        <v>59</v>
      </c>
      <c r="I9" s="31">
        <f>SUM(הפחתה5[מדד])</f>
        <v>0</v>
      </c>
      <c r="J9" s="103" t="s">
        <v>58</v>
      </c>
      <c r="K9" s="50">
        <v>0.02</v>
      </c>
      <c r="L9" s="122" t="s">
        <v>59</v>
      </c>
      <c r="M9" s="31">
        <f ca="1">SUM(הפחתה7[מדד])</f>
        <v>32939.727366265368</v>
      </c>
      <c r="N9" s="51" t="s">
        <v>58</v>
      </c>
      <c r="O9" s="50">
        <v>0</v>
      </c>
      <c r="P9" s="122" t="s">
        <v>59</v>
      </c>
      <c r="Q9" s="31">
        <f ca="1">SUM(הפחתה8[מדד])</f>
        <v>0</v>
      </c>
    </row>
    <row r="10" spans="1:17" customFormat="1" ht="30" customHeight="1" x14ac:dyDescent="0.25">
      <c r="A10" s="1"/>
      <c r="B10" s="32"/>
      <c r="C10" s="33"/>
      <c r="D10" s="123" t="s">
        <v>6</v>
      </c>
      <c r="E10" s="42">
        <f>E4</f>
        <v>3331.8279143852174</v>
      </c>
      <c r="F10" s="32"/>
      <c r="G10" s="33"/>
      <c r="H10" s="123" t="s">
        <v>6</v>
      </c>
      <c r="I10" s="42">
        <f>I4</f>
        <v>1701.7358185880596</v>
      </c>
      <c r="J10" s="32"/>
      <c r="K10" s="33"/>
      <c r="L10" s="123" t="s">
        <v>6</v>
      </c>
      <c r="M10" s="42">
        <f>M4</f>
        <v>438.61117740419473</v>
      </c>
      <c r="N10" s="32"/>
      <c r="O10" s="33"/>
      <c r="P10" s="123" t="s">
        <v>6</v>
      </c>
      <c r="Q10" s="42">
        <f>Q4</f>
        <v>0</v>
      </c>
    </row>
    <row r="11" spans="1:17" ht="30" customHeight="1" thickBot="1" x14ac:dyDescent="0.3">
      <c r="A11" s="2"/>
      <c r="B11" s="85" t="s">
        <v>57</v>
      </c>
      <c r="C11" s="86"/>
      <c r="D11" s="39"/>
      <c r="E11" s="40" t="s">
        <v>12</v>
      </c>
      <c r="F11" s="37"/>
      <c r="G11" s="38"/>
      <c r="H11" s="39"/>
      <c r="I11" s="40" t="s">
        <v>12</v>
      </c>
      <c r="J11" s="37"/>
      <c r="K11" s="38"/>
      <c r="L11" s="39"/>
      <c r="M11" s="40" t="s">
        <v>12</v>
      </c>
      <c r="N11" s="37"/>
      <c r="O11" s="38"/>
      <c r="P11" s="39"/>
      <c r="Q11" s="40" t="s">
        <v>12</v>
      </c>
    </row>
    <row r="12" spans="1:17" ht="30" customHeight="1" thickBot="1" x14ac:dyDescent="0.3">
      <c r="F12" s="44"/>
      <c r="G12" s="44"/>
      <c r="I12" s="106"/>
    </row>
    <row r="13" spans="1:17" ht="30" customHeight="1" x14ac:dyDescent="0.25">
      <c r="B13" s="112" t="s">
        <v>81</v>
      </c>
      <c r="C13" s="114">
        <f>סכום_הלוואה+סכום_הלוואה2+סכום_הלוואה3+סכום_הלוואה4</f>
        <v>1000000</v>
      </c>
      <c r="D13" s="124" t="s">
        <v>70</v>
      </c>
      <c r="E13" s="125"/>
      <c r="G13" s="135">
        <v>1</v>
      </c>
      <c r="H13" s="128" t="s">
        <v>77</v>
      </c>
      <c r="I13" s="106"/>
      <c r="J13" s="106"/>
    </row>
    <row r="14" spans="1:17" ht="30" customHeight="1" x14ac:dyDescent="0.25">
      <c r="B14" s="110" t="s">
        <v>72</v>
      </c>
      <c r="C14" s="111">
        <f>E10+I10+M10+Q10</f>
        <v>5472.1749103774719</v>
      </c>
      <c r="D14" s="126" t="s">
        <v>73</v>
      </c>
      <c r="E14" s="127"/>
      <c r="G14" s="135">
        <v>2</v>
      </c>
      <c r="H14" s="129" t="s">
        <v>83</v>
      </c>
    </row>
    <row r="15" spans="1:17" ht="30" customHeight="1" x14ac:dyDescent="0.25">
      <c r="B15" s="130" t="s">
        <v>82</v>
      </c>
      <c r="C15" s="131">
        <f ca="1">total_interest_paid+total_interest_paid2+total_interest_paid3+total_interest_paid4</f>
        <v>843848.04288074747</v>
      </c>
      <c r="D15" s="116" t="s">
        <v>75</v>
      </c>
      <c r="E15" s="117"/>
      <c r="G15" s="135">
        <v>3</v>
      </c>
      <c r="H15" s="129" t="s">
        <v>76</v>
      </c>
    </row>
    <row r="16" spans="1:17" ht="30" customHeight="1" thickBot="1" x14ac:dyDescent="0.3">
      <c r="B16" s="113" t="s">
        <v>71</v>
      </c>
      <c r="C16" s="115"/>
      <c r="D16" s="118" t="s">
        <v>74</v>
      </c>
      <c r="E16" s="119">
        <f>C14-E14</f>
        <v>5472.1749103774719</v>
      </c>
      <c r="G16" s="135">
        <v>4</v>
      </c>
      <c r="H16" s="129" t="s">
        <v>78</v>
      </c>
    </row>
    <row r="17" spans="2:8" ht="30" customHeight="1" thickBot="1" x14ac:dyDescent="0.3">
      <c r="B17" s="133" t="s">
        <v>79</v>
      </c>
      <c r="C17" s="132" t="e">
        <f>(E16*12)/C16</f>
        <v>#DIV/0!</v>
      </c>
      <c r="D17" s="134" t="s">
        <v>80</v>
      </c>
      <c r="E17" s="119">
        <f ca="1">C15-E15</f>
        <v>843848.04288074747</v>
      </c>
      <c r="G17" s="135">
        <v>5</v>
      </c>
      <c r="H17" s="129" t="s">
        <v>84</v>
      </c>
    </row>
    <row r="18" spans="2:8" ht="30" customHeight="1" x14ac:dyDescent="0.25">
      <c r="H18" s="129"/>
    </row>
  </sheetData>
  <sheetProtection insertRows="0" deleteRows="0" selectLockedCells="1"/>
  <mergeCells count="9">
    <mergeCell ref="N1:Q1"/>
    <mergeCell ref="N2:Q2"/>
    <mergeCell ref="B11:C11"/>
    <mergeCell ref="B1:E1"/>
    <mergeCell ref="B2:E2"/>
    <mergeCell ref="F1:I1"/>
    <mergeCell ref="F2:I2"/>
    <mergeCell ref="J1:M1"/>
    <mergeCell ref="J2:M2"/>
  </mergeCells>
  <dataValidations xWindow="814" yWindow="404" count="15">
    <dataValidation type="whole" errorStyle="warning" allowBlank="1" showInputMessage="1" showErrorMessage="1" error="האורך המרבי של הלוואה עבור מחשבון זה הוא 360 חודשים (30 שנים). בחר 'נסה שנית' כדי להזין ערך בין 1 ל- 360, ביטול כדי 'לצאת'" prompt="הזן את משך ההלוואה (בחודשים). ערכים חוקיים הם בין 1 ל- 360 (30 שנים)" sqref="C5 G5 K5 O5" xr:uid="{00000000-0002-0000-0000-000000000000}">
      <formula1>1</formula1>
      <formula2>360</formula2>
    </dataValidation>
    <dataValidation allowBlank="1" showInputMessage="1" showErrorMessage="1" prompt="'מחשבון משכנתה' מכיל פרטי הלוואה ומחשב באופן אוטומטי נתונים סטטיסטיים חשובים כדי לגלות מהו 'סך תשלומי ההלוואה החודשיים'. קישור ניווט ל'טבלת סילוקין' נמצא בתא E10" sqref="A1" xr:uid="{00000000-0002-0000-0000-000001000000}"/>
    <dataValidation allowBlank="1" showInputMessage="1" showErrorMessage="1" prompt="הזן את שיעור הריבית בתא זה" sqref="C4 G4 K4 O4" xr:uid="{00000000-0002-0000-0000-000003000000}"/>
    <dataValidation allowBlank="1" showInputMessage="1" showErrorMessage="1" prompt="הזן את סכום ההלוואה הכולל בתא זה" sqref="C6 G6 K6 O6" xr:uid="{00000000-0002-0000-0000-000004000000}"/>
    <dataValidation allowBlank="1" showInputMessage="1" showErrorMessage="1" prompt="הזן את תאריך תחילת ההלוואה בתא זה" sqref="C7 G7 K7 O7" xr:uid="{00000000-0002-0000-0000-000005000000}"/>
    <dataValidation allowBlank="1" showInputMessage="1" showErrorMessage="1" prompt="הזן את סכום מס הרכוש החודשי בתא זה" sqref="E8:E9 I8:I9 M8:M9 Q8:Q9" xr:uid="{00000000-0002-0000-0000-000006000000}"/>
    <dataValidation allowBlank="1" showInputMessage="1" showErrorMessage="1" prompt="פרטי ההלוואה שיש להזין נמצאים בעמודה זו תחת כותרת זו" sqref="B3 F3 J3 N3" xr:uid="{00000000-0002-0000-0000-000007000000}"/>
    <dataValidation allowBlank="1" showInputMessage="1" showErrorMessage="1" prompt="תשלום ההלוואה החודשי מחושב באופן אוטומטי בתא זה" sqref="E10 I10 M10 Q10" xr:uid="{00000000-0002-0000-0000-000008000000}"/>
    <dataValidation allowBlank="1" showInputMessage="1" showErrorMessage="1" prompt="הזן ערכי פרטי הלוואה בעמודה זו תחת כותרת זו. הזן סכום מס מאפיין חודשי בתא E8" sqref="C3 G3 K3 O3" xr:uid="{00000000-0002-0000-0000-000009000000}"/>
    <dataValidation allowBlank="1" showInputMessage="1" showErrorMessage="1" prompt="סטטיסטיקת מפתח עבור ההלוואה מופיעה בעמודה זו תחת כותרת זו. הזן 'סכום מס מאפיין חודשי' בתא E8" sqref="D3 H3 L3 P3" xr:uid="{00000000-0002-0000-0000-00000A000000}"/>
    <dataValidation allowBlank="1" showInputMessage="1" showErrorMessage="1" prompt="הסה&quot;כ בעמודה זו תחת כותרת זו מחושב באופן אוטומטי. הזן 'סכום מס מאפיין חודשי' בתא E8" sqref="E3 I3 M3 Q3" xr:uid="{00000000-0002-0000-0000-00000B000000}"/>
    <dataValidation allowBlank="1" showInputMessage="1" showErrorMessage="1" prompt="הכותרת של גליון עבודה זה מופיעה בתא זה ובתא שמתחת" sqref="B1 F1 J1 N1" xr:uid="{00000000-0002-0000-0000-00000C000000}"/>
    <dataValidation allowBlank="1" showInputMessage="1" showErrorMessage="1" prompt="תשלום ההלוואה החודשי מחושב באופן אוטומטי למטה" sqref="D10 H10 L10 P10" xr:uid="{00000000-0002-0000-0000-00000D000000}"/>
    <dataValidation allowBlank="1" showInputMessage="1" showErrorMessage="1" prompt="הערה זו חלה על סך התשלומים החודשיים בתא D5" sqref="B10 F10 J10 N10" xr:uid="{00000000-0002-0000-0000-00000E000000}"/>
    <dataValidation allowBlank="1" showInputMessage="1" showErrorMessage="1" prompt="קישור לגליון העבודה 'טבלת סילוקין'" sqref="E11 I11 M11 Q11" xr:uid="{00000000-0002-0000-0000-00000F000000}"/>
  </dataValidations>
  <printOptions horizontalCentered="1"/>
  <pageMargins left="0.25" right="0.25" top="0.75" bottom="0.75" header="0.3" footer="0.3"/>
  <pageSetup paperSize="9" orientation="landscape" r:id="rId1"/>
  <headerFooter differentFirst="1">
    <oddFooter>Page &amp;P of &amp;N</oddFooter>
  </headerFooter>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87F28-FB99-4ABE-BC54-E054EF3FA51C}">
  <sheetPr>
    <pageSetUpPr fitToPage="1"/>
  </sheetPr>
  <dimension ref="A1:J363"/>
  <sheetViews>
    <sheetView showGridLines="0" rightToLeft="1" topLeftCell="A283" zoomScaleNormal="100" workbookViewId="0">
      <selection activeCell="H304" sqref="H304"/>
    </sheetView>
  </sheetViews>
  <sheetFormatPr defaultColWidth="8.796875" defaultRowHeight="10.199999999999999" x14ac:dyDescent="0.25"/>
  <cols>
    <col min="1" max="1" width="2.59765625" style="10" customWidth="1"/>
    <col min="2" max="2" width="7" style="10" bestFit="1" customWidth="1"/>
    <col min="3" max="3" width="8.59765625" style="10" bestFit="1" customWidth="1"/>
    <col min="4" max="4" width="12.296875" style="10" bestFit="1" customWidth="1"/>
    <col min="5" max="5" width="8.19921875" style="10" bestFit="1" customWidth="1"/>
    <col min="6" max="6" width="6.8984375" style="10" bestFit="1" customWidth="1"/>
    <col min="7" max="7" width="7.69921875" style="10" hidden="1" customWidth="1"/>
    <col min="8" max="8" width="10.19921875" style="10" bestFit="1" customWidth="1"/>
    <col min="9" max="9" width="8.5" style="10" bestFit="1" customWidth="1"/>
    <col min="10" max="10" width="10.19921875" style="10" bestFit="1" customWidth="1"/>
    <col min="11" max="16384" width="8.796875" style="10"/>
  </cols>
  <sheetData>
    <row r="1" spans="1:10" s="6" customFormat="1" ht="13.2" x14ac:dyDescent="0.25">
      <c r="A1" s="5"/>
      <c r="B1" s="87" t="s">
        <v>67</v>
      </c>
      <c r="C1" s="88"/>
      <c r="D1" s="88"/>
      <c r="E1" s="88"/>
      <c r="F1" s="88"/>
      <c r="G1" s="88"/>
      <c r="H1" s="88"/>
      <c r="I1" s="88"/>
      <c r="J1" s="89"/>
    </row>
    <row r="2" spans="1:10" s="6" customFormat="1" ht="13.8" thickBot="1" x14ac:dyDescent="0.3">
      <c r="A2" s="7"/>
      <c r="B2" s="90" t="s">
        <v>68</v>
      </c>
      <c r="C2" s="91"/>
      <c r="D2" s="91"/>
      <c r="E2" s="91"/>
      <c r="F2" s="91"/>
      <c r="G2" s="91"/>
      <c r="H2" s="91"/>
      <c r="I2" s="91"/>
      <c r="J2" s="92"/>
    </row>
    <row r="3" spans="1:10" ht="35.1" customHeight="1" x14ac:dyDescent="0.25">
      <c r="A3" s="8"/>
      <c r="B3" s="9" t="s">
        <v>13</v>
      </c>
      <c r="C3" s="9" t="s">
        <v>23</v>
      </c>
      <c r="D3" s="9" t="s">
        <v>24</v>
      </c>
      <c r="E3" s="9" t="s">
        <v>14</v>
      </c>
      <c r="F3" s="9" t="s">
        <v>15</v>
      </c>
      <c r="G3" s="9" t="s">
        <v>16</v>
      </c>
      <c r="H3" s="9" t="s">
        <v>69</v>
      </c>
      <c r="I3" s="9" t="s">
        <v>18</v>
      </c>
      <c r="J3" s="9" t="s">
        <v>19</v>
      </c>
    </row>
    <row r="4" spans="1:10" ht="15" customHeight="1" x14ac:dyDescent="0.25">
      <c r="A4" s="8"/>
      <c r="B4" s="11">
        <f>MAX(הפחתה[[#This Row],[מס'']],הפחתה5[[#This Row],[מס'']],הפחתה7[[#This Row],[מס'']],הפחתה8[[#This Row],[מס'']])</f>
        <v>1</v>
      </c>
      <c r="C4" s="12">
        <f>IF(ValuesEntered,IF(הפחתה23[[#This Row],[מס'']]&lt;=תקופת_ההלוואה,IF(ROW()-ROW(הפחתה[[#Headers],[תאריך]])=1,LoanStart,IF(I3&gt;0,EDATE(C3,1),"")),""),"")</f>
        <v>45383</v>
      </c>
      <c r="D4" s="13">
        <f>SUM(הפחתה[[#This Row],[יתרת פתיחה]],הפחתה5[[#This Row],[יתרת פתיחה]],הפחתה7[[#This Row],[יתרת פתיחה]],הפחתה8[[#This Row],[יתרת פתיחה]])</f>
        <v>1000000</v>
      </c>
      <c r="E4" s="13">
        <f ca="1">SUM(הפחתה[[#This Row],[ריבית]],הפחתה5[[#This Row],[ריבית]],הפחתה7[[#This Row],[ריבית]],הפחתה8[[#This Row],[ריבית]])</f>
        <v>4016.6666666666665</v>
      </c>
      <c r="F4" s="13">
        <f ca="1">SUM(הפחתה[[#This Row],[קרן]],הפחתה5[[#This Row],[קרן]],הפחתה7[[#This Row],[קרן]],הפחתה8[[#This Row],[קרן]])</f>
        <v>1455.5082437108049</v>
      </c>
      <c r="G4" s="13">
        <f>IF(הפחתה23[[#This Row],[תאריך]]="",0,PropertyTaxAmount)</f>
        <v>0</v>
      </c>
      <c r="H4" s="13">
        <f ca="1">IF(הפחתה23[[#This Row],[תאריך]]="",0,הפחתה23[[#This Row],[ריבית]]+הפחתה23[[#This Row],[קרן]]+הפחתה23[[#This Row],[מס
רכוש]])</f>
        <v>5472.174910377471</v>
      </c>
      <c r="I4" s="13">
        <f ca="1">IF(הפחתה23[[#This Row],[תאריך]]="",0,הפחתה23[[#This Row],[יתרת פתיחה]]-הפחתה23[[#This Row],[קרן]])</f>
        <v>998544.49175628915</v>
      </c>
      <c r="J4" s="11">
        <f ca="1">MAX(הפחתה[[#This Row],[תשלומים
שנותרו]],הפחתה5[[#This Row],[תשלומים
שנותרו]],הפחתה7[[#This Row],[תשלומים
שנותרו]],הפחתה8[[#This Row],[תשלומים
שנותרו]])</f>
        <v>359</v>
      </c>
    </row>
    <row r="5" spans="1:10" ht="15" customHeight="1" x14ac:dyDescent="0.25">
      <c r="A5" s="8"/>
      <c r="B5" s="11">
        <f>MAX(הפחתה[[#This Row],[מס'']],הפחתה5[[#This Row],[מס'']],הפחתה7[[#This Row],[מס'']],הפחתה8[[#This Row],[מס'']])</f>
        <v>2</v>
      </c>
      <c r="C5" s="12">
        <f ca="1">IF(ValuesEntered,IF(הפחתה23[[#This Row],[מס'']]&lt;=תקופת_ההלוואה,IF(ROW()-ROW(הפחתה[[#Headers],[תאריך]])=1,LoanStart,IF(I4&gt;0,EDATE(C4,1),"")),""),"")</f>
        <v>45413</v>
      </c>
      <c r="D5" s="13">
        <f ca="1">SUM(הפחתה[[#This Row],[יתרת פתיחה]],הפחתה5[[#This Row],[יתרת פתיחה]],הפחתה7[[#This Row],[יתרת פתיחה]],הפחתה8[[#This Row],[יתרת פתיחה]])</f>
        <v>998711.15842295589</v>
      </c>
      <c r="E5" s="13">
        <f ca="1">SUM(הפחתה[[#This Row],[ריבית]],הפחתה5[[#This Row],[ריבית]],הפחתה7[[#This Row],[ריבית]],הפחתה8[[#This Row],[ריבית]])</f>
        <v>4006.1866878484157</v>
      </c>
      <c r="F5" s="13">
        <f ca="1">SUM(הפחתה[[#This Row],[קרן]],הפחתה5[[#This Row],[קרן]],הפחתה7[[#This Row],[קרן]],הפחתה8[[#This Row],[קרן]])</f>
        <v>1461.4693931315664</v>
      </c>
      <c r="G5" s="13">
        <f ca="1">IF(הפחתה23[[#This Row],[תאריך]]="",0,PropertyTaxAmount)</f>
        <v>0</v>
      </c>
      <c r="H5" s="13">
        <f ca="1">IF(הפחתה23[[#This Row],[תאריך]]="",0,הפחתה23[[#This Row],[ריבית]]+הפחתה23[[#This Row],[קרן]]+הפחתה23[[#This Row],[מס
רכוש]])</f>
        <v>5467.6560809799821</v>
      </c>
      <c r="I5" s="13">
        <f ca="1">IF(הפחתה23[[#This Row],[תאריך]]="",0,הפחתה23[[#This Row],[יתרת פתיחה]]-הפחתה23[[#This Row],[קרן]])</f>
        <v>997249.68902982434</v>
      </c>
      <c r="J5" s="11">
        <f ca="1">MAX(הפחתה[[#This Row],[תשלומים
שנותרו]],הפחתה5[[#This Row],[תשלומים
שנותרו]],הפחתה7[[#This Row],[תשלומים
שנותרו]],הפחתה8[[#This Row],[תשלומים
שנותרו]])</f>
        <v>358</v>
      </c>
    </row>
    <row r="6" spans="1:10" ht="15" customHeight="1" x14ac:dyDescent="0.25">
      <c r="A6" s="8"/>
      <c r="B6" s="11">
        <f>MAX(הפחתה[[#This Row],[מס'']],הפחתה5[[#This Row],[מס'']],הפחתה7[[#This Row],[מס'']],הפחתה8[[#This Row],[מס'']])</f>
        <v>3</v>
      </c>
      <c r="C6" s="12">
        <f ca="1">IF(ValuesEntered,IF(הפחתה23[[#This Row],[מס'']]&lt;=תקופת_ההלוואה,IF(ROW()-ROW(הפחתה[[#Headers],[תאריך]])=1,LoanStart,IF(I5&gt;0,EDATE(C5,1),"")),""),"")</f>
        <v>45444</v>
      </c>
      <c r="D6" s="13">
        <f ca="1">SUM(הפחתה[[#This Row],[יתרת פתיחה]],הפחתה5[[#This Row],[יתרת פתיחה]],הפחתה7[[#This Row],[יתרת פתיחה]],הפחתה8[[#This Row],[יתרת פתיחה]])</f>
        <v>997416.22190008406</v>
      </c>
      <c r="E6" s="13">
        <f ca="1">SUM(הפחתה[[#This Row],[ריבית]],הפחתה5[[#This Row],[ריבית]],הפחתה7[[#This Row],[ריבית]],הפחתה8[[#This Row],[ריבית]])</f>
        <v>4000.9115937873803</v>
      </c>
      <c r="F6" s="13">
        <f ca="1">SUM(הפחתה[[#This Row],[קרן]],הפחתה5[[#This Row],[קרן]],הפחתה7[[#This Row],[קרן]],הפחתה8[[#This Row],[קרן]])</f>
        <v>1467.4551115399613</v>
      </c>
      <c r="G6" s="13">
        <f ca="1">IF(הפחתה23[[#This Row],[תאריך]]="",0,PropertyTaxAmount)</f>
        <v>0</v>
      </c>
      <c r="H6" s="13">
        <f ca="1">IF(הפחתה23[[#This Row],[תאריך]]="",0,הפחתה23[[#This Row],[ריבית]]+הפחתה23[[#This Row],[קרן]]+הפחתה23[[#This Row],[מס
רכוש]])</f>
        <v>5468.3667053273421</v>
      </c>
      <c r="I6" s="13">
        <f ca="1">IF(הפחתה23[[#This Row],[תאריך]]="",0,הפחתה23[[#This Row],[יתרת פתיחה]]-הפחתה23[[#This Row],[קרן]])</f>
        <v>995948.76678854413</v>
      </c>
      <c r="J6" s="11">
        <f ca="1">MAX(הפחתה[[#This Row],[תשלומים
שנותרו]],הפחתה5[[#This Row],[תשלומים
שנותרו]],הפחתה7[[#This Row],[תשלומים
שנותרו]],הפחתה8[[#This Row],[תשלומים
שנותרו]])</f>
        <v>357</v>
      </c>
    </row>
    <row r="7" spans="1:10" ht="15" customHeight="1" x14ac:dyDescent="0.25">
      <c r="A7" s="8"/>
      <c r="B7" s="11">
        <f>MAX(הפחתה[[#This Row],[מס'']],הפחתה5[[#This Row],[מס'']],הפחתה7[[#This Row],[מס'']],הפחתה8[[#This Row],[מס'']])</f>
        <v>4</v>
      </c>
      <c r="C7" s="12">
        <f ca="1">IF(ValuesEntered,IF(הפחתה23[[#This Row],[מס'']]&lt;=תקופת_ההלוואה,IF(ROW()-ROW(הפחתה[[#Headers],[תאריך]])=1,LoanStart,IF(I6&gt;0,EDATE(C6,1),"")),""),"")</f>
        <v>45474</v>
      </c>
      <c r="D7" s="13">
        <f ca="1">SUM(הפחתה[[#This Row],[יתרת פתיחה]],הפחתה5[[#This Row],[יתרת פתיחה]],הפחתה7[[#This Row],[יתרת פתיחה]],הפחתה8[[#This Row],[יתרת פתיחה]])</f>
        <v>996115.16416157968</v>
      </c>
      <c r="E7" s="13">
        <f ca="1">SUM(הפחתה[[#This Row],[ריבית]],הפחתה5[[#This Row],[ריבית]],הפחתה7[[#This Row],[ריבית]],הפחתה8[[#This Row],[ריבית]])</f>
        <v>3995.6129631880435</v>
      </c>
      <c r="F7" s="13">
        <f ca="1">SUM(הפחתה[[#This Row],[קרן]],הפחתה5[[#This Row],[קרן]],הפחתה7[[#This Row],[קרן]],הפחתה8[[#This Row],[קרן]])</f>
        <v>1473.4655008390766</v>
      </c>
      <c r="G7" s="13">
        <f ca="1">IF(הפחתה23[[#This Row],[תאריך]]="",0,PropertyTaxAmount)</f>
        <v>0</v>
      </c>
      <c r="H7" s="13">
        <f ca="1">IF(הפחתה23[[#This Row],[תאריך]]="",0,הפחתה23[[#This Row],[ריבית]]+הפחתה23[[#This Row],[קרן]]+הפחתה23[[#This Row],[מס
רכוש]])</f>
        <v>5469.0784640271204</v>
      </c>
      <c r="I7" s="13">
        <f ca="1">IF(הפחתה23[[#This Row],[תאריך]]="",0,הפחתה23[[#This Row],[יתרת פתיחה]]-הפחתה23[[#This Row],[קרן]])</f>
        <v>994641.69866074063</v>
      </c>
      <c r="J7" s="11">
        <f ca="1">MAX(הפחתה[[#This Row],[תשלומים
שנותרו]],הפחתה5[[#This Row],[תשלומים
שנותרו]],הפחתה7[[#This Row],[תשלומים
שנותרו]],הפחתה8[[#This Row],[תשלומים
שנותרו]])</f>
        <v>356</v>
      </c>
    </row>
    <row r="8" spans="1:10" ht="15" customHeight="1" x14ac:dyDescent="0.25">
      <c r="A8" s="8"/>
      <c r="B8" s="11">
        <f>MAX(הפחתה[[#This Row],[מס'']],הפחתה5[[#This Row],[מס'']],הפחתה7[[#This Row],[מס'']],הפחתה8[[#This Row],[מס'']])</f>
        <v>5</v>
      </c>
      <c r="C8" s="12">
        <f ca="1">IF(ValuesEntered,IF(הפחתה23[[#This Row],[מס'']]&lt;=תקופת_ההלוואה,IF(ROW()-ROW(הפחתה[[#Headers],[תאריך]])=1,LoanStart,IF(I7&gt;0,EDATE(C7,1),"")),""),"")</f>
        <v>45505</v>
      </c>
      <c r="D8" s="13">
        <f ca="1">SUM(הפחתה[[#This Row],[יתרת פתיחה]],הפחתה5[[#This Row],[יתרת פתיחה]],הפחתה7[[#This Row],[יתרת פתיחה]],הפחתה8[[#This Row],[יתרת פתיחה]])</f>
        <v>994807.95882758533</v>
      </c>
      <c r="E8" s="13">
        <f ca="1">SUM(הפחתה[[#This Row],[ריבית]],הפחתה5[[#This Row],[ריבית]],הפחתה7[[#This Row],[ריבית]],הפחתה8[[#This Row],[ריבית]])</f>
        <v>3990.2906954445034</v>
      </c>
      <c r="F8" s="13">
        <f ca="1">SUM(הפחתה[[#This Row],[קרן]],הפחתה5[[#This Row],[קרן]],הפחתה7[[#This Row],[קרן]],הפחתה8[[#This Row],[קרן]])</f>
        <v>1479.5006633575708</v>
      </c>
      <c r="G8" s="13">
        <f ca="1">IF(הפחתה23[[#This Row],[תאריך]]="",0,PropertyTaxAmount)</f>
        <v>0</v>
      </c>
      <c r="H8" s="13">
        <f ca="1">IF(הפחתה23[[#This Row],[תאריך]]="",0,הפחתה23[[#This Row],[ריבית]]+הפחתה23[[#This Row],[קרן]]+הפחתה23[[#This Row],[מס
רכוש]])</f>
        <v>5469.7913588020747</v>
      </c>
      <c r="I8" s="13">
        <f ca="1">IF(הפחתה23[[#This Row],[תאריך]]="",0,הפחתה23[[#This Row],[יתרת פתיחה]]-הפחתה23[[#This Row],[קרן]])</f>
        <v>993328.45816422778</v>
      </c>
      <c r="J8" s="11">
        <f ca="1">MAX(הפחתה[[#This Row],[תשלומים
שנותרו]],הפחתה5[[#This Row],[תשלומים
שנותרו]],הפחתה7[[#This Row],[תשלומים
שנותרו]],הפחתה8[[#This Row],[תשלומים
שנותרו]])</f>
        <v>355</v>
      </c>
    </row>
    <row r="9" spans="1:10" ht="15" customHeight="1" x14ac:dyDescent="0.25">
      <c r="A9" s="8"/>
      <c r="B9" s="11">
        <f>MAX(הפחתה[[#This Row],[מס'']],הפחתה5[[#This Row],[מס'']],הפחתה7[[#This Row],[מס'']],הפחתה8[[#This Row],[מס'']])</f>
        <v>6</v>
      </c>
      <c r="C9" s="12">
        <f ca="1">IF(ValuesEntered,IF(הפחתה23[[#This Row],[מס'']]&lt;=תקופת_ההלוואה,IF(ROW()-ROW(הפחתה[[#Headers],[תאריך]])=1,LoanStart,IF(I8&gt;0,EDATE(C8,1),"")),""),"")</f>
        <v>45536</v>
      </c>
      <c r="D9" s="13">
        <f ca="1">SUM(הפחתה[[#This Row],[יתרת פתיחה]],הפחתה5[[#This Row],[יתרת פתיחה]],הפחתה7[[#This Row],[יתרת פתיחה]],הפחתה8[[#This Row],[יתרת פתיחה]])</f>
        <v>993494.57940773433</v>
      </c>
      <c r="E9" s="13">
        <f ca="1">SUM(הפחתה[[#This Row],[ריבית]],הפחתה5[[#This Row],[ריבית]],הפחתה7[[#This Row],[ריבית]],הפחתה8[[#This Row],[ריבית]])</f>
        <v>3984.9446895262113</v>
      </c>
      <c r="F9" s="13">
        <f ca="1">SUM(הפחתה[[#This Row],[קרן]],הפחתה5[[#This Row],[קרן]],הפחתה7[[#This Row],[קרן]],הפחתה8[[#This Row],[קרן]])</f>
        <v>1485.5607018514665</v>
      </c>
      <c r="G9" s="13">
        <f ca="1">IF(הפחתה23[[#This Row],[תאריך]]="",0,PropertyTaxAmount)</f>
        <v>0</v>
      </c>
      <c r="H9" s="13">
        <f ca="1">IF(הפחתה23[[#This Row],[תאריך]]="",0,הפחתה23[[#This Row],[ריבית]]+הפחתה23[[#This Row],[קרן]]+הפחתה23[[#This Row],[מס
רכוש]])</f>
        <v>5470.5053913776774</v>
      </c>
      <c r="I9" s="13">
        <f ca="1">IF(הפחתה23[[#This Row],[תאריך]]="",0,הפחתה23[[#This Row],[יתרת פתיחה]]-הפחתה23[[#This Row],[קרן]])</f>
        <v>992009.01870588283</v>
      </c>
      <c r="J9" s="11">
        <f ca="1">MAX(הפחתה[[#This Row],[תשלומים
שנותרו]],הפחתה5[[#This Row],[תשלומים
שנותרו]],הפחתה7[[#This Row],[תשלומים
שנותרו]],הפחתה8[[#This Row],[תשלומים
שנותרו]])</f>
        <v>354</v>
      </c>
    </row>
    <row r="10" spans="1:10" ht="15" customHeight="1" x14ac:dyDescent="0.25">
      <c r="A10" s="8"/>
      <c r="B10" s="11">
        <f>MAX(הפחתה[[#This Row],[מס'']],הפחתה5[[#This Row],[מס'']],הפחתה7[[#This Row],[מס'']],הפחתה8[[#This Row],[מס'']])</f>
        <v>7</v>
      </c>
      <c r="C10" s="12">
        <f ca="1">IF(ValuesEntered,IF(הפחתה23[[#This Row],[מס'']]&lt;=תקופת_ההלוואה,IF(ROW()-ROW(הפחתה[[#Headers],[תאריך]])=1,LoanStart,IF(I9&gt;0,EDATE(C9,1),"")),""),"")</f>
        <v>45566</v>
      </c>
      <c r="D10" s="13">
        <f ca="1">SUM(הפחתה[[#This Row],[יתרת פתיחה]],הפחתה5[[#This Row],[יתרת פתיחה]],הפחתה7[[#This Row],[יתרת פתיחה]],הפחתה8[[#This Row],[יתרת פתיחה]])</f>
        <v>992174.99930068944</v>
      </c>
      <c r="E10" s="13">
        <f ca="1">SUM(הפחתה[[#This Row],[ריבית]],הפחתה5[[#This Row],[ריבית]],הפחתה7[[#This Row],[ריבית]],הפחתה8[[#This Row],[ריבית]])</f>
        <v>3979.5748439761883</v>
      </c>
      <c r="F10" s="13">
        <f ca="1">SUM(הפחתה[[#This Row],[קרן]],הפחתה5[[#This Row],[קרן]],הפחתה7[[#This Row],[קרן]],הפחתה8[[#This Row],[קרן]])</f>
        <v>1491.6457195059565</v>
      </c>
      <c r="G10" s="13">
        <f ca="1">IF(הפחתה23[[#This Row],[תאריך]]="",0,PropertyTaxAmount)</f>
        <v>0</v>
      </c>
      <c r="H10" s="13">
        <f ca="1">IF(הפחתה23[[#This Row],[תאריך]]="",0,הפחתה23[[#This Row],[ריבית]]+הפחתה23[[#This Row],[קרן]]+הפחתה23[[#This Row],[מס
רכוש]])</f>
        <v>5471.2205634821448</v>
      </c>
      <c r="I10" s="13">
        <f ca="1">IF(הפחתה23[[#This Row],[תאריך]]="",0,הפחתה23[[#This Row],[יתרת פתיחה]]-הפחתה23[[#This Row],[קרן]])</f>
        <v>990683.35358118347</v>
      </c>
      <c r="J10" s="11">
        <f ca="1">MAX(הפחתה[[#This Row],[תשלומים
שנותרו]],הפחתה5[[#This Row],[תשלומים
שנותרו]],הפחתה7[[#This Row],[תשלומים
שנותרו]],הפחתה8[[#This Row],[תשלומים
שנותרו]])</f>
        <v>353</v>
      </c>
    </row>
    <row r="11" spans="1:10" ht="15" customHeight="1" x14ac:dyDescent="0.25">
      <c r="A11" s="8"/>
      <c r="B11" s="11">
        <f>MAX(הפחתה[[#This Row],[מס'']],הפחתה5[[#This Row],[מס'']],הפחתה7[[#This Row],[מס'']],הפחתה8[[#This Row],[מס'']])</f>
        <v>8</v>
      </c>
      <c r="C11" s="12">
        <f ca="1">IF(ValuesEntered,IF(הפחתה23[[#This Row],[מס'']]&lt;=תקופת_ההלוואה,IF(ROW()-ROW(הפחתה[[#Headers],[תאריך]])=1,LoanStart,IF(I10&gt;0,EDATE(C10,1),"")),""),"")</f>
        <v>45597</v>
      </c>
      <c r="D11" s="13">
        <f ca="1">SUM(הפחתה[[#This Row],[יתרת פתיחה]],הפחתה5[[#This Row],[יתרת פתיחה]],הפחתה7[[#This Row],[יתרת פתיחה]],הפחתה8[[#This Row],[יתרת פתיחה]])</f>
        <v>990849.19179368089</v>
      </c>
      <c r="E11" s="13">
        <f ca="1">SUM(הפחתה[[#This Row],[ריבית]],הפחתה5[[#This Row],[ריבית]],הפחתה7[[#This Row],[ריבית]],הפחתה8[[#This Row],[ריבית]])</f>
        <v>3974.1810569092213</v>
      </c>
      <c r="F11" s="13">
        <f ca="1">SUM(הפחתה[[#This Row],[קרן]],הפחתה5[[#This Row],[קרן]],הפחתה7[[#This Row],[קרן]],הפחתה8[[#This Row],[קרן]])</f>
        <v>1497.7558199372106</v>
      </c>
      <c r="G11" s="13">
        <f ca="1">IF(הפחתה23[[#This Row],[תאריך]]="",0,PropertyTaxAmount)</f>
        <v>0</v>
      </c>
      <c r="H11" s="13">
        <f ca="1">IF(הפחתה23[[#This Row],[תאריך]]="",0,הפחתה23[[#This Row],[ריבית]]+הפחתה23[[#This Row],[קרן]]+הפחתה23[[#This Row],[מס
רכוש]])</f>
        <v>5471.9368768464319</v>
      </c>
      <c r="I11" s="13">
        <f ca="1">IF(הפחתה23[[#This Row],[תאריך]]="",0,הפחתה23[[#This Row],[יתרת פתיחה]]-הפחתה23[[#This Row],[קרן]])</f>
        <v>989351.43597374368</v>
      </c>
      <c r="J11" s="11">
        <f ca="1">MAX(הפחתה[[#This Row],[תשלומים
שנותרו]],הפחתה5[[#This Row],[תשלומים
שנותרו]],הפחתה7[[#This Row],[תשלומים
שנותרו]],הפחתה8[[#This Row],[תשלומים
שנותרו]])</f>
        <v>352</v>
      </c>
    </row>
    <row r="12" spans="1:10" ht="15" customHeight="1" x14ac:dyDescent="0.25">
      <c r="A12" s="8"/>
      <c r="B12" s="11">
        <f>MAX(הפחתה[[#This Row],[מס'']],הפחתה5[[#This Row],[מס'']],הפחתה7[[#This Row],[מס'']],הפחתה8[[#This Row],[מס'']])</f>
        <v>9</v>
      </c>
      <c r="C12" s="12">
        <f ca="1">IF(ValuesEntered,IF(הפחתה23[[#This Row],[מס'']]&lt;=תקופת_ההלוואה,IF(ROW()-ROW(הפחתה[[#Headers],[תאריך]])=1,LoanStart,IF(I11&gt;0,EDATE(C11,1),"")),""),"")</f>
        <v>45627</v>
      </c>
      <c r="D12" s="13">
        <f ca="1">SUM(הפחתה[[#This Row],[יתרת פתיחה]],הפחתה5[[#This Row],[יתרת פתיחה]],הפחתה7[[#This Row],[יתרת פתיחה]],הפחתה8[[#This Row],[יתרת פתיחה]])</f>
        <v>989517.13006204227</v>
      </c>
      <c r="E12" s="13">
        <f ca="1">SUM(הפחתה[[#This Row],[ריבית]],הפחתה5[[#This Row],[ריבית]],הפחתה7[[#This Row],[ריבית]],הפחתה8[[#This Row],[ריבית]])</f>
        <v>3968.7632260100613</v>
      </c>
      <c r="F12" s="13">
        <f ca="1">SUM(הפחתה[[#This Row],[קרן]],הפחתה5[[#This Row],[קרן]],הפחתה7[[#This Row],[קרן]],הפחתה8[[#This Row],[קרן]])</f>
        <v>1503.8911071941975</v>
      </c>
      <c r="G12" s="13">
        <f ca="1">IF(הפחתה23[[#This Row],[תאריך]]="",0,PropertyTaxAmount)</f>
        <v>0</v>
      </c>
      <c r="H12" s="13">
        <f ca="1">IF(הפחתה23[[#This Row],[תאריך]]="",0,הפחתה23[[#This Row],[ריבית]]+הפחתה23[[#This Row],[קרן]]+הפחתה23[[#This Row],[מס
רכוש]])</f>
        <v>5472.6543332042584</v>
      </c>
      <c r="I12" s="13">
        <f ca="1">IF(הפחתה23[[#This Row],[תאריך]]="",0,הפחתה23[[#This Row],[יתרת פתיחה]]-הפחתה23[[#This Row],[קרן]])</f>
        <v>988013.23895484803</v>
      </c>
      <c r="J12" s="11">
        <f ca="1">MAX(הפחתה[[#This Row],[תשלומים
שנותרו]],הפחתה5[[#This Row],[תשלומים
שנותרו]],הפחתה7[[#This Row],[תשלומים
שנותרו]],הפחתה8[[#This Row],[תשלומים
שנותרו]])</f>
        <v>351</v>
      </c>
    </row>
    <row r="13" spans="1:10" ht="15" customHeight="1" x14ac:dyDescent="0.25">
      <c r="A13" s="8"/>
      <c r="B13" s="11">
        <f>MAX(הפחתה[[#This Row],[מס'']],הפחתה5[[#This Row],[מס'']],הפחתה7[[#This Row],[מס'']],הפחתה8[[#This Row],[מס'']])</f>
        <v>10</v>
      </c>
      <c r="C13" s="12">
        <f ca="1">IF(ValuesEntered,IF(הפחתה23[[#This Row],[מס'']]&lt;=תקופת_ההלוואה,IF(ROW()-ROW(הפחתה[[#Headers],[תאריך]])=1,LoanStart,IF(I12&gt;0,EDATE(C12,1),"")),""),"")</f>
        <v>45658</v>
      </c>
      <c r="D13" s="13">
        <f ca="1">SUM(הפחתה[[#This Row],[יתרת פתיחה]],הפחתה5[[#This Row],[יתרת פתיחה]],הפחתה7[[#This Row],[יתרת פתיחה]],הפחתה8[[#This Row],[יתרת פתיחה]])</f>
        <v>988178.78716874507</v>
      </c>
      <c r="E13" s="13">
        <f ca="1">SUM(הפחתה[[#This Row],[ריבית]],הפחתה5[[#This Row],[ריבית]],הפחתה7[[#This Row],[ריבית]],הפחתה8[[#This Row],[ריבית]])</f>
        <v>3963.3212485316089</v>
      </c>
      <c r="F13" s="13">
        <f ca="1">SUM(הפחתה[[#This Row],[קרן]],הפחתה5[[#This Row],[קרן]],הפחתה7[[#This Row],[קרן]],הפחתה8[[#This Row],[קרן]])</f>
        <v>1510.0516857605096</v>
      </c>
      <c r="G13" s="13">
        <f ca="1">IF(הפחתה23[[#This Row],[תאריך]]="",0,PropertyTaxAmount)</f>
        <v>0</v>
      </c>
      <c r="H13" s="13">
        <f ca="1">IF(הפחתה23[[#This Row],[תאריך]]="",0,הפחתה23[[#This Row],[ריבית]]+הפחתה23[[#This Row],[קרן]]+הפחתה23[[#This Row],[מס
רכוש]])</f>
        <v>5473.3729342921188</v>
      </c>
      <c r="I13" s="13">
        <f ca="1">IF(הפחתה23[[#This Row],[תאריך]]="",0,הפחתה23[[#This Row],[יתרת פתיחה]]-הפחתה23[[#This Row],[קרן]])</f>
        <v>986668.73548298457</v>
      </c>
      <c r="J13" s="11">
        <f ca="1">MAX(הפחתה[[#This Row],[תשלומים
שנותרו]],הפחתה5[[#This Row],[תשלומים
שנותרו]],הפחתה7[[#This Row],[תשלומים
שנותרו]],הפחתה8[[#This Row],[תשלומים
שנותרו]])</f>
        <v>350</v>
      </c>
    </row>
    <row r="14" spans="1:10" ht="15" customHeight="1" x14ac:dyDescent="0.25">
      <c r="A14" s="8"/>
      <c r="B14" s="11">
        <f>MAX(הפחתה[[#This Row],[מס'']],הפחתה5[[#This Row],[מס'']],הפחתה7[[#This Row],[מס'']],הפחתה8[[#This Row],[מס'']])</f>
        <v>11</v>
      </c>
      <c r="C14" s="12">
        <f ca="1">IF(ValuesEntered,IF(הפחתה23[[#This Row],[מס'']]&lt;=תקופת_ההלוואה,IF(ROW()-ROW(הפחתה[[#Headers],[תאריך]])=1,LoanStart,IF(I13&gt;0,EDATE(C13,1),"")),""),"")</f>
        <v>45689</v>
      </c>
      <c r="D14" s="13">
        <f ca="1">SUM(הפחתה[[#This Row],[יתרת פתיחה]],הפחתה5[[#This Row],[יתרת פתיחה]],הפחתה7[[#This Row],[יתרת פתיחה]],הפחתה8[[#This Row],[יתרת פתיחה]])</f>
        <v>986834.13606392941</v>
      </c>
      <c r="E14" s="13">
        <f ca="1">SUM(הפחתה[[#This Row],[ריבית]],הפחתה5[[#This Row],[ריבית]],הפחתה7[[#This Row],[ריבית]],הפחתה8[[#This Row],[ריבית]])</f>
        <v>3957.8550212930973</v>
      </c>
      <c r="F14" s="13">
        <f ca="1">SUM(הפחתה[[#This Row],[קרן]],הפחתה5[[#This Row],[קרן]],הפחתה7[[#This Row],[קרן]],הפחתה8[[#This Row],[קרן]])</f>
        <v>1516.2376605561963</v>
      </c>
      <c r="G14" s="13">
        <f ca="1">IF(הפחתה23[[#This Row],[תאריך]]="",0,PropertyTaxAmount)</f>
        <v>0</v>
      </c>
      <c r="H14" s="13">
        <f ca="1">IF(הפחתה23[[#This Row],[תאריך]]="",0,הפחתה23[[#This Row],[ריבית]]+הפחתה23[[#This Row],[קרן]]+הפחתה23[[#This Row],[מס
רכוש]])</f>
        <v>5474.0926818492935</v>
      </c>
      <c r="I14" s="13">
        <f ca="1">IF(הפחתה23[[#This Row],[תאריך]]="",0,הפחתה23[[#This Row],[יתרת פתיחה]]-הפחתה23[[#This Row],[קרן]])</f>
        <v>985317.8984033732</v>
      </c>
      <c r="J14" s="11">
        <f ca="1">MAX(הפחתה[[#This Row],[תשלומים
שנותרו]],הפחתה5[[#This Row],[תשלומים
שנותרו]],הפחתה7[[#This Row],[תשלומים
שנותרו]],הפחתה8[[#This Row],[תשלומים
שנותרו]])</f>
        <v>349</v>
      </c>
    </row>
    <row r="15" spans="1:10" ht="15" customHeight="1" x14ac:dyDescent="0.25">
      <c r="A15" s="8"/>
      <c r="B15" s="11">
        <f>MAX(הפחתה[[#This Row],[מס'']],הפחתה5[[#This Row],[מס'']],הפחתה7[[#This Row],[מס'']],הפחתה8[[#This Row],[מס'']])</f>
        <v>12</v>
      </c>
      <c r="C15" s="12">
        <f ca="1">IF(ValuesEntered,IF(הפחתה23[[#This Row],[מס'']]&lt;=תקופת_ההלוואה,IF(ROW()-ROW(הפחתה[[#Headers],[תאריך]])=1,LoanStart,IF(I14&gt;0,EDATE(C14,1),"")),""),"")</f>
        <v>45717</v>
      </c>
      <c r="D15" s="13">
        <f ca="1">SUM(הפחתה[[#This Row],[יתרת פתיחה]],הפחתה5[[#This Row],[יתרת פתיחה]],הפחתה7[[#This Row],[יתרת פתיחה]],הפחתה8[[#This Row],[יתרת פתיחה]])</f>
        <v>985483.14958443504</v>
      </c>
      <c r="E15" s="13">
        <f ca="1">SUM(הפחתה[[#This Row],[ריבית]],הפחתה5[[#This Row],[ריבית]],הפחתה7[[#This Row],[ריבית]],הפחתה8[[#This Row],[ריבית]])</f>
        <v>3952.3644406782564</v>
      </c>
      <c r="F15" s="13">
        <f ca="1">SUM(הפחתה[[#This Row],[קרן]],הפחתה5[[#This Row],[קרן]],הפחתה7[[#This Row],[קרן]],הפחתה8[[#This Row],[קרן]])</f>
        <v>1522.4491369396064</v>
      </c>
      <c r="G15" s="13">
        <f ca="1">IF(הפחתה23[[#This Row],[תאריך]]="",0,PropertyTaxAmount)</f>
        <v>0</v>
      </c>
      <c r="H15" s="13">
        <f ca="1">IF(הפחתה23[[#This Row],[תאריך]]="",0,הפחתה23[[#This Row],[ריבית]]+הפחתה23[[#This Row],[קרן]]+הפחתה23[[#This Row],[מס
רכוש]])</f>
        <v>5474.8135776178624</v>
      </c>
      <c r="I15" s="13">
        <f ca="1">IF(הפחתה23[[#This Row],[תאריך]]="",0,הפחתה23[[#This Row],[יתרת פתיחה]]-הפחתה23[[#This Row],[קרן]])</f>
        <v>983960.70044749544</v>
      </c>
      <c r="J15" s="11">
        <f ca="1">MAX(הפחתה[[#This Row],[תשלומים
שנותרו]],הפחתה5[[#This Row],[תשלומים
שנותרו]],הפחתה7[[#This Row],[תשלומים
שנותרו]],הפחתה8[[#This Row],[תשלומים
שנותרו]])</f>
        <v>348</v>
      </c>
    </row>
    <row r="16" spans="1:10" ht="15" customHeight="1" x14ac:dyDescent="0.25">
      <c r="A16" s="8"/>
      <c r="B16" s="11">
        <f>MAX(הפחתה[[#This Row],[מס'']],הפחתה5[[#This Row],[מס'']],הפחתה7[[#This Row],[מס'']],הפחתה8[[#This Row],[מס'']])</f>
        <v>13</v>
      </c>
      <c r="C16" s="12">
        <f ca="1">IF(ValuesEntered,IF(הפחתה23[[#This Row],[מס'']]&lt;=תקופת_ההלוואה,IF(ROW()-ROW(הפחתה[[#Headers],[תאריך]])=1,LoanStart,IF(I15&gt;0,EDATE(C15,1),"")),""),"")</f>
        <v>45748</v>
      </c>
      <c r="D16" s="13">
        <f ca="1">SUM(הפחתה[[#This Row],[יתרת פתיחה]],הפחתה5[[#This Row],[יתרת פתיחה]],הפחתה7[[#This Row],[יתרת פתיחה]],הפחתה8[[#This Row],[יתרת פתיחה]])</f>
        <v>984125.80045332923</v>
      </c>
      <c r="E16" s="13">
        <f ca="1">SUM(הפחתה[[#This Row],[ריבית]],הפחתה5[[#This Row],[ריבית]],הפחתה7[[#This Row],[ריבית]],הפחתה8[[#This Row],[ריבית]])</f>
        <v>3946.8494026334861</v>
      </c>
      <c r="F16" s="13">
        <f ca="1">SUM(הפחתה[[#This Row],[קרן]],הפחתה5[[#This Row],[קרן]],הפחתה7[[#This Row],[קרן]],הפחתה8[[#This Row],[קרן]])</f>
        <v>1528.6862207092408</v>
      </c>
      <c r="G16" s="13">
        <f ca="1">IF(הפחתה23[[#This Row],[תאריך]]="",0,PropertyTaxAmount)</f>
        <v>0</v>
      </c>
      <c r="H16" s="13">
        <f ca="1">IF(הפחתה23[[#This Row],[תאריך]]="",0,הפחתה23[[#This Row],[ריבית]]+הפחתה23[[#This Row],[קרן]]+הפחתה23[[#This Row],[מס
רכוש]])</f>
        <v>5475.5356233427265</v>
      </c>
      <c r="I16" s="13">
        <f ca="1">IF(הפחתה23[[#This Row],[תאריך]]="",0,הפחתה23[[#This Row],[יתרת פתיחה]]-הפחתה23[[#This Row],[קרן]])</f>
        <v>982597.11423261999</v>
      </c>
      <c r="J16" s="11">
        <f ca="1">MAX(הפחתה[[#This Row],[תשלומים
שנותרו]],הפחתה5[[#This Row],[תשלומים
שנותרו]],הפחתה7[[#This Row],[תשלומים
שנותרו]],הפחתה8[[#This Row],[תשלומים
שנותרו]])</f>
        <v>347</v>
      </c>
    </row>
    <row r="17" spans="1:10" ht="15" customHeight="1" x14ac:dyDescent="0.25">
      <c r="A17" s="8"/>
      <c r="B17" s="11">
        <f>MAX(הפחתה[[#This Row],[מס'']],הפחתה5[[#This Row],[מס'']],הפחתה7[[#This Row],[מס'']],הפחתה8[[#This Row],[מס'']])</f>
        <v>14</v>
      </c>
      <c r="C17" s="12">
        <f ca="1">IF(ValuesEntered,IF(הפחתה23[[#This Row],[מס'']]&lt;=תקופת_ההלוואה,IF(ROW()-ROW(הפחתה[[#Headers],[תאריך]])=1,LoanStart,IF(I16&gt;0,EDATE(C16,1),"")),""),"")</f>
        <v>45778</v>
      </c>
      <c r="D17" s="13">
        <f ca="1">SUM(הפחתה[[#This Row],[יתרת פתיחה]],הפחתה5[[#This Row],[יתרת פתיחה]],הפחתה7[[#This Row],[יתרת פתיחה]],הפחתה8[[#This Row],[יתרת פתיחה]])</f>
        <v>982762.06127943273</v>
      </c>
      <c r="E17" s="13">
        <f ca="1">SUM(הפחתה[[#This Row],[ריבית]],הפחתה5[[#This Row],[ריבית]],הפחתה7[[#This Row],[ריבית]],הפחתה8[[#This Row],[ריבית]])</f>
        <v>3941.3098026660041</v>
      </c>
      <c r="F17" s="13">
        <f ca="1">SUM(הפחתה[[#This Row],[קרן]],הפחתה5[[#This Row],[קרן]],הפחתה7[[#This Row],[קרן]],הפחתה8[[#This Row],[קרן]])</f>
        <v>1534.9490181056076</v>
      </c>
      <c r="G17" s="13">
        <f ca="1">IF(הפחתה23[[#This Row],[תאריך]]="",0,PropertyTaxAmount)</f>
        <v>0</v>
      </c>
      <c r="H17" s="13">
        <f ca="1">IF(הפחתה23[[#This Row],[תאריך]]="",0,הפחתה23[[#This Row],[ריבית]]+הפחתה23[[#This Row],[קרן]]+הפחתה23[[#This Row],[מס
רכוש]])</f>
        <v>5476.2588207716117</v>
      </c>
      <c r="I17" s="13">
        <f ca="1">IF(הפחתה23[[#This Row],[תאריך]]="",0,הפחתה23[[#This Row],[יתרת פתיחה]]-הפחתה23[[#This Row],[קרן]])</f>
        <v>981227.1122613271</v>
      </c>
      <c r="J17" s="11">
        <f ca="1">MAX(הפחתה[[#This Row],[תשלומים
שנותרו]],הפחתה5[[#This Row],[תשלומים
שנותרו]],הפחתה7[[#This Row],[תשלומים
שנותרו]],הפחתה8[[#This Row],[תשלומים
שנותרו]])</f>
        <v>346</v>
      </c>
    </row>
    <row r="18" spans="1:10" ht="15" customHeight="1" x14ac:dyDescent="0.25">
      <c r="A18" s="8"/>
      <c r="B18" s="11">
        <f>MAX(הפחתה[[#This Row],[מס'']],הפחתה5[[#This Row],[מס'']],הפחתה7[[#This Row],[מס'']],הפחתה8[[#This Row],[מס'']])</f>
        <v>15</v>
      </c>
      <c r="C18" s="12">
        <f ca="1">IF(ValuesEntered,IF(הפחתה23[[#This Row],[מס'']]&lt;=תקופת_ההלוואה,IF(ROW()-ROW(הפחתה[[#Headers],[תאריך]])=1,LoanStart,IF(I17&gt;0,EDATE(C17,1),"")),""),"")</f>
        <v>45809</v>
      </c>
      <c r="D18" s="13">
        <f ca="1">SUM(הפחתה[[#This Row],[יתרת פתיחה]],הפחתה5[[#This Row],[יתרת פתיחה]],הפחתה7[[#This Row],[יתרת פתיחה]],הפחתה8[[#This Row],[יתרת פתיחה]])</f>
        <v>981391.90455684345</v>
      </c>
      <c r="E18" s="13">
        <f ca="1">SUM(הפחתה[[#This Row],[ריבית]],הפחתה5[[#This Row],[ריבית]],הפחתה7[[#This Row],[ריבית]],הפחתה8[[#This Row],[ריבית]])</f>
        <v>3935.7455358420011</v>
      </c>
      <c r="F18" s="13">
        <f ca="1">SUM(הפחתה[[#This Row],[קרן]],הפחתה5[[#This Row],[קרן]],הפחתה7[[#This Row],[קרן]],הפחתה8[[#This Row],[קרן]])</f>
        <v>1541.2376358130878</v>
      </c>
      <c r="G18" s="13">
        <f ca="1">IF(הפחתה23[[#This Row],[תאריך]]="",0,PropertyTaxAmount)</f>
        <v>0</v>
      </c>
      <c r="H18" s="13">
        <f ca="1">IF(הפחתה23[[#This Row],[תאריך]]="",0,הפחתה23[[#This Row],[ריבית]]+הפחתה23[[#This Row],[קרן]]+הפחתה23[[#This Row],[מס
רכוש]])</f>
        <v>5476.9831716550889</v>
      </c>
      <c r="I18" s="13">
        <f ca="1">IF(הפחתה23[[#This Row],[תאריך]]="",0,הפחתה23[[#This Row],[יתרת פתיחה]]-הפחתה23[[#This Row],[קרן]])</f>
        <v>979850.66692103038</v>
      </c>
      <c r="J18" s="11">
        <f ca="1">MAX(הפחתה[[#This Row],[תשלומים
שנותרו]],הפחתה5[[#This Row],[תשלומים
שנותרו]],הפחתה7[[#This Row],[תשלומים
שנותרו]],הפחתה8[[#This Row],[תשלומים
שנותרו]])</f>
        <v>345</v>
      </c>
    </row>
    <row r="19" spans="1:10" ht="15" customHeight="1" x14ac:dyDescent="0.25">
      <c r="A19" s="8"/>
      <c r="B19" s="11">
        <f>MAX(הפחתה[[#This Row],[מס'']],הפחתה5[[#This Row],[מס'']],הפחתה7[[#This Row],[מס'']],הפחתה8[[#This Row],[מס'']])</f>
        <v>16</v>
      </c>
      <c r="C19" s="12">
        <f ca="1">IF(ValuesEntered,IF(הפחתה23[[#This Row],[מס'']]&lt;=תקופת_ההלוואה,IF(ROW()-ROW(הפחתה[[#Headers],[תאריך]])=1,LoanStart,IF(I18&gt;0,EDATE(C18,1),"")),""),"")</f>
        <v>45839</v>
      </c>
      <c r="D19" s="13">
        <f ca="1">SUM(הפחתה[[#This Row],[יתרת פתיחה]],הפחתה5[[#This Row],[יתרת פתיחה]],הפחתה7[[#This Row],[יתרת פתיחה]],הפחתה8[[#This Row],[יתרת פתיחה]])</f>
        <v>980015.30266445933</v>
      </c>
      <c r="E19" s="13">
        <f ca="1">SUM(הפחתה[[#This Row],[ריבית]],הפחתה5[[#This Row],[ריבית]],הפחתה7[[#This Row],[ריבית]],הפחתה8[[#This Row],[ריבית]])</f>
        <v>3930.1564967847771</v>
      </c>
      <c r="F19" s="13">
        <f ca="1">SUM(הפחתה[[#This Row],[קרן]],הפחתה5[[#This Row],[קרן]],הפחתה7[[#This Row],[קרן]],הפחתה8[[#This Row],[קרן]])</f>
        <v>1547.5521809618131</v>
      </c>
      <c r="G19" s="13">
        <f ca="1">IF(הפחתה23[[#This Row],[תאריך]]="",0,PropertyTaxAmount)</f>
        <v>0</v>
      </c>
      <c r="H19" s="13">
        <f ca="1">IF(הפחתה23[[#This Row],[תאריך]]="",0,הפחתה23[[#This Row],[ריבית]]+הפחתה23[[#This Row],[קרן]]+הפחתה23[[#This Row],[מס
רכוש]])</f>
        <v>5477.7086777465902</v>
      </c>
      <c r="I19" s="13">
        <f ca="1">IF(הפחתה23[[#This Row],[תאריך]]="",0,הפחתה23[[#This Row],[יתרת פתיחה]]-הפחתה23[[#This Row],[קרן]])</f>
        <v>978467.75048349751</v>
      </c>
      <c r="J19" s="11">
        <f ca="1">MAX(הפחתה[[#This Row],[תשלומים
שנותרו]],הפחתה5[[#This Row],[תשלומים
שנותרו]],הפחתה7[[#This Row],[תשלומים
שנותרו]],הפחתה8[[#This Row],[תשלומים
שנותרו]])</f>
        <v>344</v>
      </c>
    </row>
    <row r="20" spans="1:10" ht="15" customHeight="1" x14ac:dyDescent="0.25">
      <c r="A20" s="8"/>
      <c r="B20" s="11">
        <f>MAX(הפחתה[[#This Row],[מס'']],הפחתה5[[#This Row],[מס'']],הפחתה7[[#This Row],[מס'']],הפחתה8[[#This Row],[מס'']])</f>
        <v>17</v>
      </c>
      <c r="C20" s="12">
        <f ca="1">IF(ValuesEntered,IF(הפחתה23[[#This Row],[מס'']]&lt;=תקופת_ההלוואה,IF(ROW()-ROW(הפחתה[[#Headers],[תאריך]])=1,LoanStart,IF(I19&gt;0,EDATE(C19,1),"")),""),"")</f>
        <v>45870</v>
      </c>
      <c r="D20" s="13">
        <f ca="1">SUM(הפחתה[[#This Row],[יתרת פתיחה]],הפחתה5[[#This Row],[יתרת פתיחה]],הפחתה7[[#This Row],[יתרת פתיחה]],הפחתה8[[#This Row],[יתרת פתיחה]])</f>
        <v>978632.22786549793</v>
      </c>
      <c r="E20" s="13">
        <f ca="1">SUM(הפחתה[[#This Row],[ריבית]],הפחתה5[[#This Row],[ריבית]],הפחתה7[[#This Row],[ריבית]],הפחתה8[[#This Row],[ריבית]])</f>
        <v>3924.5425796728732</v>
      </c>
      <c r="F20" s="13">
        <f ca="1">SUM(הפחתה[[#This Row],[קרן]],הפחתה5[[#This Row],[קרן]],הפחתה7[[#This Row],[קרן]],הפחתה8[[#This Row],[קרן]])</f>
        <v>1553.892761129546</v>
      </c>
      <c r="G20" s="13">
        <f ca="1">IF(הפחתה23[[#This Row],[תאריך]]="",0,PropertyTaxAmount)</f>
        <v>0</v>
      </c>
      <c r="H20" s="13">
        <f ca="1">IF(הפחתה23[[#This Row],[תאריך]]="",0,הפחתה23[[#This Row],[ריבית]]+הפחתה23[[#This Row],[קרן]]+הפחתה23[[#This Row],[מס
רכוש]])</f>
        <v>5478.435340802419</v>
      </c>
      <c r="I20" s="13">
        <f ca="1">IF(הפחתה23[[#This Row],[תאריך]]="",0,הפחתה23[[#This Row],[יתרת פתיחה]]-הפחתה23[[#This Row],[קרן]])</f>
        <v>977078.33510436839</v>
      </c>
      <c r="J20" s="11">
        <f ca="1">MAX(הפחתה[[#This Row],[תשלומים
שנותרו]],הפחתה5[[#This Row],[תשלומים
שנותרו]],הפחתה7[[#This Row],[תשלומים
שנותרו]],הפחתה8[[#This Row],[תשלומים
שנותרו]])</f>
        <v>343</v>
      </c>
    </row>
    <row r="21" spans="1:10" ht="15" customHeight="1" x14ac:dyDescent="0.25">
      <c r="A21" s="8"/>
      <c r="B21" s="11">
        <f>MAX(הפחתה[[#This Row],[מס'']],הפחתה5[[#This Row],[מס'']],הפחתה7[[#This Row],[מס'']],הפחתה8[[#This Row],[מס'']])</f>
        <v>18</v>
      </c>
      <c r="C21" s="12">
        <f ca="1">IF(ValuesEntered,IF(הפחתה23[[#This Row],[מס'']]&lt;=תקופת_ההלוואה,IF(ROW()-ROW(הפחתה[[#Headers],[תאריך]])=1,LoanStart,IF(I20&gt;0,EDATE(C20,1),"")),""),"")</f>
        <v>45901</v>
      </c>
      <c r="D21" s="13">
        <f ca="1">SUM(הפחתה[[#This Row],[יתרת פתיחה]],הפחתה5[[#This Row],[יתרת פתיחה]],הפחתה7[[#This Row],[יתרת פתיחה]],הפחתה8[[#This Row],[יתרת פתיחה]])</f>
        <v>977242.65230701456</v>
      </c>
      <c r="E21" s="13">
        <f ca="1">SUM(הפחתה[[#This Row],[ריבית]],הפחתה5[[#This Row],[ריבית]],הפחתה7[[#This Row],[ריבית]],הפחתה8[[#This Row],[ריבית]])</f>
        <v>3918.9036782382022</v>
      </c>
      <c r="F21" s="13">
        <f ca="1">SUM(הפחתה[[#This Row],[קרן]],הפחתה5[[#This Row],[קרן]],הפחתה7[[#This Row],[קרן]],הפחתה8[[#This Row],[קרן]])</f>
        <v>1560.2594843435697</v>
      </c>
      <c r="G21" s="13">
        <f ca="1">IF(הפחתה23[[#This Row],[תאריך]]="",0,PropertyTaxAmount)</f>
        <v>0</v>
      </c>
      <c r="H21" s="13">
        <f ca="1">IF(הפחתה23[[#This Row],[תאריך]]="",0,הפחתה23[[#This Row],[ריבית]]+הפחתה23[[#This Row],[קרן]]+הפחתה23[[#This Row],[מס
רכוש]])</f>
        <v>5479.1631625817718</v>
      </c>
      <c r="I21" s="13">
        <f ca="1">IF(הפחתה23[[#This Row],[תאריך]]="",0,הפחתה23[[#This Row],[יתרת פתיחה]]-הפחתה23[[#This Row],[קרן]])</f>
        <v>975682.39282267098</v>
      </c>
      <c r="J21" s="11">
        <f ca="1">MAX(הפחתה[[#This Row],[תשלומים
שנותרו]],הפחתה5[[#This Row],[תשלומים
שנותרו]],הפחתה7[[#This Row],[תשלומים
שנותרו]],הפחתה8[[#This Row],[תשלומים
שנותרו]])</f>
        <v>342</v>
      </c>
    </row>
    <row r="22" spans="1:10" ht="15" customHeight="1" x14ac:dyDescent="0.25">
      <c r="A22" s="8"/>
      <c r="B22" s="11">
        <f>MAX(הפחתה[[#This Row],[מס'']],הפחתה5[[#This Row],[מס'']],הפחתה7[[#This Row],[מס'']],הפחתה8[[#This Row],[מס'']])</f>
        <v>19</v>
      </c>
      <c r="C22" s="12">
        <f ca="1">IF(ValuesEntered,IF(הפחתה23[[#This Row],[מס'']]&lt;=תקופת_ההלוואה,IF(ROW()-ROW(הפחתה[[#Headers],[תאריך]])=1,LoanStart,IF(I21&gt;0,EDATE(C21,1),"")),""),"")</f>
        <v>45931</v>
      </c>
      <c r="D22" s="13">
        <f ca="1">SUM(הפחתה[[#This Row],[יתרת פתיחה]],הפחתה5[[#This Row],[יתרת פתיחה]],הפחתה7[[#This Row],[יתרת פתיחה]],הפחתה8[[#This Row],[יתרת פתיחה]])</f>
        <v>975846.54801941849</v>
      </c>
      <c r="E22" s="13">
        <f ca="1">SUM(הפחתה[[#This Row],[ריבית]],הפחתה5[[#This Row],[ריבית]],הפחתה7[[#This Row],[ריבית]],הפחתה8[[#This Row],[ריבית]])</f>
        <v>3913.2396857641579</v>
      </c>
      <c r="F22" s="13">
        <f ca="1">SUM(הפחתה[[#This Row],[קרן]],הפחתה5[[#This Row],[קרן]],הפחתה7[[#This Row],[קרן]],הפחתה8[[#This Row],[קרן]])</f>
        <v>1566.6524590825888</v>
      </c>
      <c r="G22" s="13">
        <f ca="1">IF(הפחתה23[[#This Row],[תאריך]]="",0,PropertyTaxAmount)</f>
        <v>0</v>
      </c>
      <c r="H22" s="13">
        <f ca="1">IF(הפחתה23[[#This Row],[תאריך]]="",0,הפחתה23[[#This Row],[ריבית]]+הפחתה23[[#This Row],[קרן]]+הפחתה23[[#This Row],[מס
רכוש]])</f>
        <v>5479.8921448467463</v>
      </c>
      <c r="I22" s="13">
        <f ca="1">IF(הפחתה23[[#This Row],[תאריך]]="",0,הפחתה23[[#This Row],[יתרת פתיחה]]-הפחתה23[[#This Row],[קרן]])</f>
        <v>974279.89556033595</v>
      </c>
      <c r="J22" s="11">
        <f ca="1">MAX(הפחתה[[#This Row],[תשלומים
שנותרו]],הפחתה5[[#This Row],[תשלומים
שנותרו]],הפחתה7[[#This Row],[תשלומים
שנותרו]],הפחתה8[[#This Row],[תשלומים
שנותרו]])</f>
        <v>341</v>
      </c>
    </row>
    <row r="23" spans="1:10" ht="15" customHeight="1" x14ac:dyDescent="0.25">
      <c r="A23" s="8"/>
      <c r="B23" s="11">
        <f>MAX(הפחתה[[#This Row],[מס'']],הפחתה5[[#This Row],[מס'']],הפחתה7[[#This Row],[מס'']],הפחתה8[[#This Row],[מס'']])</f>
        <v>20</v>
      </c>
      <c r="C23" s="12">
        <f ca="1">IF(ValuesEntered,IF(הפחתה23[[#This Row],[מס'']]&lt;=תקופת_ההלוואה,IF(ROW()-ROW(הפחתה[[#Headers],[תאריך]])=1,LoanStart,IF(I22&gt;0,EDATE(C22,1),"")),""),"")</f>
        <v>45962</v>
      </c>
      <c r="D23" s="13">
        <f ca="1">SUM(הפחתה[[#This Row],[יתרת פתיחה]],הפחתה5[[#This Row],[יתרת פתיחה]],הפחתה7[[#This Row],[יתרת פתיחה]],הפחתה8[[#This Row],[יתרת פתיחה]])</f>
        <v>974443.88691598678</v>
      </c>
      <c r="E23" s="13">
        <f ca="1">SUM(הפחתה[[#This Row],[ריבית]],הפחתה5[[#This Row],[ריבית]],הפחתה7[[#This Row],[ריבית]],הפחתה8[[#This Row],[ריבית]])</f>
        <v>3907.5504950837289</v>
      </c>
      <c r="F23" s="13">
        <f ca="1">SUM(הפחתה[[#This Row],[קרן]],הפחתה5[[#This Row],[קרן]],הפחתה7[[#This Row],[קרן]],הפחתה8[[#This Row],[קרן]])</f>
        <v>1573.0717942786359</v>
      </c>
      <c r="G23" s="13">
        <f ca="1">IF(הפחתה23[[#This Row],[תאריך]]="",0,PropertyTaxAmount)</f>
        <v>0</v>
      </c>
      <c r="H23" s="13">
        <f ca="1">IF(הפחתה23[[#This Row],[תאריך]]="",0,הפחתה23[[#This Row],[ריבית]]+הפחתה23[[#This Row],[קרן]]+הפחתה23[[#This Row],[מס
רכוש]])</f>
        <v>5480.6222893623653</v>
      </c>
      <c r="I23" s="13">
        <f ca="1">IF(הפחתה23[[#This Row],[תאריך]]="",0,הפחתה23[[#This Row],[יתרת פתיחה]]-הפחתה23[[#This Row],[קרן]])</f>
        <v>972870.81512170809</v>
      </c>
      <c r="J23" s="11">
        <f ca="1">MAX(הפחתה[[#This Row],[תשלומים
שנותרו]],הפחתה5[[#This Row],[תשלומים
שנותרו]],הפחתה7[[#This Row],[תשלומים
שנותרו]],הפחתה8[[#This Row],[תשלומים
שנותרו]])</f>
        <v>340</v>
      </c>
    </row>
    <row r="24" spans="1:10" ht="15" customHeight="1" x14ac:dyDescent="0.25">
      <c r="A24" s="8"/>
      <c r="B24" s="11">
        <f>MAX(הפחתה[[#This Row],[מס'']],הפחתה5[[#This Row],[מס'']],הפחתה7[[#This Row],[מס'']],הפחתה8[[#This Row],[מס'']])</f>
        <v>21</v>
      </c>
      <c r="C24" s="12">
        <f ca="1">IF(ValuesEntered,IF(הפחתה23[[#This Row],[מס'']]&lt;=תקופת_ההלוואה,IF(ROW()-ROW(הפחתה[[#Headers],[תאריך]])=1,LoanStart,IF(I23&gt;0,EDATE(C23,1),"")),""),"")</f>
        <v>45992</v>
      </c>
      <c r="D24" s="13">
        <f ca="1">SUM(הפחתה[[#This Row],[יתרת פתיחה]],הפחתה5[[#This Row],[יתרת פתיחה]],הפחתה7[[#This Row],[יתרת פתיחה]],הפחתה8[[#This Row],[יתרת פתיחה]])</f>
        <v>973034.64079237601</v>
      </c>
      <c r="E24" s="13">
        <f ca="1">SUM(הפחתה[[#This Row],[ריבית]],הפחתה5[[#This Row],[ריבית]],הפחתה7[[#This Row],[ריבית]],הפחתה8[[#This Row],[ריבית]])</f>
        <v>3901.8359985775996</v>
      </c>
      <c r="F24" s="13">
        <f ca="1">SUM(הפחתה[[#This Row],[קרן]],הפחתה5[[#This Row],[קרן]],הפחתה7[[#This Row],[קרן]],הפחתה8[[#This Row],[קרן]])</f>
        <v>1579.5175993189869</v>
      </c>
      <c r="G24" s="13">
        <f ca="1">IF(הפחתה23[[#This Row],[תאריך]]="",0,PropertyTaxAmount)</f>
        <v>0</v>
      </c>
      <c r="H24" s="13">
        <f ca="1">IF(הפחתה23[[#This Row],[תאריך]]="",0,הפחתה23[[#This Row],[ריבית]]+הפחתה23[[#This Row],[קרן]]+הפחתה23[[#This Row],[מס
רכוש]])</f>
        <v>5481.3535978965865</v>
      </c>
      <c r="I24" s="13">
        <f ca="1">IF(הפחתה23[[#This Row],[תאריך]]="",0,הפחתה23[[#This Row],[יתרת פתיחה]]-הפחתה23[[#This Row],[קרן]])</f>
        <v>971455.12319305702</v>
      </c>
      <c r="J24" s="11">
        <f ca="1">MAX(הפחתה[[#This Row],[תשלומים
שנותרו]],הפחתה5[[#This Row],[תשלומים
שנותרו]],הפחתה7[[#This Row],[תשלומים
שנותרו]],הפחתה8[[#This Row],[תשלומים
שנותרו]])</f>
        <v>339</v>
      </c>
    </row>
    <row r="25" spans="1:10" ht="15" customHeight="1" x14ac:dyDescent="0.25">
      <c r="A25" s="8"/>
      <c r="B25" s="11">
        <f>MAX(הפחתה[[#This Row],[מס'']],הפחתה5[[#This Row],[מס'']],הפחתה7[[#This Row],[מס'']],הפחתה8[[#This Row],[מס'']])</f>
        <v>22</v>
      </c>
      <c r="C25" s="12">
        <f ca="1">IF(ValuesEntered,IF(הפחתה23[[#This Row],[מס'']]&lt;=תקופת_ההלוואה,IF(ROW()-ROW(הפחתה[[#Headers],[תאריך]])=1,LoanStart,IF(I24&gt;0,EDATE(C24,1),"")),""),"")</f>
        <v>46023</v>
      </c>
      <c r="D25" s="13">
        <f ca="1">SUM(הפחתה[[#This Row],[יתרת פתיחה]],הפחתה5[[#This Row],[יתרת פתיחה]],הפחתה7[[#This Row],[יתרת פתיחה]],הפחתה8[[#This Row],[יתרת פתיחה]])</f>
        <v>971618.78132613294</v>
      </c>
      <c r="E25" s="13">
        <f ca="1">SUM(הפחתה[[#This Row],[ריבית]],הפחתה5[[#This Row],[ריבית]],הפחתה7[[#This Row],[ריבית]],הפחתה8[[#This Row],[ריבית]])</f>
        <v>3896.0960881722376</v>
      </c>
      <c r="F25" s="13">
        <f ca="1">SUM(הפחתה[[#This Row],[קרן]],הפחתה5[[#This Row],[קרן]],הפחתה7[[#This Row],[קרן]],הפחתה8[[#This Row],[קרן]])</f>
        <v>1585.9899840480825</v>
      </c>
      <c r="G25" s="13">
        <f ca="1">IF(הפחתה23[[#This Row],[תאריך]]="",0,PropertyTaxAmount)</f>
        <v>0</v>
      </c>
      <c r="H25" s="13">
        <f ca="1">IF(הפחתה23[[#This Row],[תאריך]]="",0,הפחתה23[[#This Row],[ריבית]]+הפחתה23[[#This Row],[קרן]]+הפחתה23[[#This Row],[מס
רכוש]])</f>
        <v>5482.0860722203197</v>
      </c>
      <c r="I25" s="13">
        <f ca="1">IF(הפחתה23[[#This Row],[תאריך]]="",0,הפחתה23[[#This Row],[יתרת פתיחה]]-הפחתה23[[#This Row],[קרן]])</f>
        <v>970032.79134208488</v>
      </c>
      <c r="J25" s="11">
        <f ca="1">MAX(הפחתה[[#This Row],[תשלומים
שנותרו]],הפחתה5[[#This Row],[תשלומים
שנותרו]],הפחתה7[[#This Row],[תשלומים
שנותרו]],הפחתה8[[#This Row],[תשלומים
שנותרו]])</f>
        <v>338</v>
      </c>
    </row>
    <row r="26" spans="1:10" ht="15" customHeight="1" x14ac:dyDescent="0.25">
      <c r="A26" s="8"/>
      <c r="B26" s="11">
        <f>MAX(הפחתה[[#This Row],[מס'']],הפחתה5[[#This Row],[מס'']],הפחתה7[[#This Row],[מס'']],הפחתה8[[#This Row],[מס'']])</f>
        <v>23</v>
      </c>
      <c r="C26" s="12">
        <f ca="1">IF(ValuesEntered,IF(הפחתה23[[#This Row],[מס'']]&lt;=תקופת_ההלוואה,IF(ROW()-ROW(הפחתה[[#Headers],[תאריך]])=1,LoanStart,IF(I25&gt;0,EDATE(C25,1),"")),""),"")</f>
        <v>46054</v>
      </c>
      <c r="D26" s="13">
        <f ca="1">SUM(הפחתה[[#This Row],[יתרת פתיחה]],הפחתה5[[#This Row],[יתרת פתיחה]],הפחתה7[[#This Row],[יתרת פתיחה]],הפחתה8[[#This Row],[יתרת פתיחה]])</f>
        <v>970196.28007620201</v>
      </c>
      <c r="E26" s="13">
        <f ca="1">SUM(הפחתה[[#This Row],[ריבית]],הפחתה5[[#This Row],[ריבית]],הפחתה7[[#This Row],[ריבית]],הפחתה8[[#This Row],[ריבית]])</f>
        <v>3890.3306553379862</v>
      </c>
      <c r="F26" s="13">
        <f ca="1">SUM(הפחתה[[#This Row],[קרן]],הפחתה5[[#This Row],[קרן]],הפחתה7[[#This Row],[קרן]],הפחתה8[[#This Row],[קרן]])</f>
        <v>1592.4890587694658</v>
      </c>
      <c r="G26" s="13">
        <f ca="1">IF(הפחתה23[[#This Row],[תאריך]]="",0,PropertyTaxAmount)</f>
        <v>0</v>
      </c>
      <c r="H26" s="13">
        <f ca="1">IF(הפחתה23[[#This Row],[תאריך]]="",0,הפחתה23[[#This Row],[ריבית]]+הפחתה23[[#This Row],[קרן]]+הפחתה23[[#This Row],[מס
רכוש]])</f>
        <v>5482.8197141074525</v>
      </c>
      <c r="I26" s="13">
        <f ca="1">IF(הפחתה23[[#This Row],[תאריך]]="",0,הפחתה23[[#This Row],[יתרת פתיחה]]-הפחתה23[[#This Row],[קרן]])</f>
        <v>968603.79101743258</v>
      </c>
      <c r="J26" s="11">
        <f ca="1">MAX(הפחתה[[#This Row],[תשלומים
שנותרו]],הפחתה5[[#This Row],[תשלומים
שנותרו]],הפחתה7[[#This Row],[תשלומים
שנותרו]],הפחתה8[[#This Row],[תשלומים
שנותרו]])</f>
        <v>337</v>
      </c>
    </row>
    <row r="27" spans="1:10" ht="15" customHeight="1" x14ac:dyDescent="0.25">
      <c r="A27" s="8"/>
      <c r="B27" s="11">
        <f>MAX(הפחתה[[#This Row],[מס'']],הפחתה5[[#This Row],[מס'']],הפחתה7[[#This Row],[מס'']],הפחתה8[[#This Row],[מס'']])</f>
        <v>24</v>
      </c>
      <c r="C27" s="12">
        <f ca="1">IF(ValuesEntered,IF(הפחתה23[[#This Row],[מס'']]&lt;=תקופת_ההלוואה,IF(ROW()-ROW(הפחתה[[#Headers],[תאריך]])=1,LoanStart,IF(I26&gt;0,EDATE(C26,1),"")),""),"")</f>
        <v>46082</v>
      </c>
      <c r="D27" s="13">
        <f ca="1">SUM(הפחתה[[#This Row],[יתרת פתיחה]],הפחתה5[[#This Row],[יתרת פתיחה]],הפחתה7[[#This Row],[יתרת פתיחה]],הפחתה8[[#This Row],[יתרת פתיחה]])</f>
        <v>968767.10848243092</v>
      </c>
      <c r="E27" s="13">
        <f ca="1">SUM(הפחתה[[#This Row],[ריבית]],הפחתה5[[#This Row],[ריבית]],הפחתה7[[#This Row],[ריבית]],הפחתה8[[#This Row],[ריבית]])</f>
        <v>3884.5395910871343</v>
      </c>
      <c r="F27" s="13">
        <f ca="1">SUM(הפחתה[[#This Row],[קרן]],הפחתה5[[#This Row],[קרן]],הפחתה7[[#This Row],[קרן]],הפחתה8[[#This Row],[קרן]])</f>
        <v>1599.0149342477168</v>
      </c>
      <c r="G27" s="13">
        <f ca="1">IF(הפחתה23[[#This Row],[תאריך]]="",0,PropertyTaxAmount)</f>
        <v>0</v>
      </c>
      <c r="H27" s="13">
        <f ca="1">IF(הפחתה23[[#This Row],[תאריך]]="",0,הפחתה23[[#This Row],[ריבית]]+הפחתה23[[#This Row],[קרן]]+הפחתה23[[#This Row],[מס
רכוש]])</f>
        <v>5483.554525334851</v>
      </c>
      <c r="I27" s="13">
        <f ca="1">IF(הפחתה23[[#This Row],[תאריך]]="",0,הפחתה23[[#This Row],[יתרת פתיחה]]-הפחתה23[[#This Row],[קרן]])</f>
        <v>967168.09354818321</v>
      </c>
      <c r="J27" s="11">
        <f ca="1">MAX(הפחתה[[#This Row],[תשלומים
שנותרו]],הפחתה5[[#This Row],[תשלומים
שנותרו]],הפחתה7[[#This Row],[תשלומים
שנותרו]],הפחתה8[[#This Row],[תשלומים
שנותרו]])</f>
        <v>336</v>
      </c>
    </row>
    <row r="28" spans="1:10" ht="15" customHeight="1" x14ac:dyDescent="0.25">
      <c r="A28" s="8"/>
      <c r="B28" s="11">
        <f>MAX(הפחתה[[#This Row],[מס'']],הפחתה5[[#This Row],[מס'']],הפחתה7[[#This Row],[מס'']],הפחתה8[[#This Row],[מס'']])</f>
        <v>25</v>
      </c>
      <c r="C28" s="12">
        <f ca="1">IF(ValuesEntered,IF(הפחתה23[[#This Row],[מס'']]&lt;=תקופת_ההלוואה,IF(ROW()-ROW(הפחתה[[#Headers],[תאריך]])=1,LoanStart,IF(I27&gt;0,EDATE(C27,1),"")),""),"")</f>
        <v>46113</v>
      </c>
      <c r="D28" s="13">
        <f ca="1">SUM(הפחתה[[#This Row],[יתרת פתיחה]],הפחתה5[[#This Row],[יתרת פתיחה]],הפחתה7[[#This Row],[יתרת פתיחה]],הפחתה8[[#This Row],[יתרת פתיחה]])</f>
        <v>967331.23786507465</v>
      </c>
      <c r="E28" s="13">
        <f ca="1">SUM(הפחתה[[#This Row],[ריבית]],הפחתה5[[#This Row],[ריבית]],הפחתה7[[#This Row],[ריבית]],הפחתה8[[#This Row],[ריבית]])</f>
        <v>3878.7227859719856</v>
      </c>
      <c r="F28" s="13">
        <f ca="1">SUM(הפחתה[[#This Row],[קרן]],הפחתה5[[#This Row],[קרן]],הפחתה7[[#This Row],[קרן]],הפחתה8[[#This Row],[קרן]])</f>
        <v>1605.5677217104062</v>
      </c>
      <c r="G28" s="13">
        <f ca="1">IF(הפחתה23[[#This Row],[תאריך]]="",0,PropertyTaxAmount)</f>
        <v>0</v>
      </c>
      <c r="H28" s="13">
        <f ca="1">IF(הפחתה23[[#This Row],[תאריך]]="",0,הפחתה23[[#This Row],[ריבית]]+הפחתה23[[#This Row],[קרן]]+הפחתה23[[#This Row],[מס
רכוש]])</f>
        <v>5484.2905076823918</v>
      </c>
      <c r="I28" s="13">
        <f ca="1">IF(הפחתה23[[#This Row],[תאריך]]="",0,הפחתה23[[#This Row],[יתרת פתיחה]]-הפחתה23[[#This Row],[קרן]])</f>
        <v>965725.67014336423</v>
      </c>
      <c r="J28" s="11">
        <f ca="1">MAX(הפחתה[[#This Row],[תשלומים
שנותרו]],הפחתה5[[#This Row],[תשלומים
שנותרו]],הפחתה7[[#This Row],[תשלומים
שנותרו]],הפחתה8[[#This Row],[תשלומים
שנותרו]])</f>
        <v>335</v>
      </c>
    </row>
    <row r="29" spans="1:10" ht="15" customHeight="1" x14ac:dyDescent="0.25">
      <c r="A29" s="8"/>
      <c r="B29" s="11">
        <f>MAX(הפחתה[[#This Row],[מס'']],הפחתה5[[#This Row],[מס'']],הפחתה7[[#This Row],[מס'']],הפחתה8[[#This Row],[מס'']])</f>
        <v>26</v>
      </c>
      <c r="C29" s="12">
        <f ca="1">IF(ValuesEntered,IF(הפחתה23[[#This Row],[מס'']]&lt;=תקופת_ההלוואה,IF(ROW()-ROW(הפחתה[[#Headers],[תאריך]])=1,LoanStart,IF(I28&gt;0,EDATE(C28,1),"")),""),"")</f>
        <v>46143</v>
      </c>
      <c r="D29" s="13">
        <f ca="1">SUM(הפחתה[[#This Row],[יתרת פתיחה]],הפחתה5[[#This Row],[יתרת פתיחה]],הפחתה7[[#This Row],[יתרת פתיחה]],הפחתה8[[#This Row],[יתרת פתיחה]])</f>
        <v>965888.63942429679</v>
      </c>
      <c r="E29" s="13">
        <f ca="1">SUM(הפחתה[[#This Row],[ריבית]],הפחתה5[[#This Row],[ריבית]],הפחתה7[[#This Row],[ריבית]],הפחתה8[[#This Row],[ריבית]])</f>
        <v>3872.8801300829246</v>
      </c>
      <c r="F29" s="13">
        <f ca="1">SUM(הפחתה[[#This Row],[קרן]],הפחתה5[[#This Row],[קרן]],הפחתה7[[#This Row],[קרן]],הפחתה8[[#This Row],[קרן]])</f>
        <v>1612.1475328500499</v>
      </c>
      <c r="G29" s="13">
        <f ca="1">IF(הפחתה23[[#This Row],[תאריך]]="",0,PropertyTaxAmount)</f>
        <v>0</v>
      </c>
      <c r="H29" s="13">
        <f ca="1">IF(הפחתה23[[#This Row],[תאריך]]="",0,הפחתה23[[#This Row],[ריבית]]+הפחתה23[[#This Row],[קרן]]+הפחתה23[[#This Row],[מס
רכוש]])</f>
        <v>5485.0276629329746</v>
      </c>
      <c r="I29" s="13">
        <f ca="1">IF(הפחתה23[[#This Row],[תאריך]]="",0,הפחתה23[[#This Row],[יתרת פתיחה]]-הפחתה23[[#This Row],[קרן]])</f>
        <v>964276.49189144676</v>
      </c>
      <c r="J29" s="11">
        <f ca="1">MAX(הפחתה[[#This Row],[תשלומים
שנותרו]],הפחתה5[[#This Row],[תשלומים
שנותרו]],הפחתה7[[#This Row],[תשלומים
שנותרו]],הפחתה8[[#This Row],[תשלומים
שנותרו]])</f>
        <v>334</v>
      </c>
    </row>
    <row r="30" spans="1:10" ht="15" customHeight="1" x14ac:dyDescent="0.25">
      <c r="A30" s="8"/>
      <c r="B30" s="11">
        <f>MAX(הפחתה[[#This Row],[מס'']],הפחתה5[[#This Row],[מס'']],הפחתה7[[#This Row],[מס'']],הפחתה8[[#This Row],[מס'']])</f>
        <v>27</v>
      </c>
      <c r="C30" s="12">
        <f ca="1">IF(ValuesEntered,IF(הפחתה23[[#This Row],[מס'']]&lt;=תקופת_ההלוואה,IF(ROW()-ROW(הפחתה[[#Headers],[תאריך]])=1,LoanStart,IF(I29&gt;0,EDATE(C29,1),"")),""),"")</f>
        <v>46174</v>
      </c>
      <c r="D30" s="13">
        <f ca="1">SUM(הפחתה[[#This Row],[יתרת פתיחה]],הפחתה5[[#This Row],[יתרת פתיחה]],הפחתה7[[#This Row],[יתרת פתיחה]],הפחתה8[[#This Row],[יתרת פתיחה]])</f>
        <v>964439.28423966933</v>
      </c>
      <c r="E30" s="13">
        <f ca="1">SUM(הפחתה[[#This Row],[ריבית]],הפחתה5[[#This Row],[ריבית]],הפחתה7[[#This Row],[ריבית]],הפחתה8[[#This Row],[ריבית]])</f>
        <v>3867.0115130464624</v>
      </c>
      <c r="F30" s="13">
        <f ca="1">SUM(הפחתה[[#This Row],[קרן]],הפחתה5[[#This Row],[קרן]],הפחתה7[[#This Row],[קרן]],הפחתה8[[#This Row],[קרן]])</f>
        <v>1618.7544798260762</v>
      </c>
      <c r="G30" s="13">
        <f ca="1">IF(הפחתה23[[#This Row],[תאריך]]="",0,PropertyTaxAmount)</f>
        <v>0</v>
      </c>
      <c r="H30" s="13">
        <f ca="1">IF(הפחתה23[[#This Row],[תאריך]]="",0,הפחתה23[[#This Row],[ריבית]]+הפחתה23[[#This Row],[קרן]]+הפחתה23[[#This Row],[מס
רכוש]])</f>
        <v>5485.7659928725388</v>
      </c>
      <c r="I30" s="13">
        <f ca="1">IF(הפחתה23[[#This Row],[תאריך]]="",0,הפחתה23[[#This Row],[יתרת פתיחה]]-הפחתה23[[#This Row],[קרן]])</f>
        <v>962820.52975984325</v>
      </c>
      <c r="J30" s="11">
        <f ca="1">MAX(הפחתה[[#This Row],[תשלומים
שנותרו]],הפחתה5[[#This Row],[תשלומים
שנותרו]],הפחתה7[[#This Row],[תשלומים
שנותרו]],הפחתה8[[#This Row],[תשלומים
שנותרו]])</f>
        <v>333</v>
      </c>
    </row>
    <row r="31" spans="1:10" ht="15" customHeight="1" x14ac:dyDescent="0.25">
      <c r="A31" s="8"/>
      <c r="B31" s="11">
        <f>MAX(הפחתה[[#This Row],[מס'']],הפחתה5[[#This Row],[מס'']],הפחתה7[[#This Row],[מס'']],הפחתה8[[#This Row],[מס'']])</f>
        <v>28</v>
      </c>
      <c r="C31" s="12">
        <f ca="1">IF(ValuesEntered,IF(הפחתה23[[#This Row],[מס'']]&lt;=תקופת_ההלוואה,IF(ROW()-ROW(הפחתה[[#Headers],[תאריך]])=1,LoanStart,IF(I30&gt;0,EDATE(C30,1),"")),""),"")</f>
        <v>46204</v>
      </c>
      <c r="D31" s="13">
        <f ca="1">SUM(הפחתה[[#This Row],[יתרת פתיחה]],הפחתה5[[#This Row],[יתרת פתיחה]],הפחתה7[[#This Row],[יתרת פתיחה]],הפחתה8[[#This Row],[יתרת פתיחה]])</f>
        <v>962983.14326967078</v>
      </c>
      <c r="E31" s="13">
        <f ca="1">SUM(הפחתה[[#This Row],[ריבית]],הפחתה5[[#This Row],[ריבית]],הפחתה7[[#This Row],[ריבית]],הפחתה8[[#This Row],[ריבית]])</f>
        <v>3861.1168240232823</v>
      </c>
      <c r="F31" s="13">
        <f ca="1">SUM(הפחתה[[#This Row],[קרן]],הפחתה5[[#This Row],[קרן]],הפחתה7[[#This Row],[קרן]],הפחתה8[[#This Row],[קרן]])</f>
        <v>1625.3886752668018</v>
      </c>
      <c r="G31" s="13">
        <f ca="1">IF(הפחתה23[[#This Row],[תאריך]]="",0,PropertyTaxAmount)</f>
        <v>0</v>
      </c>
      <c r="H31" s="13">
        <f ca="1">IF(הפחתה23[[#This Row],[תאריך]]="",0,הפחתה23[[#This Row],[ריבית]]+הפחתה23[[#This Row],[קרן]]+הפחתה23[[#This Row],[מס
רכוש]])</f>
        <v>5486.5054992900841</v>
      </c>
      <c r="I31" s="13">
        <f ca="1">IF(הפחתה23[[#This Row],[תאריך]]="",0,הפחתה23[[#This Row],[יתרת פתיחה]]-הפחתה23[[#This Row],[קרן]])</f>
        <v>961357.75459440402</v>
      </c>
      <c r="J31" s="11">
        <f ca="1">MAX(הפחתה[[#This Row],[תשלומים
שנותרו]],הפחתה5[[#This Row],[תשלומים
שנותרו]],הפחתה7[[#This Row],[תשלומים
שנותרו]],הפחתה8[[#This Row],[תשלומים
שנותרו]])</f>
        <v>332</v>
      </c>
    </row>
    <row r="32" spans="1:10" ht="15" customHeight="1" x14ac:dyDescent="0.25">
      <c r="A32" s="8"/>
      <c r="B32" s="11">
        <f>MAX(הפחתה[[#This Row],[מס'']],הפחתה5[[#This Row],[מס'']],הפחתה7[[#This Row],[מס'']],הפחתה8[[#This Row],[מס'']])</f>
        <v>29</v>
      </c>
      <c r="C32" s="12">
        <f ca="1">IF(ValuesEntered,IF(הפחתה23[[#This Row],[מס'']]&lt;=תקופת_ההלוואה,IF(ROW()-ROW(הפחתה[[#Headers],[תאריך]])=1,LoanStart,IF(I31&gt;0,EDATE(C31,1),"")),""),"")</f>
        <v>46235</v>
      </c>
      <c r="D32" s="13">
        <f ca="1">SUM(הפחתה[[#This Row],[יתרת פתיחה]],הפחתה5[[#This Row],[יתרת פתיחה]],הפחתה7[[#This Row],[יתרת פתיחה]],הפחתה8[[#This Row],[יתרת פתיחה]])</f>
        <v>961520.18735118024</v>
      </c>
      <c r="E32" s="13">
        <f ca="1">SUM(הפחתה[[#This Row],[ריבית]],הפחתה5[[#This Row],[ריבית]],הפחתה7[[#This Row],[ריבית]],הפחתה8[[#This Row],[ריבית]])</f>
        <v>3855.1959517062742</v>
      </c>
      <c r="F32" s="13">
        <f ca="1">SUM(הפחתה[[#This Row],[קרן]],הפחתה5[[#This Row],[קרן]],הפחתה7[[#This Row],[קרן]],הפחתה8[[#This Row],[קרן]])</f>
        <v>1632.0502322714119</v>
      </c>
      <c r="G32" s="13">
        <f ca="1">IF(הפחתה23[[#This Row],[תאריך]]="",0,PropertyTaxAmount)</f>
        <v>0</v>
      </c>
      <c r="H32" s="13">
        <f ca="1">IF(הפחתה23[[#This Row],[תאריך]]="",0,הפחתה23[[#This Row],[ריבית]]+הפחתה23[[#This Row],[קרן]]+הפחתה23[[#This Row],[מס
רכוש]])</f>
        <v>5487.2461839776861</v>
      </c>
      <c r="I32" s="13">
        <f ca="1">IF(הפחתה23[[#This Row],[תאריך]]="",0,הפחתה23[[#This Row],[יתרת פתיחה]]-הפחתה23[[#This Row],[קרן]])</f>
        <v>959888.13711890881</v>
      </c>
      <c r="J32" s="11">
        <f ca="1">MAX(הפחתה[[#This Row],[תשלומים
שנותרו]],הפחתה5[[#This Row],[תשלומים
שנותרו]],הפחתה7[[#This Row],[תשלומים
שנותרו]],הפחתה8[[#This Row],[תשלומים
שנותרו]])</f>
        <v>331</v>
      </c>
    </row>
    <row r="33" spans="1:10" ht="15" customHeight="1" x14ac:dyDescent="0.25">
      <c r="A33" s="8"/>
      <c r="B33" s="11">
        <f>MAX(הפחתה[[#This Row],[מס'']],הפחתה5[[#This Row],[מס'']],הפחתה7[[#This Row],[מס'']],הפחתה8[[#This Row],[מס'']])</f>
        <v>30</v>
      </c>
      <c r="C33" s="12">
        <f ca="1">IF(ValuesEntered,IF(הפחתה23[[#This Row],[מס'']]&lt;=תקופת_ההלוואה,IF(ROW()-ROW(הפחתה[[#Headers],[תאריך]])=1,LoanStart,IF(I32&gt;0,EDATE(C32,1),"")),""),"")</f>
        <v>46266</v>
      </c>
      <c r="D33" s="13">
        <f ca="1">SUM(הפחתה[[#This Row],[יתרת פתיחה]],הפחתה5[[#This Row],[יתרת פתיחה]],הפחתה7[[#This Row],[יתרת פתיחה]],הפחתה8[[#This Row],[יתרת פתיחה]])</f>
        <v>960050.38719897112</v>
      </c>
      <c r="E33" s="13">
        <f ca="1">SUM(הפחתה[[#This Row],[ריבית]],הפחתה5[[#This Row],[ריבית]],הפחתה7[[#This Row],[ריבית]],הפחתה8[[#This Row],[ריבית]])</f>
        <v>3849.2487843185663</v>
      </c>
      <c r="F33" s="13">
        <f ca="1">SUM(הפחתה[[#This Row],[קרן]],הפחתה5[[#This Row],[קרן]],הפחתה7[[#This Row],[קרן]],הפחתה8[[#This Row],[קרן]])</f>
        <v>1638.7392644119568</v>
      </c>
      <c r="G33" s="13">
        <f ca="1">IF(הפחתה23[[#This Row],[תאריך]]="",0,PropertyTaxAmount)</f>
        <v>0</v>
      </c>
      <c r="H33" s="13">
        <f ca="1">IF(הפחתה23[[#This Row],[תאריך]]="",0,הפחתה23[[#This Row],[ריבית]]+הפחתה23[[#This Row],[קרן]]+הפחתה23[[#This Row],[מס
רכוש]])</f>
        <v>5487.9880487305236</v>
      </c>
      <c r="I33" s="13">
        <f ca="1">IF(הפחתה23[[#This Row],[תאריך]]="",0,הפחתה23[[#This Row],[יתרת פתיחה]]-הפחתה23[[#This Row],[קרן]])</f>
        <v>958411.64793455915</v>
      </c>
      <c r="J33" s="11">
        <f ca="1">MAX(הפחתה[[#This Row],[תשלומים
שנותרו]],הפחתה5[[#This Row],[תשלומים
שנותרו]],הפחתה7[[#This Row],[תשלומים
שנותרו]],הפחתה8[[#This Row],[תשלומים
שנותרו]])</f>
        <v>330</v>
      </c>
    </row>
    <row r="34" spans="1:10" ht="15" customHeight="1" x14ac:dyDescent="0.25">
      <c r="A34" s="8"/>
      <c r="B34" s="11">
        <f>MAX(הפחתה[[#This Row],[מס'']],הפחתה5[[#This Row],[מס'']],הפחתה7[[#This Row],[מס'']],הפחתה8[[#This Row],[מס'']])</f>
        <v>31</v>
      </c>
      <c r="C34" s="12">
        <f ca="1">IF(ValuesEntered,IF(הפחתה23[[#This Row],[מס'']]&lt;=תקופת_ההלוואה,IF(ROW()-ROW(הפחתה[[#Headers],[תאריך]])=1,LoanStart,IF(I33&gt;0,EDATE(C33,1),"")),""),"")</f>
        <v>46296</v>
      </c>
      <c r="D34" s="13">
        <f ca="1">SUM(הפחתה[[#This Row],[יתרת פתיחה]],הפחתה5[[#This Row],[יתרת פתיחה]],הפחתה7[[#This Row],[יתרת פתיחה]],הפחתה8[[#This Row],[יתרת פתיחה]])</f>
        <v>958573.71340520284</v>
      </c>
      <c r="E34" s="13">
        <f ca="1">SUM(הפחתה[[#This Row],[ריבית]],הפחתה5[[#This Row],[ריבית]],הפחתה7[[#This Row],[ריבית]],הפחתה8[[#This Row],[ריבית]])</f>
        <v>3843.275209611536</v>
      </c>
      <c r="F34" s="13">
        <f ca="1">SUM(הפחתה[[#This Row],[קרן]],הפחתה5[[#This Row],[קרן]],הפחתה7[[#This Row],[קרן]],הפחתה8[[#This Row],[קרן]])</f>
        <v>1645.4558857353481</v>
      </c>
      <c r="G34" s="13">
        <f ca="1">IF(הפחתה23[[#This Row],[תאריך]]="",0,PropertyTaxAmount)</f>
        <v>0</v>
      </c>
      <c r="H34" s="13">
        <f ca="1">IF(הפחתה23[[#This Row],[תאריך]]="",0,הפחתה23[[#This Row],[ריבית]]+הפחתה23[[#This Row],[קרן]]+הפחתה23[[#This Row],[מס
רכוש]])</f>
        <v>5488.7310953468841</v>
      </c>
      <c r="I34" s="13">
        <f ca="1">IF(הפחתה23[[#This Row],[תאריך]]="",0,הפחתה23[[#This Row],[יתרת פתיחה]]-הפחתה23[[#This Row],[קרן]])</f>
        <v>956928.2575194675</v>
      </c>
      <c r="J34" s="11">
        <f ca="1">MAX(הפחתה[[#This Row],[תשלומים
שנותרו]],הפחתה5[[#This Row],[תשלומים
שנותרו]],הפחתה7[[#This Row],[תשלומים
שנותרו]],הפחתה8[[#This Row],[תשלומים
שנותרו]])</f>
        <v>329</v>
      </c>
    </row>
    <row r="35" spans="1:10" ht="15" customHeight="1" x14ac:dyDescent="0.25">
      <c r="A35" s="8"/>
      <c r="B35" s="11">
        <f>MAX(הפחתה[[#This Row],[מס'']],הפחתה5[[#This Row],[מס'']],הפחתה7[[#This Row],[מס'']],הפחתה8[[#This Row],[מס'']])</f>
        <v>32</v>
      </c>
      <c r="C35" s="12">
        <f ca="1">IF(ValuesEntered,IF(הפחתה23[[#This Row],[מס'']]&lt;=תקופת_ההלוואה,IF(ROW()-ROW(הפחתה[[#Headers],[תאריך]])=1,LoanStart,IF(I34&gt;0,EDATE(C34,1),"")),""),"")</f>
        <v>46327</v>
      </c>
      <c r="D35" s="13">
        <f ca="1">SUM(הפחתה[[#This Row],[יתרת פתיחה]],הפחתה5[[#This Row],[יתרת פתיחה]],הפחתה7[[#This Row],[יתרת פתיחה]],הפחתה8[[#This Row],[יתרת פתיחה]])</f>
        <v>957090.1364389091</v>
      </c>
      <c r="E35" s="13">
        <f ca="1">SUM(הפחתה[[#This Row],[ריבית]],הפחתה5[[#This Row],[ריבית]],הפחתה7[[#This Row],[ריבית]],הפחתה8[[#This Row],[ריבית]])</f>
        <v>3837.2751148628272</v>
      </c>
      <c r="F35" s="13">
        <f ca="1">SUM(הפחתה[[#This Row],[קרן]],הפחתה5[[#This Row],[קרן]],הפחתה7[[#This Row],[קרן]],הפחתה8[[#This Row],[קרן]])</f>
        <v>1652.2002107653714</v>
      </c>
      <c r="G35" s="13">
        <f ca="1">IF(הפחתה23[[#This Row],[תאריך]]="",0,PropertyTaxAmount)</f>
        <v>0</v>
      </c>
      <c r="H35" s="13">
        <f ca="1">IF(הפחתה23[[#This Row],[תאריך]]="",0,הפחתה23[[#This Row],[ריבית]]+הפחתה23[[#This Row],[קרן]]+הפחתה23[[#This Row],[מס
רכוש]])</f>
        <v>5489.4753256281983</v>
      </c>
      <c r="I35" s="13">
        <f ca="1">IF(הפחתה23[[#This Row],[תאריך]]="",0,הפחתה23[[#This Row],[יתרת פתיחה]]-הפחתה23[[#This Row],[קרן]])</f>
        <v>955437.93622814375</v>
      </c>
      <c r="J35" s="11">
        <f ca="1">MAX(הפחתה[[#This Row],[תשלומים
שנותרו]],הפחתה5[[#This Row],[תשלומים
שנותרו]],הפחתה7[[#This Row],[תשלומים
שנותרו]],הפחתה8[[#This Row],[תשלומים
שנותרו]])</f>
        <v>328</v>
      </c>
    </row>
    <row r="36" spans="1:10" ht="15" customHeight="1" x14ac:dyDescent="0.25">
      <c r="A36" s="8"/>
      <c r="B36" s="11">
        <f>MAX(הפחתה[[#This Row],[מס'']],הפחתה5[[#This Row],[מס'']],הפחתה7[[#This Row],[מס'']],הפחתה8[[#This Row],[מס'']])</f>
        <v>33</v>
      </c>
      <c r="C36" s="12">
        <f ca="1">IF(ValuesEntered,IF(הפחתה23[[#This Row],[מס'']]&lt;=תקופת_ההלוואה,IF(ROW()-ROW(הפחתה[[#Headers],[תאריך]])=1,LoanStart,IF(I35&gt;0,EDATE(C35,1),"")),""),"")</f>
        <v>46357</v>
      </c>
      <c r="D36" s="13">
        <f ca="1">SUM(הפחתה[[#This Row],[יתרת פתיחה]],הפחתה5[[#This Row],[יתרת פתיחה]],הפחתה7[[#This Row],[יתרת פתיחה]],הפחתה8[[#This Row],[יתרת פתיחה]])</f>
        <v>955599.62664548494</v>
      </c>
      <c r="E36" s="13">
        <f ca="1">SUM(הפחתה[[#This Row],[ריבית]],הפחתה5[[#This Row],[ריבית]],הפחתה7[[#This Row],[ריבית]],הפחתה8[[#This Row],[ריבית]])</f>
        <v>3831.2483868743498</v>
      </c>
      <c r="F36" s="13">
        <f ca="1">SUM(הפחתה[[#This Row],[קרן]],הפחתה5[[#This Row],[קרן]],הפחתה7[[#This Row],[קרן]],הפחתה8[[#This Row],[קרן]])</f>
        <v>1658.9723545047032</v>
      </c>
      <c r="G36" s="13">
        <f ca="1">IF(הפחתה23[[#This Row],[תאריך]]="",0,PropertyTaxAmount)</f>
        <v>0</v>
      </c>
      <c r="H36" s="13">
        <f ca="1">IF(הפחתה23[[#This Row],[תאריך]]="",0,הפחתה23[[#This Row],[ריבית]]+הפחתה23[[#This Row],[קרן]]+הפחתה23[[#This Row],[מס
רכוש]])</f>
        <v>5490.2207413790529</v>
      </c>
      <c r="I36" s="13">
        <f ca="1">IF(הפחתה23[[#This Row],[תאריך]]="",0,הפחתה23[[#This Row],[יתרת פתיחה]]-הפחתה23[[#This Row],[קרן]])</f>
        <v>953940.65429098019</v>
      </c>
      <c r="J36" s="11">
        <f ca="1">MAX(הפחתה[[#This Row],[תשלומים
שנותרו]],הפחתה5[[#This Row],[תשלומים
שנותרו]],הפחתה7[[#This Row],[תשלומים
שנותרו]],הפחתה8[[#This Row],[תשלומים
שנותרו]])</f>
        <v>327</v>
      </c>
    </row>
    <row r="37" spans="1:10" ht="15" customHeight="1" x14ac:dyDescent="0.25">
      <c r="A37" s="8"/>
      <c r="B37" s="11">
        <f>MAX(הפחתה[[#This Row],[מס'']],הפחתה5[[#This Row],[מס'']],הפחתה7[[#This Row],[מס'']],הפחתה8[[#This Row],[מס'']])</f>
        <v>34</v>
      </c>
      <c r="C37" s="12">
        <f ca="1">IF(ValuesEntered,IF(הפחתה23[[#This Row],[מס'']]&lt;=תקופת_ההלוואה,IF(ROW()-ROW(הפחתה[[#Headers],[תאריך]])=1,LoanStart,IF(I36&gt;0,EDATE(C36,1),"")),""),"")</f>
        <v>46388</v>
      </c>
      <c r="D37" s="13">
        <f ca="1">SUM(הפחתה[[#This Row],[יתרת פתיחה]],הפחתה5[[#This Row],[יתרת פתיחה]],הפחתה7[[#This Row],[יתרת פתיחה]],הפחתה8[[#This Row],[יתרת פתיחה]])</f>
        <v>954102.15424617124</v>
      </c>
      <c r="E37" s="13">
        <f ca="1">SUM(הפחתה[[#This Row],[ריבית]],הפחתה5[[#This Row],[ריבית]],הפחתה7[[#This Row],[ריבית]],הפחתה8[[#This Row],[ריבית]])</f>
        <v>3825.1949119702704</v>
      </c>
      <c r="F37" s="13">
        <f ca="1">SUM(הפחתה[[#This Row],[קרן]],הפחתה5[[#This Row],[קרן]],הפחתה7[[#This Row],[קרן]],הפחתה8[[#This Row],[קרן]])</f>
        <v>1665.7724324369394</v>
      </c>
      <c r="G37" s="13">
        <f ca="1">IF(הפחתה23[[#This Row],[תאריך]]="",0,PropertyTaxAmount)</f>
        <v>0</v>
      </c>
      <c r="H37" s="13">
        <f ca="1">IF(הפחתה23[[#This Row],[תאריך]]="",0,הפחתה23[[#This Row],[ריבית]]+הפחתה23[[#This Row],[קרן]]+הפחתה23[[#This Row],[מס
רכוש]])</f>
        <v>5490.9673444072096</v>
      </c>
      <c r="I37" s="13">
        <f ca="1">IF(הפחתה23[[#This Row],[תאריך]]="",0,הפחתה23[[#This Row],[יתרת פתיחה]]-הפחתה23[[#This Row],[קרן]])</f>
        <v>952436.3818137343</v>
      </c>
      <c r="J37" s="11">
        <f ca="1">MAX(הפחתה[[#This Row],[תשלומים
שנותרו]],הפחתה5[[#This Row],[תשלומים
שנותרו]],הפחתה7[[#This Row],[תשלומים
שנותרו]],הפחתה8[[#This Row],[תשלומים
שנותרו]])</f>
        <v>326</v>
      </c>
    </row>
    <row r="38" spans="1:10" ht="15" customHeight="1" x14ac:dyDescent="0.25">
      <c r="A38" s="8"/>
      <c r="B38" s="11">
        <f>MAX(הפחתה[[#This Row],[מס'']],הפחתה5[[#This Row],[מס'']],הפחתה7[[#This Row],[מס'']],הפחתה8[[#This Row],[מס'']])</f>
        <v>35</v>
      </c>
      <c r="C38" s="12">
        <f ca="1">IF(ValuesEntered,IF(הפחתה23[[#This Row],[מס'']]&lt;=תקופת_ההלוואה,IF(ROW()-ROW(הפחתה[[#Headers],[תאריך]])=1,LoanStart,IF(I37&gt;0,EDATE(C37,1),"")),""),"")</f>
        <v>46419</v>
      </c>
      <c r="D38" s="13">
        <f ca="1">SUM(הפחתה[[#This Row],[יתרת פתיחה]],הפחתה5[[#This Row],[יתרת פתיחה]],הפחתה7[[#This Row],[יתרת פתיחה]],הפחתה8[[#This Row],[יתרת פתיחה]])</f>
        <v>952597.68933753727</v>
      </c>
      <c r="E38" s="13">
        <f ca="1">SUM(הפחתה[[#This Row],[ריבית]],הפחתה5[[#This Row],[ריבית]],הפחתה7[[#This Row],[ריבית]],הפחתה8[[#This Row],[ריבית]])</f>
        <v>3819.1145759950027</v>
      </c>
      <c r="F38" s="13">
        <f ca="1">SUM(הפחתה[[#This Row],[קרן]],הפחתה5[[#This Row],[קרן]],הפחתה7[[#This Row],[קרן]],הפחתה8[[#This Row],[קרן]])</f>
        <v>1672.6005605286291</v>
      </c>
      <c r="G38" s="13">
        <f ca="1">IF(הפחתה23[[#This Row],[תאריך]]="",0,PropertyTaxAmount)</f>
        <v>0</v>
      </c>
      <c r="H38" s="13">
        <f ca="1">IF(הפחתה23[[#This Row],[תאריך]]="",0,הפחתה23[[#This Row],[ריבית]]+הפחתה23[[#This Row],[קרן]]+הפחתה23[[#This Row],[מס
רכוש]])</f>
        <v>5491.7151365236314</v>
      </c>
      <c r="I38" s="13">
        <f ca="1">IF(הפחתה23[[#This Row],[תאריך]]="",0,הפחתה23[[#This Row],[יתרת פתיחה]]-הפחתה23[[#This Row],[קרן]])</f>
        <v>950925.0887770087</v>
      </c>
      <c r="J38" s="11">
        <f ca="1">MAX(הפחתה[[#This Row],[תשלומים
שנותרו]],הפחתה5[[#This Row],[תשלומים
שנותרו]],הפחתה7[[#This Row],[תשלומים
שנותרו]],הפחתה8[[#This Row],[תשלומים
שנותרו]])</f>
        <v>325</v>
      </c>
    </row>
    <row r="39" spans="1:10" ht="15" customHeight="1" x14ac:dyDescent="0.25">
      <c r="A39" s="8"/>
      <c r="B39" s="11">
        <f>MAX(הפחתה[[#This Row],[מס'']],הפחתה5[[#This Row],[מס'']],הפחתה7[[#This Row],[מס'']],הפחתה8[[#This Row],[מס'']])</f>
        <v>36</v>
      </c>
      <c r="C39" s="12">
        <f ca="1">IF(ValuesEntered,IF(הפחתה23[[#This Row],[מס'']]&lt;=תקופת_ההלוואה,IF(ROW()-ROW(הפחתה[[#Headers],[תאריך]])=1,LoanStart,IF(I38&gt;0,EDATE(C38,1),"")),""),"")</f>
        <v>46447</v>
      </c>
      <c r="D39" s="13">
        <f ca="1">SUM(הפחתה[[#This Row],[יתרת פתיחה]],הפחתה5[[#This Row],[יתרת פתיחה]],הפחתה7[[#This Row],[יתרת פתיחה]],הפחתה8[[#This Row],[יתרת פתיחה]])</f>
        <v>951086.2018909615</v>
      </c>
      <c r="E39" s="13">
        <f ca="1">SUM(הפחתה[[#This Row],[ריבית]],הפחתה5[[#This Row],[ריבית]],הפחתה7[[#This Row],[ריבית]],הפחתה8[[#This Row],[ריבית]])</f>
        <v>3813.0072643111771</v>
      </c>
      <c r="F39" s="13">
        <f ca="1">SUM(הפחתה[[#This Row],[קרן]],הפחתה5[[#This Row],[קרן]],הפחתה7[[#This Row],[קרן]],הפחתה8[[#This Row],[קרן]])</f>
        <v>1679.4568552313231</v>
      </c>
      <c r="G39" s="13">
        <f ca="1">IF(הפחתה23[[#This Row],[תאריך]]="",0,PropertyTaxAmount)</f>
        <v>0</v>
      </c>
      <c r="H39" s="13">
        <f ca="1">IF(הפחתה23[[#This Row],[תאריך]]="",0,הפחתה23[[#This Row],[ריבית]]+הפחתה23[[#This Row],[קרן]]+הפחתה23[[#This Row],[מס
רכוש]])</f>
        <v>5492.4641195425002</v>
      </c>
      <c r="I39" s="13">
        <f ca="1">IF(הפחתה23[[#This Row],[תאריך]]="",0,הפחתה23[[#This Row],[יתרת פתיחה]]-הפחתה23[[#This Row],[קרן]])</f>
        <v>949406.74503573019</v>
      </c>
      <c r="J39" s="11">
        <f ca="1">MAX(הפחתה[[#This Row],[תשלומים
שנותרו]],הפחתה5[[#This Row],[תשלומים
שנותרו]],הפחתה7[[#This Row],[תשלומים
שנותרו]],הפחתה8[[#This Row],[תשלומים
שנותרו]])</f>
        <v>324</v>
      </c>
    </row>
    <row r="40" spans="1:10" ht="15" customHeight="1" x14ac:dyDescent="0.25">
      <c r="A40" s="8"/>
      <c r="B40" s="11">
        <f>MAX(הפחתה[[#This Row],[מס'']],הפחתה5[[#This Row],[מס'']],הפחתה7[[#This Row],[מס'']],הפחתה8[[#This Row],[מס'']])</f>
        <v>37</v>
      </c>
      <c r="C40" s="12">
        <f ca="1">IF(ValuesEntered,IF(הפחתה23[[#This Row],[מס'']]&lt;=תקופת_ההלוואה,IF(ROW()-ROW(הפחתה[[#Headers],[תאריך]])=1,LoanStart,IF(I39&gt;0,EDATE(C39,1),"")),""),"")</f>
        <v>46478</v>
      </c>
      <c r="D40" s="13">
        <f ca="1">SUM(הפחתה[[#This Row],[יתרת פתיחה]],הפחתה5[[#This Row],[יתרת פתיחה]],הפחתה7[[#This Row],[יתרת פתיחה]],הפחתה8[[#This Row],[יתרת פתיחה]])</f>
        <v>949567.6617521086</v>
      </c>
      <c r="E40" s="13">
        <f ca="1">SUM(הפחתה[[#This Row],[ריבית]],הפחתה5[[#This Row],[ריבית]],הפחתה7[[#This Row],[ריבית]],הפחתה8[[#This Row],[ריבית]])</f>
        <v>3806.8728617976149</v>
      </c>
      <c r="F40" s="13">
        <f ca="1">SUM(הפחתה[[#This Row],[קרן]],הפחתה5[[#This Row],[קרן]],הפחתה7[[#This Row],[קרן]],הפחתה8[[#This Row],[קרן]])</f>
        <v>1686.341433483625</v>
      </c>
      <c r="G40" s="13">
        <f ca="1">IF(הפחתה23[[#This Row],[תאריך]]="",0,PropertyTaxAmount)</f>
        <v>0</v>
      </c>
      <c r="H40" s="13">
        <f ca="1">IF(הפחתה23[[#This Row],[תאריך]]="",0,הפחתה23[[#This Row],[ריבית]]+הפחתה23[[#This Row],[קרן]]+הפחתה23[[#This Row],[מס
רכוש]])</f>
        <v>5493.2142952812401</v>
      </c>
      <c r="I40" s="13">
        <f ca="1">IF(הפחתה23[[#This Row],[תאריך]]="",0,הפחתה23[[#This Row],[יתרת פתיחה]]-הפחתה23[[#This Row],[קרן]])</f>
        <v>947881.32031862496</v>
      </c>
      <c r="J40" s="11">
        <f ca="1">MAX(הפחתה[[#This Row],[תשלומים
שנותרו]],הפחתה5[[#This Row],[תשלומים
שנותרו]],הפחתה7[[#This Row],[תשלומים
שנותרו]],הפחתה8[[#This Row],[תשלומים
שנותרו]])</f>
        <v>323</v>
      </c>
    </row>
    <row r="41" spans="1:10" ht="15" customHeight="1" x14ac:dyDescent="0.25">
      <c r="A41" s="8"/>
      <c r="B41" s="11">
        <f>MAX(הפחתה[[#This Row],[מס'']],הפחתה5[[#This Row],[מס'']],הפחתה7[[#This Row],[מס'']],הפחתה8[[#This Row],[מס'']])</f>
        <v>38</v>
      </c>
      <c r="C41" s="12">
        <f ca="1">IF(ValuesEntered,IF(הפחתה23[[#This Row],[מס'']]&lt;=תקופת_ההלוואה,IF(ROW()-ROW(הפחתה[[#Headers],[תאריך]])=1,LoanStart,IF(I40&gt;0,EDATE(C40,1),"")),""),"")</f>
        <v>46508</v>
      </c>
      <c r="D41" s="13">
        <f ca="1">SUM(הפחתה[[#This Row],[יתרת פתיחה]],הפחתה5[[#This Row],[יתרת פתיחה]],הפחתה7[[#This Row],[יתרת פתיחה]],הפחתה8[[#This Row],[יתרת פתיחה]])</f>
        <v>948042.03864040691</v>
      </c>
      <c r="E41" s="13">
        <f ca="1">SUM(הפחתה[[#This Row],[ריבית]],הפחתה5[[#This Row],[ריבית]],הפחתה7[[#This Row],[ריבית]],הפחתה8[[#This Row],[ריבית]])</f>
        <v>3800.7112528472835</v>
      </c>
      <c r="F41" s="13">
        <f ca="1">SUM(הפחתה[[#This Row],[קרן]],הפחתה5[[#This Row],[קרן]],הפחתה7[[#This Row],[קרן]],הפחתה8[[#This Row],[קרן]])</f>
        <v>1693.2544127132555</v>
      </c>
      <c r="G41" s="13">
        <f ca="1">IF(הפחתה23[[#This Row],[תאריך]]="",0,PropertyTaxAmount)</f>
        <v>0</v>
      </c>
      <c r="H41" s="13">
        <f ca="1">IF(הפחתה23[[#This Row],[תאריך]]="",0,הפחתה23[[#This Row],[ריבית]]+הפחתה23[[#This Row],[קרן]]+הפחתה23[[#This Row],[מס
רכוש]])</f>
        <v>5493.9656655605395</v>
      </c>
      <c r="I41" s="13">
        <f ca="1">IF(הפחתה23[[#This Row],[תאריך]]="",0,הפחתה23[[#This Row],[יתרת פתיחה]]-הפחתה23[[#This Row],[קרן]])</f>
        <v>946348.78422769369</v>
      </c>
      <c r="J41" s="11">
        <f ca="1">MAX(הפחתה[[#This Row],[תשלומים
שנותרו]],הפחתה5[[#This Row],[תשלומים
שנותרו]],הפחתה7[[#This Row],[תשלומים
שנותרו]],הפחתה8[[#This Row],[תשלומים
שנותרו]])</f>
        <v>322</v>
      </c>
    </row>
    <row r="42" spans="1:10" ht="15" customHeight="1" x14ac:dyDescent="0.25">
      <c r="A42" s="8"/>
      <c r="B42" s="11">
        <f>MAX(הפחתה[[#This Row],[מס'']],הפחתה5[[#This Row],[מס'']],הפחתה7[[#This Row],[מס'']],הפחתה8[[#This Row],[מס'']])</f>
        <v>39</v>
      </c>
      <c r="C42" s="12">
        <f ca="1">IF(ValuesEntered,IF(הפחתה23[[#This Row],[מס'']]&lt;=תקופת_ההלוואה,IF(ROW()-ROW(הפחתה[[#Headers],[תאריך]])=1,LoanStart,IF(I41&gt;0,EDATE(C41,1),"")),""),"")</f>
        <v>46539</v>
      </c>
      <c r="D42" s="13">
        <f ca="1">SUM(הפחתה[[#This Row],[יתרת פתיחה]],הפחתה5[[#This Row],[יתרת פתיחה]],הפחתה7[[#This Row],[יתרת פתיחה]],הפחתה8[[#This Row],[יתרת פתיחה]])</f>
        <v>946509.3021485206</v>
      </c>
      <c r="E42" s="13">
        <f ca="1">SUM(הפחתה[[#This Row],[ריבית]],הפחתה5[[#This Row],[ריבית]],הפחתה7[[#This Row],[ריבית]],הפחתה8[[#This Row],[ריבית]])</f>
        <v>3794.5223213652471</v>
      </c>
      <c r="F42" s="13">
        <f ca="1">SUM(הפחתה[[#This Row],[קרן]],הפחתה5[[#This Row],[קרן]],הפחתה7[[#This Row],[קרן]],הפחתה8[[#This Row],[קרן]])</f>
        <v>1700.1959108391254</v>
      </c>
      <c r="G42" s="13">
        <f ca="1">IF(הפחתה23[[#This Row],[תאריך]]="",0,PropertyTaxAmount)</f>
        <v>0</v>
      </c>
      <c r="H42" s="13">
        <f ca="1">IF(הפחתה23[[#This Row],[תאריך]]="",0,הפחתה23[[#This Row],[ריבית]]+הפחתה23[[#This Row],[קרן]]+הפחתה23[[#This Row],[מס
רכוש]])</f>
        <v>5494.7182322043727</v>
      </c>
      <c r="I42" s="13">
        <f ca="1">IF(הפחתה23[[#This Row],[תאריך]]="",0,הפחתה23[[#This Row],[יתרת פתיחה]]-הפחתה23[[#This Row],[קרן]])</f>
        <v>944809.10623768147</v>
      </c>
      <c r="J42" s="11">
        <f ca="1">MAX(הפחתה[[#This Row],[תשלומים
שנותרו]],הפחתה5[[#This Row],[תשלומים
שנותרו]],הפחתה7[[#This Row],[תשלומים
שנותרו]],הפחתה8[[#This Row],[תשלומים
שנותרו]])</f>
        <v>321</v>
      </c>
    </row>
    <row r="43" spans="1:10" ht="15" customHeight="1" x14ac:dyDescent="0.25">
      <c r="A43" s="8"/>
      <c r="B43" s="11">
        <f>MAX(הפחתה[[#This Row],[מס'']],הפחתה5[[#This Row],[מס'']],הפחתה7[[#This Row],[מס'']],הפחתה8[[#This Row],[מס'']])</f>
        <v>40</v>
      </c>
      <c r="C43" s="12">
        <f ca="1">IF(ValuesEntered,IF(הפחתה23[[#This Row],[מס'']]&lt;=תקופת_ההלוואה,IF(ROW()-ROW(הפחתה[[#Headers],[תאריך]])=1,LoanStart,IF(I42&gt;0,EDATE(C42,1),"")),""),"")</f>
        <v>46569</v>
      </c>
      <c r="D43" s="13">
        <f ca="1">SUM(הפחתה[[#This Row],[יתרת פתיחה]],הפחתה5[[#This Row],[יתרת פתיחה]],הפחתה7[[#This Row],[יתרת פתיחה]],הפחתה8[[#This Row],[יתרת פתיחה]])</f>
        <v>944969.42174182192</v>
      </c>
      <c r="E43" s="13">
        <f ca="1">SUM(הפחתה[[#This Row],[ריבית]],הפחתה5[[#This Row],[ריבית]],הפחתה7[[#This Row],[ריבית]],הפחתה8[[#This Row],[ריבית]])</f>
        <v>3788.3059507666112</v>
      </c>
      <c r="F43" s="13">
        <f ca="1">SUM(הפחתה[[#This Row],[קרן]],הפחתה5[[#This Row],[קרן]],הפחתה7[[#This Row],[קרן]],הפחתה8[[#This Row],[קרן]])</f>
        <v>1707.1660462734167</v>
      </c>
      <c r="G43" s="13">
        <f ca="1">IF(הפחתה23[[#This Row],[תאריך]]="",0,PropertyTaxAmount)</f>
        <v>0</v>
      </c>
      <c r="H43" s="13">
        <f ca="1">IF(הפחתה23[[#This Row],[תאריך]]="",0,הפחתה23[[#This Row],[ריבית]]+הפחתה23[[#This Row],[קרן]]+הפחתה23[[#This Row],[מס
רכוש]])</f>
        <v>5495.4719970400274</v>
      </c>
      <c r="I43" s="13">
        <f ca="1">IF(הפחתה23[[#This Row],[תאריך]]="",0,הפחתה23[[#This Row],[יתרת פתיחה]]-הפחתה23[[#This Row],[קרן]])</f>
        <v>943262.25569554849</v>
      </c>
      <c r="J43" s="11">
        <f ca="1">MAX(הפחתה[[#This Row],[תשלומים
שנותרו]],הפחתה5[[#This Row],[תשלומים
שנותרו]],הפחתה7[[#This Row],[תשלומים
שנותרו]],הפחתה8[[#This Row],[תשלומים
שנותרו]])</f>
        <v>320</v>
      </c>
    </row>
    <row r="44" spans="1:10" ht="15" customHeight="1" x14ac:dyDescent="0.25">
      <c r="A44" s="8"/>
      <c r="B44" s="11">
        <f>MAX(הפחתה[[#This Row],[מס'']],הפחתה5[[#This Row],[מס'']],הפחתה7[[#This Row],[מס'']],הפחתה8[[#This Row],[מס'']])</f>
        <v>41</v>
      </c>
      <c r="C44" s="12">
        <f ca="1">IF(ValuesEntered,IF(הפחתה23[[#This Row],[מס'']]&lt;=תקופת_ההלוואה,IF(ROW()-ROW(הפחתה[[#Headers],[תאריך]])=1,LoanStart,IF(I43&gt;0,EDATE(C43,1),"")),""),"")</f>
        <v>46600</v>
      </c>
      <c r="D44" s="13">
        <f ca="1">SUM(הפחתה[[#This Row],[יתרת פתיחה]],הפחתה5[[#This Row],[יתרת פתיחה]],הפחתה7[[#This Row],[יתרת פתיחה]],הפחתה8[[#This Row],[יתרת פתיחה]])</f>
        <v>943422.36675786111</v>
      </c>
      <c r="E44" s="13">
        <f ca="1">SUM(הפחתה[[#This Row],[ריבית]],הפחתה5[[#This Row],[ריבית]],הפחתה7[[#This Row],[ריבית]],הפחתה8[[#This Row],[ריבית]])</f>
        <v>3782.0620239744521</v>
      </c>
      <c r="F44" s="13">
        <f ca="1">SUM(הפחתה[[#This Row],[קרן]],הפחתה5[[#This Row],[קרן]],הפחתה7[[#This Row],[קרן]],הפחתה8[[#This Row],[קרן]])</f>
        <v>1714.1649379236715</v>
      </c>
      <c r="G44" s="13">
        <f ca="1">IF(הפחתה23[[#This Row],[תאריך]]="",0,PropertyTaxAmount)</f>
        <v>0</v>
      </c>
      <c r="H44" s="13">
        <f ca="1">IF(הפחתה23[[#This Row],[תאריך]]="",0,הפחתה23[[#This Row],[ריבית]]+הפחתה23[[#This Row],[קרן]]+הפחתה23[[#This Row],[מס
רכוש]])</f>
        <v>5496.2269618981236</v>
      </c>
      <c r="I44" s="13">
        <f ca="1">IF(הפחתה23[[#This Row],[תאריך]]="",0,הפחתה23[[#This Row],[יתרת פתיחה]]-הפחתה23[[#This Row],[קרן]])</f>
        <v>941708.20181993744</v>
      </c>
      <c r="J44" s="11">
        <f ca="1">MAX(הפחתה[[#This Row],[תשלומים
שנותרו]],הפחתה5[[#This Row],[תשלומים
שנותרו]],הפחתה7[[#This Row],[תשלומים
שנותרו]],הפחתה8[[#This Row],[תשלומים
שנותרו]])</f>
        <v>319</v>
      </c>
    </row>
    <row r="45" spans="1:10" ht="15" customHeight="1" x14ac:dyDescent="0.25">
      <c r="A45" s="8"/>
      <c r="B45" s="11">
        <f>MAX(הפחתה[[#This Row],[מס'']],הפחתה5[[#This Row],[מס'']],הפחתה7[[#This Row],[מס'']],הפחתה8[[#This Row],[מס'']])</f>
        <v>42</v>
      </c>
      <c r="C45" s="12">
        <f ca="1">IF(ValuesEntered,IF(הפחתה23[[#This Row],[מס'']]&lt;=תקופת_ההלוואה,IF(ROW()-ROW(הפחתה[[#Headers],[תאריך]])=1,LoanStart,IF(I44&gt;0,EDATE(C44,1),"")),""),"")</f>
        <v>46631</v>
      </c>
      <c r="D45" s="13">
        <f ca="1">SUM(הפחתה[[#This Row],[יתרת פתיחה]],הפחתה5[[#This Row],[יתרת פתיחה]],הפחתה7[[#This Row],[יתרת פתיחה]],הפחתה8[[#This Row],[יתרת פתיחה]])</f>
        <v>941868.10640583211</v>
      </c>
      <c r="E45" s="13">
        <f ca="1">SUM(הפחתה[[#This Row],[ריבית]],הפחתה5[[#This Row],[ריבית]],הפחתה7[[#This Row],[ריבית]],הפחתה8[[#This Row],[ריבית]])</f>
        <v>3775.7904234177422</v>
      </c>
      <c r="F45" s="13">
        <f ca="1">SUM(הפחתה[[#This Row],[קרן]],הפחתה5[[#This Row],[קרן]],הפחתה7[[#This Row],[קרן]],הפחתה8[[#This Row],[קרן]])</f>
        <v>1721.192705194894</v>
      </c>
      <c r="G45" s="13">
        <f ca="1">IF(הפחתה23[[#This Row],[תאריך]]="",0,PropertyTaxAmount)</f>
        <v>0</v>
      </c>
      <c r="H45" s="13">
        <f ca="1">IF(הפחתה23[[#This Row],[תאריך]]="",0,הפחתה23[[#This Row],[ריבית]]+הפחתה23[[#This Row],[קרן]]+הפחתה23[[#This Row],[מס
רכוש]])</f>
        <v>5496.9831286126364</v>
      </c>
      <c r="I45" s="13">
        <f ca="1">IF(הפחתה23[[#This Row],[תאריך]]="",0,הפחתה23[[#This Row],[יתרת פתיחה]]-הפחתה23[[#This Row],[קרן]])</f>
        <v>940146.91370063717</v>
      </c>
      <c r="J45" s="11">
        <f ca="1">MAX(הפחתה[[#This Row],[תשלומים
שנותרו]],הפחתה5[[#This Row],[תשלומים
שנותרו]],הפחתה7[[#This Row],[תשלומים
שנותרו]],הפחתה8[[#This Row],[תשלומים
שנותרו]])</f>
        <v>318</v>
      </c>
    </row>
    <row r="46" spans="1:10" ht="15" customHeight="1" x14ac:dyDescent="0.25">
      <c r="A46" s="8"/>
      <c r="B46" s="11">
        <f>MAX(הפחתה[[#This Row],[מס'']],הפחתה5[[#This Row],[מס'']],הפחתה7[[#This Row],[מס'']],הפחתה8[[#This Row],[מס'']])</f>
        <v>43</v>
      </c>
      <c r="C46" s="12">
        <f ca="1">IF(ValuesEntered,IF(הפחתה23[[#This Row],[מס'']]&lt;=תקופת_ההלוואה,IF(ROW()-ROW(הפחתה[[#Headers],[תאריך]])=1,LoanStart,IF(I45&gt;0,EDATE(C45,1),"")),""),"")</f>
        <v>46661</v>
      </c>
      <c r="D46" s="13">
        <f ca="1">SUM(הפחתה[[#This Row],[יתרת פתיחה]],הפחתה5[[#This Row],[יתרת פתיחה]],הפחתה7[[#This Row],[יתרת פתיחה]],הפחתה8[[#This Row],[יתרת פתיחה]])</f>
        <v>940306.6097660386</v>
      </c>
      <c r="E46" s="13">
        <f ca="1">SUM(הפחתה[[#This Row],[ריבית]],הפחתה5[[#This Row],[ריבית]],הפחתה7[[#This Row],[ריבית]],הפחתה8[[#This Row],[ריבית]])</f>
        <v>3769.4910310292676</v>
      </c>
      <c r="F46" s="13">
        <f ca="1">SUM(הפחתה[[#This Row],[קרן]],הפחתה5[[#This Row],[קרן]],הפחתה7[[#This Row],[קרן]],הפחתה8[[#This Row],[קרן]])</f>
        <v>1728.2494679916595</v>
      </c>
      <c r="G46" s="13">
        <f ca="1">IF(הפחתה23[[#This Row],[תאריך]]="",0,PropertyTaxAmount)</f>
        <v>0</v>
      </c>
      <c r="H46" s="13">
        <f ca="1">IF(הפחתה23[[#This Row],[תאריך]]="",0,הפחתה23[[#This Row],[ריבית]]+הפחתה23[[#This Row],[קרן]]+הפחתה23[[#This Row],[מס
רכוש]])</f>
        <v>5497.740499020927</v>
      </c>
      <c r="I46" s="13">
        <f ca="1">IF(הפחתה23[[#This Row],[תאריך]]="",0,הפחתה23[[#This Row],[יתרת פתיחה]]-הפחתה23[[#This Row],[קרן]])</f>
        <v>938578.36029804696</v>
      </c>
      <c r="J46" s="11">
        <f ca="1">MAX(הפחתה[[#This Row],[תשלומים
שנותרו]],הפחתה5[[#This Row],[תשלומים
שנותרו]],הפחתה7[[#This Row],[תשלומים
שנותרו]],הפחתה8[[#This Row],[תשלומים
שנותרו]])</f>
        <v>317</v>
      </c>
    </row>
    <row r="47" spans="1:10" ht="15" customHeight="1" x14ac:dyDescent="0.25">
      <c r="A47" s="8"/>
      <c r="B47" s="11">
        <f>MAX(הפחתה[[#This Row],[מס'']],הפחתה5[[#This Row],[מס'']],הפחתה7[[#This Row],[מס'']],הפחתה8[[#This Row],[מס'']])</f>
        <v>44</v>
      </c>
      <c r="C47" s="12">
        <f ca="1">IF(ValuesEntered,IF(הפחתה23[[#This Row],[מס'']]&lt;=תקופת_ההלוואה,IF(ROW()-ROW(הפחתה[[#Headers],[תאריך]])=1,LoanStart,IF(I46&gt;0,EDATE(C46,1),"")),""),"")</f>
        <v>46692</v>
      </c>
      <c r="D47" s="13">
        <f ca="1">SUM(הפחתה[[#This Row],[יתרת פתיחה]],הפחתה5[[#This Row],[יתרת פתיחה]],הפחתה7[[#This Row],[יתרת פתיחה]],הפחתה8[[#This Row],[יתרת פתיחה]])</f>
        <v>938737.84578935569</v>
      </c>
      <c r="E47" s="13">
        <f ca="1">SUM(הפחתה[[#This Row],[ריבית]],הפחתה5[[#This Row],[ריבית]],הפחתה7[[#This Row],[ריבית]],הפחתה8[[#This Row],[ריבית]])</f>
        <v>3763.1637282435308</v>
      </c>
      <c r="F47" s="13">
        <f ca="1">SUM(הפחתה[[#This Row],[קרן]],הפחתה5[[#This Row],[קרן]],הפחתה7[[#This Row],[קרן]],הפחתה8[[#This Row],[קרן]])</f>
        <v>1735.3353467202314</v>
      </c>
      <c r="G47" s="13">
        <f ca="1">IF(הפחתה23[[#This Row],[תאריך]]="",0,PropertyTaxAmount)</f>
        <v>0</v>
      </c>
      <c r="H47" s="13">
        <f ca="1">IF(הפחתה23[[#This Row],[תאריך]]="",0,הפחתה23[[#This Row],[ריבית]]+הפחתה23[[#This Row],[קרן]]+הפחתה23[[#This Row],[מס
רכוש]])</f>
        <v>5498.4990749637618</v>
      </c>
      <c r="I47" s="13">
        <f ca="1">IF(הפחתה23[[#This Row],[תאריך]]="",0,הפחתה23[[#This Row],[יתרת פתיחה]]-הפחתה23[[#This Row],[קרן]])</f>
        <v>937002.51044263551</v>
      </c>
      <c r="J47" s="11">
        <f ca="1">MAX(הפחתה[[#This Row],[תשלומים
שנותרו]],הפחתה5[[#This Row],[תשלומים
שנותרו]],הפחתה7[[#This Row],[תשלומים
שנותרו]],הפחתה8[[#This Row],[תשלומים
שנותרו]])</f>
        <v>316</v>
      </c>
    </row>
    <row r="48" spans="1:10" ht="15" customHeight="1" x14ac:dyDescent="0.25">
      <c r="A48" s="8"/>
      <c r="B48" s="11">
        <f>MAX(הפחתה[[#This Row],[מס'']],הפחתה5[[#This Row],[מס'']],הפחתה7[[#This Row],[מס'']],הפחתה8[[#This Row],[מס'']])</f>
        <v>45</v>
      </c>
      <c r="C48" s="12">
        <f ca="1">IF(ValuesEntered,IF(הפחתה23[[#This Row],[מס'']]&lt;=תקופת_ההלוואה,IF(ROW()-ROW(הפחתה[[#Headers],[תאריך]])=1,LoanStart,IF(I47&gt;0,EDATE(C47,1),"")),""),"")</f>
        <v>46722</v>
      </c>
      <c r="D48" s="13">
        <f ca="1">SUM(הפחתה[[#This Row],[יתרת פתיחה]],הפחתה5[[#This Row],[יתרת פתיחה]],הפחתה7[[#This Row],[יתרת פתיחה]],הפחתה8[[#This Row],[יתרת פתיחה]])</f>
        <v>937161.78329669067</v>
      </c>
      <c r="E48" s="13">
        <f ca="1">SUM(הפחתה[[#This Row],[ריבית]],הפחתה5[[#This Row],[ריבית]],הפחתה7[[#This Row],[ריבית]],הפחתה8[[#This Row],[ריבית]])</f>
        <v>3756.8083959946539</v>
      </c>
      <c r="F48" s="13">
        <f ca="1">SUM(הפחתה[[#This Row],[קרן]],הפחתה5[[#This Row],[קרן]],הפחתה7[[#This Row],[קרן]],הפחתה8[[#This Row],[קרן]])</f>
        <v>1742.45046229069</v>
      </c>
      <c r="G48" s="13">
        <f ca="1">IF(הפחתה23[[#This Row],[תאריך]]="",0,PropertyTaxAmount)</f>
        <v>0</v>
      </c>
      <c r="H48" s="13">
        <f ca="1">IF(הפחתה23[[#This Row],[תאריך]]="",0,הפחתה23[[#This Row],[ריבית]]+הפחתה23[[#This Row],[קרן]]+הפחתה23[[#This Row],[מס
רכוש]])</f>
        <v>5499.2588582853441</v>
      </c>
      <c r="I48" s="13">
        <f ca="1">IF(הפחתה23[[#This Row],[תאריך]]="",0,הפחתה23[[#This Row],[יתרת פתיחה]]-הפחתה23[[#This Row],[קרן]])</f>
        <v>935419.3328344</v>
      </c>
      <c r="J48" s="11">
        <f ca="1">MAX(הפחתה[[#This Row],[תשלומים
שנותרו]],הפחתה5[[#This Row],[תשלומים
שנותרו]],הפחתה7[[#This Row],[תשלומים
שנותרו]],הפחתה8[[#This Row],[תשלומים
שנותרו]])</f>
        <v>315</v>
      </c>
    </row>
    <row r="49" spans="1:10" ht="15" customHeight="1" x14ac:dyDescent="0.25">
      <c r="A49" s="8"/>
      <c r="B49" s="11">
        <f>MAX(הפחתה[[#This Row],[מס'']],הפחתה5[[#This Row],[מס'']],הפחתה7[[#This Row],[מס'']],הפחתה8[[#This Row],[מס'']])</f>
        <v>46</v>
      </c>
      <c r="C49" s="12">
        <f ca="1">IF(ValuesEntered,IF(הפחתה23[[#This Row],[מס'']]&lt;=תקופת_ההלוואה,IF(ROW()-ROW(הפחתה[[#Headers],[תאריך]])=1,LoanStart,IF(I48&gt;0,EDATE(C48,1),"")),""),"")</f>
        <v>46753</v>
      </c>
      <c r="D49" s="13">
        <f ca="1">SUM(הפחתה[[#This Row],[יתרת פתיחה]],הפחתה5[[#This Row],[יתרת פתיחה]],הפחתה7[[#This Row],[יתרת פתיחה]],הפחתה8[[#This Row],[יתרת פתיחה]])</f>
        <v>935578.39097844099</v>
      </c>
      <c r="E49" s="13">
        <f ca="1">SUM(הפחתה[[#This Row],[ריבית]],הפחתה5[[#This Row],[ריבית]],הפחתה7[[#This Row],[ריבית]],הפחתה8[[#This Row],[ריבית]])</f>
        <v>3750.4249147142609</v>
      </c>
      <c r="F49" s="13">
        <f ca="1">SUM(הפחתה[[#This Row],[קרן]],הפחתה5[[#This Row],[קרן]],הפחתה7[[#This Row],[קרן]],הפחתה8[[#This Row],[קרן]])</f>
        <v>1749.5949361190699</v>
      </c>
      <c r="G49" s="13">
        <f ca="1">IF(הפחתה23[[#This Row],[תאריך]]="",0,PropertyTaxAmount)</f>
        <v>0</v>
      </c>
      <c r="H49" s="13">
        <f ca="1">IF(הפחתה23[[#This Row],[תאריך]]="",0,הפחתה23[[#This Row],[ריבית]]+הפחתה23[[#This Row],[קרן]]+הפחתה23[[#This Row],[מס
רכוש]])</f>
        <v>5500.0198508333306</v>
      </c>
      <c r="I49" s="13">
        <f ca="1">IF(הפחתה23[[#This Row],[תאריך]]="",0,הפחתה23[[#This Row],[יתרת פתיחה]]-הפחתה23[[#This Row],[קרן]])</f>
        <v>933828.79604232195</v>
      </c>
      <c r="J49" s="11">
        <f ca="1">MAX(הפחתה[[#This Row],[תשלומים
שנותרו]],הפחתה5[[#This Row],[תשלומים
שנותרו]],הפחתה7[[#This Row],[תשלומים
שנותרו]],הפחתה8[[#This Row],[תשלומים
שנותרו]])</f>
        <v>314</v>
      </c>
    </row>
    <row r="50" spans="1:10" ht="15" customHeight="1" x14ac:dyDescent="0.25">
      <c r="A50" s="8"/>
      <c r="B50" s="11">
        <f>MAX(הפחתה[[#This Row],[מס'']],הפחתה5[[#This Row],[מס'']],הפחתה7[[#This Row],[מס'']],הפחתה8[[#This Row],[מס'']])</f>
        <v>47</v>
      </c>
      <c r="C50" s="12">
        <f ca="1">IF(ValuesEntered,IF(הפחתה23[[#This Row],[מס'']]&lt;=תקופת_ההלוואה,IF(ROW()-ROW(הפחתה[[#Headers],[תאריך]])=1,LoanStart,IF(I49&gt;0,EDATE(C49,1),"")),""),"")</f>
        <v>46784</v>
      </c>
      <c r="D50" s="13">
        <f ca="1">SUM(הפחתה[[#This Row],[יתרת פתיחה]],הפחתה5[[#This Row],[יתרת פתיחה]],הפחתה7[[#This Row],[יתרת פתיחה]],הפחתה8[[#This Row],[יתרת פתיחה]])</f>
        <v>933987.63739394967</v>
      </c>
      <c r="E50" s="13">
        <f ca="1">SUM(הפחתה[[#This Row],[ריבית]],הפחתה5[[#This Row],[ריבית]],הפחתה7[[#This Row],[ריבית]],הפחתה8[[#This Row],[ריבית]])</f>
        <v>3744.0131643293603</v>
      </c>
      <c r="F50" s="13">
        <f ca="1">SUM(הפחתה[[#This Row],[קרן]],הפחתה5[[#This Row],[קרן]],הפחתה7[[#This Row],[קרן]],הפחתה8[[#This Row],[קרן]])</f>
        <v>1756.7688901295071</v>
      </c>
      <c r="G50" s="13">
        <f ca="1">IF(הפחתה23[[#This Row],[תאריך]]="",0,PropertyTaxAmount)</f>
        <v>0</v>
      </c>
      <c r="H50" s="13">
        <f ca="1">IF(הפחתה23[[#This Row],[תאריך]]="",0,הפחתה23[[#This Row],[ריבית]]+הפחתה23[[#This Row],[קרן]]+הפחתה23[[#This Row],[מס
רכוש]])</f>
        <v>5500.7820544588676</v>
      </c>
      <c r="I50" s="13">
        <f ca="1">IF(הפחתה23[[#This Row],[תאריך]]="",0,הפחתה23[[#This Row],[יתרת פתיחה]]-הפחתה23[[#This Row],[קרן]])</f>
        <v>932230.86850382015</v>
      </c>
      <c r="J50" s="11">
        <f ca="1">MAX(הפחתה[[#This Row],[תשלומים
שנותרו]],הפחתה5[[#This Row],[תשלומים
שנותרו]],הפחתה7[[#This Row],[תשלומים
שנותרו]],הפחתה8[[#This Row],[תשלומים
שנותרו]])</f>
        <v>313</v>
      </c>
    </row>
    <row r="51" spans="1:10" ht="15" customHeight="1" x14ac:dyDescent="0.25">
      <c r="A51" s="8"/>
      <c r="B51" s="11">
        <f>MAX(הפחתה[[#This Row],[מס'']],הפחתה5[[#This Row],[מס'']],הפחתה7[[#This Row],[מס'']],הפחתה8[[#This Row],[מס'']])</f>
        <v>48</v>
      </c>
      <c r="C51" s="12">
        <f ca="1">IF(ValuesEntered,IF(הפחתה23[[#This Row],[מס'']]&lt;=תקופת_ההלוואה,IF(ROW()-ROW(הפחתה[[#Headers],[תאריך]])=1,LoanStart,IF(I50&gt;0,EDATE(C50,1),"")),""),"")</f>
        <v>46813</v>
      </c>
      <c r="D51" s="13">
        <f ca="1">SUM(הפחתה[[#This Row],[יתרת פתיחה]],הפחתה5[[#This Row],[יתרת פתיחה]],הפחתה7[[#This Row],[יתרת פתיחה]],הפחתה8[[#This Row],[יתרת פתיחה]])</f>
        <v>932389.49097095942</v>
      </c>
      <c r="E51" s="13">
        <f ca="1">SUM(הפחתה[[#This Row],[ריבית]],הפחתה5[[#This Row],[ריבית]],הפחתה7[[#This Row],[ריבית]],הפחתה8[[#This Row],[ריבית]])</f>
        <v>3737.5730242602203</v>
      </c>
      <c r="F51" s="13">
        <f ca="1">SUM(הפחתה[[#This Row],[קרן]],הפחתה5[[#This Row],[קרן]],הפחתה7[[#This Row],[קרן]],הפחתה8[[#This Row],[קרן]])</f>
        <v>1763.9724467563947</v>
      </c>
      <c r="G51" s="13">
        <f ca="1">IF(הפחתה23[[#This Row],[תאריך]]="",0,PropertyTaxAmount)</f>
        <v>0</v>
      </c>
      <c r="H51" s="13">
        <f ca="1">IF(הפחתה23[[#This Row],[תאריך]]="",0,הפחתה23[[#This Row],[ריבית]]+הפחתה23[[#This Row],[קרן]]+הפחתה23[[#This Row],[מס
רכוש]])</f>
        <v>5501.545471016615</v>
      </c>
      <c r="I51" s="13">
        <f ca="1">IF(הפחתה23[[#This Row],[תאריך]]="",0,הפחתה23[[#This Row],[יתרת פתיחה]]-הפחתה23[[#This Row],[קרן]])</f>
        <v>930625.51852420298</v>
      </c>
      <c r="J51" s="11">
        <f ca="1">MAX(הפחתה[[#This Row],[תשלומים
שנותרו]],הפחתה5[[#This Row],[תשלומים
שנותרו]],הפחתה7[[#This Row],[תשלומים
שנותרו]],הפחתה8[[#This Row],[תשלומים
שנותרו]])</f>
        <v>312</v>
      </c>
    </row>
    <row r="52" spans="1:10" ht="15" customHeight="1" x14ac:dyDescent="0.25">
      <c r="A52" s="8"/>
      <c r="B52" s="11">
        <f>MAX(הפחתה[[#This Row],[מס'']],הפחתה5[[#This Row],[מס'']],הפחתה7[[#This Row],[מס'']],הפחתה8[[#This Row],[מס'']])</f>
        <v>49</v>
      </c>
      <c r="C52" s="12">
        <f ca="1">IF(ValuesEntered,IF(הפחתה23[[#This Row],[מס'']]&lt;=תקופת_ההלוואה,IF(ROW()-ROW(הפחתה[[#Headers],[תאריך]])=1,LoanStart,IF(I51&gt;0,EDATE(C51,1),"")),""),"")</f>
        <v>46844</v>
      </c>
      <c r="D52" s="13">
        <f ca="1">SUM(הפחתה[[#This Row],[יתרת פתיחה]],הפחתה5[[#This Row],[יתרת פתיחה]],הפחתה7[[#This Row],[יתרת פתיחה]],הפחתה8[[#This Row],[יתרת פתיחה]])</f>
        <v>930783.92000506294</v>
      </c>
      <c r="E52" s="13">
        <f ca="1">SUM(הפחתה[[#This Row],[ריבית]],הפחתה5[[#This Row],[ריבית]],הפחתה7[[#This Row],[ריבית]],הפחתה8[[#This Row],[ריבית]])</f>
        <v>3731.1043734182217</v>
      </c>
      <c r="F52" s="13">
        <f ca="1">SUM(הפחתה[[#This Row],[קרן]],הפחתה5[[#This Row],[קרן]],הפחתה7[[#This Row],[קרן]],הפחתה8[[#This Row],[קרן]])</f>
        <v>1771.2057289465483</v>
      </c>
      <c r="G52" s="13">
        <f ca="1">IF(הפחתה23[[#This Row],[תאריך]]="",0,PropertyTaxAmount)</f>
        <v>0</v>
      </c>
      <c r="H52" s="13">
        <f ca="1">IF(הפחתה23[[#This Row],[תאריך]]="",0,הפחתה23[[#This Row],[ריבית]]+הפחתה23[[#This Row],[קרן]]+הפחתה23[[#This Row],[מס
רכוש]])</f>
        <v>5502.3101023647705</v>
      </c>
      <c r="I52" s="13">
        <f ca="1">IF(הפחתה23[[#This Row],[תאריך]]="",0,הפחתה23[[#This Row],[יתרת פתיחה]]-הפחתה23[[#This Row],[קרן]])</f>
        <v>929012.71427611634</v>
      </c>
      <c r="J52" s="11">
        <f ca="1">MAX(הפחתה[[#This Row],[תשלומים
שנותרו]],הפחתה5[[#This Row],[תשלומים
שנותרו]],הפחתה7[[#This Row],[תשלומים
שנותרו]],הפחתה8[[#This Row],[תשלומים
שנותרו]])</f>
        <v>311</v>
      </c>
    </row>
    <row r="53" spans="1:10" ht="15" customHeight="1" x14ac:dyDescent="0.25">
      <c r="A53" s="8"/>
      <c r="B53" s="11">
        <f>MAX(הפחתה[[#This Row],[מס'']],הפחתה5[[#This Row],[מס'']],הפחתה7[[#This Row],[מס'']],הפחתה8[[#This Row],[מס'']])</f>
        <v>50</v>
      </c>
      <c r="C53" s="12">
        <f ca="1">IF(ValuesEntered,IF(הפחתה23[[#This Row],[מס'']]&lt;=תקופת_ההלוואה,IF(ROW()-ROW(הפחתה[[#Headers],[תאריך]])=1,LoanStart,IF(I52&gt;0,EDATE(C52,1),"")),""),"")</f>
        <v>46874</v>
      </c>
      <c r="D53" s="13">
        <f ca="1">SUM(הפחתה[[#This Row],[יתרת פתיחה]],הפחתה5[[#This Row],[יתרת פתיחה]],הפחתה7[[#This Row],[יתרת פתיחה]],הפחתה8[[#This Row],[יתרת פתיחה]])</f>
        <v>929170.89265915263</v>
      </c>
      <c r="E53" s="13">
        <f ca="1">SUM(הפחתה[[#This Row],[ריבית]],הפחתה5[[#This Row],[ריבית]],הפחתה7[[#This Row],[ריבית]],הפחתה8[[#This Row],[ריבית]])</f>
        <v>3724.6070902037172</v>
      </c>
      <c r="F53" s="13">
        <f ca="1">SUM(הפחתה[[#This Row],[קרן]],הפחתה5[[#This Row],[קרן]],הפחתה7[[#This Row],[קרן]],הפחתה8[[#This Row],[קרן]])</f>
        <v>1778.4688601613843</v>
      </c>
      <c r="G53" s="13">
        <f ca="1">IF(הפחתה23[[#This Row],[תאריך]]="",0,PropertyTaxAmount)</f>
        <v>0</v>
      </c>
      <c r="H53" s="13">
        <f ca="1">IF(הפחתה23[[#This Row],[תאריך]]="",0,הפחתה23[[#This Row],[ריבית]]+הפחתה23[[#This Row],[קרן]]+הפחתה23[[#This Row],[מס
רכוש]])</f>
        <v>5503.0759503651016</v>
      </c>
      <c r="I53" s="13">
        <f ca="1">IF(הפחתה23[[#This Row],[תאריך]]="",0,הפחתה23[[#This Row],[יתרת פתיחה]]-הפחתה23[[#This Row],[קרן]])</f>
        <v>927392.42379899125</v>
      </c>
      <c r="J53" s="11">
        <f ca="1">MAX(הפחתה[[#This Row],[תשלומים
שנותרו]],הפחתה5[[#This Row],[תשלומים
שנותרו]],הפחתה7[[#This Row],[תשלומים
שנותרו]],הפחתה8[[#This Row],[תשלומים
שנותרו]])</f>
        <v>310</v>
      </c>
    </row>
    <row r="54" spans="1:10" ht="15" customHeight="1" x14ac:dyDescent="0.25">
      <c r="A54" s="8"/>
      <c r="B54" s="11">
        <f>MAX(הפחתה[[#This Row],[מס'']],הפחתה5[[#This Row],[מס'']],הפחתה7[[#This Row],[מס'']],הפחתה8[[#This Row],[מס'']])</f>
        <v>51</v>
      </c>
      <c r="C54" s="12">
        <f ca="1">IF(ValuesEntered,IF(הפחתה23[[#This Row],[מס'']]&lt;=תקופת_ההלוואה,IF(ROW()-ROW(הפחתה[[#Headers],[תאריך]])=1,LoanStart,IF(I53&gt;0,EDATE(C53,1),"")),""),"")</f>
        <v>46905</v>
      </c>
      <c r="D54" s="13">
        <f ca="1">SUM(הפחתה[[#This Row],[יתרת פתיחה]],הפחתה5[[#This Row],[יתרת פתיחה]],הפחתה7[[#This Row],[יתרת פתיחה]],הפחתה8[[#This Row],[יתרת פתיחה]])</f>
        <v>927550.37696286628</v>
      </c>
      <c r="E54" s="13">
        <f ca="1">SUM(הפחתה[[#This Row],[ריבית]],הפחתה5[[#This Row],[ריבית]],הפחתה7[[#This Row],[ריבית]],הפחתה8[[#This Row],[ריבית]])</f>
        <v>3718.0810525038751</v>
      </c>
      <c r="F54" s="13">
        <f ca="1">SUM(הפחתה[[#This Row],[קרן]],הפחתה5[[#This Row],[קרן]],הפחתה7[[#This Row],[קרן]],הפחתה8[[#This Row],[קרן]])</f>
        <v>1785.7619643791022</v>
      </c>
      <c r="G54" s="13">
        <f ca="1">IF(הפחתה23[[#This Row],[תאריך]]="",0,PropertyTaxAmount)</f>
        <v>0</v>
      </c>
      <c r="H54" s="13">
        <f ca="1">IF(הפחתה23[[#This Row],[תאריך]]="",0,הפחתה23[[#This Row],[ריבית]]+הפחתה23[[#This Row],[קרן]]+הפחתה23[[#This Row],[מס
רכוש]])</f>
        <v>5503.8430168829773</v>
      </c>
      <c r="I54" s="13">
        <f ca="1">IF(הפחתה23[[#This Row],[תאריך]]="",0,הפחתה23[[#This Row],[יתרת פתיחה]]-הפחתה23[[#This Row],[קרן]])</f>
        <v>925764.61499848717</v>
      </c>
      <c r="J54" s="11">
        <f ca="1">MAX(הפחתה[[#This Row],[תשלומים
שנותרו]],הפחתה5[[#This Row],[תשלומים
שנותרו]],הפחתה7[[#This Row],[תשלומים
שנותרו]],הפחתה8[[#This Row],[תשלומים
שנותרו]])</f>
        <v>309</v>
      </c>
    </row>
    <row r="55" spans="1:10" ht="15" customHeight="1" x14ac:dyDescent="0.25">
      <c r="A55" s="8"/>
      <c r="B55" s="11">
        <f>MAX(הפחתה[[#This Row],[מס'']],הפחתה5[[#This Row],[מס'']],הפחתה7[[#This Row],[מס'']],הפחתה8[[#This Row],[מס'']])</f>
        <v>52</v>
      </c>
      <c r="C55" s="12">
        <f ca="1">IF(ValuesEntered,IF(הפחתה23[[#This Row],[מס'']]&lt;=תקופת_ההלוואה,IF(ROW()-ROW(הפחתה[[#Headers],[תאריך]])=1,LoanStart,IF(I54&gt;0,EDATE(C54,1),"")),""),"")</f>
        <v>46935</v>
      </c>
      <c r="D55" s="13">
        <f ca="1">SUM(הפחתה[[#This Row],[יתרת פתיחה]],הפחתה5[[#This Row],[יתרת פתיחה]],הפחתה7[[#This Row],[יתרת פתיחה]],הפחתה8[[#This Row],[יתרת פתיחה]])</f>
        <v>925922.34081203188</v>
      </c>
      <c r="E55" s="13">
        <f ca="1">SUM(הפחתה[[#This Row],[ריבית]],הפחתה5[[#This Row],[ריבית]],הפחתה7[[#This Row],[ריבית]],הפחתה8[[#This Row],[ריבית]])</f>
        <v>3711.5261376905082</v>
      </c>
      <c r="F55" s="13">
        <f ca="1">SUM(הפחתה[[#This Row],[קרן]],הפחתה5[[#This Row],[קרן]],הפחתה7[[#This Row],[קרן]],הפחתה8[[#This Row],[קרן]])</f>
        <v>1793.0851660968808</v>
      </c>
      <c r="G55" s="13">
        <f ca="1">IF(הפחתה23[[#This Row],[תאריך]]="",0,PropertyTaxAmount)</f>
        <v>0</v>
      </c>
      <c r="H55" s="13">
        <f ca="1">IF(הפחתה23[[#This Row],[תאריך]]="",0,הפחתה23[[#This Row],[ריבית]]+הפחתה23[[#This Row],[קרן]]+הפחתה23[[#This Row],[מס
רכוש]])</f>
        <v>5504.6113037873893</v>
      </c>
      <c r="I55" s="13">
        <f ca="1">IF(הפחתה23[[#This Row],[תאריך]]="",0,הפחתה23[[#This Row],[יתרת פתיחה]]-הפחתה23[[#This Row],[קרן]])</f>
        <v>924129.25564593496</v>
      </c>
      <c r="J55" s="11">
        <f ca="1">MAX(הפחתה[[#This Row],[תשלומים
שנותרו]],הפחתה5[[#This Row],[תשלומים
שנותרו]],הפחתה7[[#This Row],[תשלומים
שנותרו]],הפחתה8[[#This Row],[תשלומים
שנותרו]])</f>
        <v>308</v>
      </c>
    </row>
    <row r="56" spans="1:10" ht="15" customHeight="1" x14ac:dyDescent="0.25">
      <c r="A56" s="8"/>
      <c r="B56" s="11">
        <f>MAX(הפחתה[[#This Row],[מס'']],הפחתה5[[#This Row],[מס'']],הפחתה7[[#This Row],[מס'']],הפחתה8[[#This Row],[מס'']])</f>
        <v>53</v>
      </c>
      <c r="C56" s="12">
        <f ca="1">IF(ValuesEntered,IF(הפחתה23[[#This Row],[מס'']]&lt;=תקופת_ההלוואה,IF(ROW()-ROW(הפחתה[[#Headers],[תאריך]])=1,LoanStart,IF(I55&gt;0,EDATE(C55,1),"")),""),"")</f>
        <v>46966</v>
      </c>
      <c r="D56" s="13">
        <f ca="1">SUM(הפחתה[[#This Row],[יתרת פתיחה]],הפחתה5[[#This Row],[יתרת פתיחה]],הפחתה7[[#This Row],[יתרת פתיחה]],הפחתה8[[#This Row],[יתרת פתיחה]])</f>
        <v>924286.75196810882</v>
      </c>
      <c r="E56" s="13">
        <f ca="1">SUM(הפחתה[[#This Row],[ריבית]],הפחתה5[[#This Row],[ריבית]],הפחתה7[[#This Row],[ריבית]],הפחתה8[[#This Row],[ריבית]])</f>
        <v>3704.9422226179026</v>
      </c>
      <c r="F56" s="13">
        <f ca="1">SUM(הפחתה[[#This Row],[קרן]],הפחתה5[[#This Row],[קרן]],הפחתה7[[#This Row],[קרן]],הפחתה8[[#This Row],[קרן]])</f>
        <v>1800.438590333084</v>
      </c>
      <c r="G56" s="13">
        <f ca="1">IF(הפחתה23[[#This Row],[תאריך]]="",0,PropertyTaxAmount)</f>
        <v>0</v>
      </c>
      <c r="H56" s="13">
        <f ca="1">IF(הפחתה23[[#This Row],[תאריך]]="",0,הפחתה23[[#This Row],[ריבית]]+הפחתה23[[#This Row],[קרן]]+הפחתה23[[#This Row],[מס
רכוש]])</f>
        <v>5505.3808129509871</v>
      </c>
      <c r="I56" s="13">
        <f ca="1">IF(הפחתה23[[#This Row],[תאריך]]="",0,הפחתה23[[#This Row],[יתרת פתיחה]]-הפחתה23[[#This Row],[קרן]])</f>
        <v>922486.31337777572</v>
      </c>
      <c r="J56" s="11">
        <f ca="1">MAX(הפחתה[[#This Row],[תשלומים
שנותרו]],הפחתה5[[#This Row],[תשלומים
שנותרו]],הפחתה7[[#This Row],[תשלומים
שנותרו]],הפחתה8[[#This Row],[תשלומים
שנותרו]])</f>
        <v>307</v>
      </c>
    </row>
    <row r="57" spans="1:10" ht="15" customHeight="1" x14ac:dyDescent="0.25">
      <c r="A57" s="8"/>
      <c r="B57" s="11">
        <f>MAX(הפחתה[[#This Row],[מס'']],הפחתה5[[#This Row],[מס'']],הפחתה7[[#This Row],[מס'']],הפחתה8[[#This Row],[מס'']])</f>
        <v>54</v>
      </c>
      <c r="C57" s="12">
        <f ca="1">IF(ValuesEntered,IF(הפחתה23[[#This Row],[מס'']]&lt;=תקופת_ההלוואה,IF(ROW()-ROW(הפחתה[[#Headers],[תאריך]])=1,LoanStart,IF(I56&gt;0,EDATE(C56,1),"")),""),"")</f>
        <v>46997</v>
      </c>
      <c r="D57" s="13">
        <f ca="1">SUM(הפחתה[[#This Row],[יתרת פתיחה]],הפחתה5[[#This Row],[יתרת פתיחה]],הפחתה7[[#This Row],[יתרת פתיחה]],הפחתה8[[#This Row],[יתרת פתיחה]])</f>
        <v>922643.57805762801</v>
      </c>
      <c r="E57" s="13">
        <f ca="1">SUM(הפחתה[[#This Row],[ריבית]],הפחתה5[[#This Row],[ריבית]],הפחתה7[[#This Row],[ריבית]],הפחתה8[[#This Row],[ריבית]])</f>
        <v>3698.3291836206358</v>
      </c>
      <c r="F57" s="13">
        <f ca="1">SUM(הפחתה[[#This Row],[קרן]],הפחתה5[[#This Row],[קרן]],הפחתה7[[#This Row],[קרן]],הפחתה8[[#This Row],[קרן]])</f>
        <v>1807.8223626294739</v>
      </c>
      <c r="G57" s="13">
        <f ca="1">IF(הפחתה23[[#This Row],[תאריך]]="",0,PropertyTaxAmount)</f>
        <v>0</v>
      </c>
      <c r="H57" s="13">
        <f ca="1">IF(הפחתה23[[#This Row],[תאריך]]="",0,הפחתה23[[#This Row],[ריבית]]+הפחתה23[[#This Row],[קרן]]+הפחתה23[[#This Row],[מס
רכוש]])</f>
        <v>5506.1515462501102</v>
      </c>
      <c r="I57" s="13">
        <f ca="1">IF(הפחתה23[[#This Row],[תאריך]]="",0,הפחתה23[[#This Row],[יתרת פתיחה]]-הפחתה23[[#This Row],[קרן]])</f>
        <v>920835.75569499854</v>
      </c>
      <c r="J57" s="11">
        <f ca="1">MAX(הפחתה[[#This Row],[תשלומים
שנותרו]],הפחתה5[[#This Row],[תשלומים
שנותרו]],הפחתה7[[#This Row],[תשלומים
שנותרו]],הפחתה8[[#This Row],[תשלומים
שנותרו]])</f>
        <v>306</v>
      </c>
    </row>
    <row r="58" spans="1:10" ht="15" customHeight="1" x14ac:dyDescent="0.25">
      <c r="A58" s="8"/>
      <c r="B58" s="11">
        <f>MAX(הפחתה[[#This Row],[מס'']],הפחתה5[[#This Row],[מס'']],הפחתה7[[#This Row],[מס'']],הפחתה8[[#This Row],[מס'']])</f>
        <v>55</v>
      </c>
      <c r="C58" s="12">
        <f ca="1">IF(ValuesEntered,IF(הפחתה23[[#This Row],[מס'']]&lt;=תקופת_ההלוואה,IF(ROW()-ROW(הפחתה[[#Headers],[תאריך]])=1,LoanStart,IF(I57&gt;0,EDATE(C57,1),"")),""),"")</f>
        <v>47027</v>
      </c>
      <c r="D58" s="13">
        <f ca="1">SUM(הפחתה[[#This Row],[יתרת פתיחה]],הפחתה5[[#This Row],[יתרת פתיחה]],הפחתה7[[#This Row],[יתרת פתיחה]],הפחתה8[[#This Row],[יתרת פתיחה]])</f>
        <v>920992.78657162841</v>
      </c>
      <c r="E58" s="13">
        <f ca="1">SUM(הפחתה[[#This Row],[ריבית]],הפחתה5[[#This Row],[ריבית]],הפחתה7[[#This Row],[ריבית]],הפחתה8[[#This Row],[ריבית]])</f>
        <v>3691.6868965113795</v>
      </c>
      <c r="F58" s="13">
        <f ca="1">SUM(הפחתה[[#This Row],[קרן]],הפחתה5[[#This Row],[קרן]],הפחתה7[[#This Row],[קרן]],הפחתה8[[#This Row],[קרן]])</f>
        <v>1815.236609053436</v>
      </c>
      <c r="G58" s="13">
        <f ca="1">IF(הפחתה23[[#This Row],[תאריך]]="",0,PropertyTaxAmount)</f>
        <v>0</v>
      </c>
      <c r="H58" s="13">
        <f ca="1">IF(הפחתה23[[#This Row],[תאריך]]="",0,הפחתה23[[#This Row],[ריבית]]+הפחתה23[[#This Row],[קרן]]+הפחתה23[[#This Row],[מס
רכוש]])</f>
        <v>5506.9235055648151</v>
      </c>
      <c r="I58" s="13">
        <f ca="1">IF(הפחתה23[[#This Row],[תאריך]]="",0,הפחתה23[[#This Row],[יתרת פתיחה]]-הפחתה23[[#This Row],[קרן]])</f>
        <v>919177.54996257497</v>
      </c>
      <c r="J58" s="11">
        <f ca="1">MAX(הפחתה[[#This Row],[תשלומים
שנותרו]],הפחתה5[[#This Row],[תשלומים
שנותרו]],הפחתה7[[#This Row],[תשלומים
שנותרו]],הפחתה8[[#This Row],[תשלומים
שנותרו]])</f>
        <v>305</v>
      </c>
    </row>
    <row r="59" spans="1:10" ht="15" customHeight="1" x14ac:dyDescent="0.25">
      <c r="A59" s="8"/>
      <c r="B59" s="11">
        <f>MAX(הפחתה[[#This Row],[מס'']],הפחתה5[[#This Row],[מס'']],הפחתה7[[#This Row],[מס'']],הפחתה8[[#This Row],[מס'']])</f>
        <v>56</v>
      </c>
      <c r="C59" s="12">
        <f ca="1">IF(ValuesEntered,IF(הפחתה23[[#This Row],[מס'']]&lt;=תקופת_ההלוואה,IF(ROW()-ROW(הפחתה[[#Headers],[תאריך]])=1,LoanStart,IF(I58&gt;0,EDATE(C58,1),"")),""),"")</f>
        <v>47058</v>
      </c>
      <c r="D59" s="13">
        <f ca="1">SUM(הפחתה[[#This Row],[יתרת פתיחה]],הפחתה5[[#This Row],[יתרת פתיחה]],הפחתה7[[#This Row],[יתרת פתיחה]],הפחתה8[[#This Row],[יתרת פתיחה]])</f>
        <v>919334.34486509231</v>
      </c>
      <c r="E59" s="13">
        <f ca="1">SUM(הפחתה[[#This Row],[ריבית]],הפחתה5[[#This Row],[ריבית]],הפחתה7[[#This Row],[ריבית]],הפחתה8[[#This Row],[ריבית]])</f>
        <v>3685.0152365786976</v>
      </c>
      <c r="F59" s="13">
        <f ca="1">SUM(הפחתה[[#This Row],[קרן]],הפחתה5[[#This Row],[קרן]],הפחתה7[[#This Row],[קרן]],הפחתה8[[#This Row],[קרן]])</f>
        <v>1822.6814562002157</v>
      </c>
      <c r="G59" s="13">
        <f ca="1">IF(הפחתה23[[#This Row],[תאריך]]="",0,PropertyTaxAmount)</f>
        <v>0</v>
      </c>
      <c r="H59" s="13">
        <f ca="1">IF(הפחתה23[[#This Row],[תאריך]]="",0,הפחתה23[[#This Row],[ריבית]]+הפחתה23[[#This Row],[קרן]]+הפחתה23[[#This Row],[מס
רכוש]])</f>
        <v>5507.6966927789135</v>
      </c>
      <c r="I59" s="13">
        <f ca="1">IF(הפחתה23[[#This Row],[תאריך]]="",0,הפחתה23[[#This Row],[יתרת פתיחה]]-הפחתה23[[#This Row],[קרן]])</f>
        <v>917511.66340889211</v>
      </c>
      <c r="J59" s="11">
        <f ca="1">MAX(הפחתה[[#This Row],[תשלומים
שנותרו]],הפחתה5[[#This Row],[תשלומים
שנותרו]],הפחתה7[[#This Row],[תשלומים
שנותרו]],הפחתה8[[#This Row],[תשלומים
שנותרו]])</f>
        <v>304</v>
      </c>
    </row>
    <row r="60" spans="1:10" ht="15" customHeight="1" x14ac:dyDescent="0.25">
      <c r="A60" s="8"/>
      <c r="B60" s="11">
        <f>MAX(הפחתה[[#This Row],[מס'']],הפחתה5[[#This Row],[מס'']],הפחתה7[[#This Row],[מס'']],הפחתה8[[#This Row],[מס'']])</f>
        <v>57</v>
      </c>
      <c r="C60" s="12">
        <f ca="1">IF(ValuesEntered,IF(הפחתה23[[#This Row],[מס'']]&lt;=תקופת_ההלוואה,IF(ROW()-ROW(הפחתה[[#Headers],[תאריך]])=1,LoanStart,IF(I59&gt;0,EDATE(C59,1),"")),""),"")</f>
        <v>47088</v>
      </c>
      <c r="D60" s="13">
        <f ca="1">SUM(הפחתה[[#This Row],[יתרת פתיחה]],הפחתה5[[#This Row],[יתרת פתיחה]],הפחתה7[[#This Row],[יתרת פתיחה]],הפחתה8[[#This Row],[יתרת פתיחה]])</f>
        <v>917668.22015637741</v>
      </c>
      <c r="E60" s="13">
        <f ca="1">SUM(הפחתה[[#This Row],[ריבית]],הפחתה5[[#This Row],[ריבית]],הפחתה7[[#This Row],[ריבית]],הפחתה8[[#This Row],[ריבית]])</f>
        <v>3678.3140785848359</v>
      </c>
      <c r="F60" s="13">
        <f ca="1">SUM(הפחתה[[#This Row],[קרן]],הפחתה5[[#This Row],[קרן]],הפחתה7[[#This Row],[קרן]],הפחתה8[[#This Row],[קרן]])</f>
        <v>1830.1570311951609</v>
      </c>
      <c r="G60" s="13">
        <f ca="1">IF(הפחתה23[[#This Row],[תאריך]]="",0,PropertyTaxAmount)</f>
        <v>0</v>
      </c>
      <c r="H60" s="13">
        <f ca="1">IF(הפחתה23[[#This Row],[תאריך]]="",0,הפחתה23[[#This Row],[ריבית]]+הפחתה23[[#This Row],[קרן]]+הפחתה23[[#This Row],[מס
רכוש]])</f>
        <v>5508.4711097799973</v>
      </c>
      <c r="I60" s="13">
        <f ca="1">IF(הפחתה23[[#This Row],[תאריך]]="",0,הפחתה23[[#This Row],[יתרת פתיחה]]-הפחתה23[[#This Row],[קרן]])</f>
        <v>915838.06312518229</v>
      </c>
      <c r="J60" s="11">
        <f ca="1">MAX(הפחתה[[#This Row],[תשלומים
שנותרו]],הפחתה5[[#This Row],[תשלומים
שנותרו]],הפחתה7[[#This Row],[תשלומים
שנותרו]],הפחתה8[[#This Row],[תשלומים
שנותרו]])</f>
        <v>303</v>
      </c>
    </row>
    <row r="61" spans="1:10" ht="15" customHeight="1" x14ac:dyDescent="0.25">
      <c r="A61" s="8"/>
      <c r="B61" s="11">
        <f>MAX(הפחתה[[#This Row],[מס'']],הפחתה5[[#This Row],[מס'']],הפחתה7[[#This Row],[מס'']],הפחתה8[[#This Row],[מס'']])</f>
        <v>58</v>
      </c>
      <c r="C61" s="12">
        <f ca="1">IF(ValuesEntered,IF(הפחתה23[[#This Row],[מס'']]&lt;=תקופת_ההלוואה,IF(ROW()-ROW(הפחתה[[#Headers],[תאריך]])=1,LoanStart,IF(I60&gt;0,EDATE(C60,1),"")),""),"")</f>
        <v>47119</v>
      </c>
      <c r="D61" s="13">
        <f ca="1">SUM(הפחתה[[#This Row],[יתרת פתיחה]],הפחתה5[[#This Row],[יתרת פתיחה]],הפחתה7[[#This Row],[יתרת פתיחה]],הפחתה8[[#This Row],[יתרת פתיחה]])</f>
        <v>915994.37952664634</v>
      </c>
      <c r="E61" s="13">
        <f ca="1">SUM(הפחתה[[#This Row],[ריבית]],הפחתה5[[#This Row],[ריבית]],הפחתה7[[#This Row],[ריבית]],הפחתה8[[#This Row],[ריבית]])</f>
        <v>3671.5832967634988</v>
      </c>
      <c r="F61" s="13">
        <f ca="1">SUM(הפחתה[[#This Row],[קרן]],הפחתה5[[#This Row],[קרן]],הפחתה7[[#This Row],[קרן]],הפחתה8[[#This Row],[קרן]])</f>
        <v>1837.663461695977</v>
      </c>
      <c r="G61" s="13">
        <f ca="1">IF(הפחתה23[[#This Row],[תאריך]]="",0,PropertyTaxAmount)</f>
        <v>0</v>
      </c>
      <c r="H61" s="13">
        <f ca="1">IF(הפחתה23[[#This Row],[תאריך]]="",0,הפחתה23[[#This Row],[ריבית]]+הפחתה23[[#This Row],[קרן]]+הפחתה23[[#This Row],[מס
רכוש]])</f>
        <v>5509.246758459476</v>
      </c>
      <c r="I61" s="13">
        <f ca="1">IF(הפחתה23[[#This Row],[תאריך]]="",0,הפחתה23[[#This Row],[יתרת פתיחה]]-הפחתה23[[#This Row],[קרן]])</f>
        <v>914156.71606495033</v>
      </c>
      <c r="J61" s="11">
        <f ca="1">MAX(הפחתה[[#This Row],[תשלומים
שנותרו]],הפחתה5[[#This Row],[תשלומים
שנותרו]],הפחתה7[[#This Row],[תשלומים
שנותרו]],הפחתה8[[#This Row],[תשלומים
שנותרו]])</f>
        <v>302</v>
      </c>
    </row>
    <row r="62" spans="1:10" ht="15" customHeight="1" x14ac:dyDescent="0.25">
      <c r="A62" s="8"/>
      <c r="B62" s="11">
        <f>MAX(הפחתה[[#This Row],[מס'']],הפחתה5[[#This Row],[מס'']],הפחתה7[[#This Row],[מס'']],הפחתה8[[#This Row],[מס'']])</f>
        <v>59</v>
      </c>
      <c r="C62" s="12">
        <f ca="1">IF(ValuesEntered,IF(הפחתה23[[#This Row],[מס'']]&lt;=תקופת_ההלוואה,IF(ROW()-ROW(הפחתה[[#Headers],[תאריך]])=1,LoanStart,IF(I61&gt;0,EDATE(C61,1),"")),""),"")</f>
        <v>47150</v>
      </c>
      <c r="D62" s="13">
        <f ca="1">SUM(הפחתה[[#This Row],[יתרת פתיחה]],הפחתה5[[#This Row],[יתרת פתיחה]],הפחתה7[[#This Row],[יתרת פתיחה]],הפחתה8[[#This Row],[יתרת פתיחה]])</f>
        <v>914312.78991929512</v>
      </c>
      <c r="E62" s="13">
        <f ca="1">SUM(הפחתה[[#This Row],[ריבית]],הפחתה5[[#This Row],[ריבית]],הפחתה7[[#This Row],[ריבית]],הפחתה8[[#This Row],[ריבית]])</f>
        <v>3664.8227648176194</v>
      </c>
      <c r="F62" s="13">
        <f ca="1">SUM(הפחתה[[#This Row],[קרן]],הפחתה5[[#This Row],[קרן]],הפחתה7[[#This Row],[קרן]],הפחתה8[[#This Row],[קרן]])</f>
        <v>1845.2008758949933</v>
      </c>
      <c r="G62" s="13">
        <f ca="1">IF(הפחתה23[[#This Row],[תאריך]]="",0,PropertyTaxAmount)</f>
        <v>0</v>
      </c>
      <c r="H62" s="13">
        <f ca="1">IF(הפחתה23[[#This Row],[תאריך]]="",0,הפחתה23[[#This Row],[ריבית]]+הפחתה23[[#This Row],[קרן]]+הפחתה23[[#This Row],[מס
רכוש]])</f>
        <v>5510.0236407126122</v>
      </c>
      <c r="I62" s="13">
        <f ca="1">IF(הפחתה23[[#This Row],[תאריך]]="",0,הפחתה23[[#This Row],[יתרת פתיחה]]-הפחתה23[[#This Row],[קרן]])</f>
        <v>912467.58904340013</v>
      </c>
      <c r="J62" s="11">
        <f ca="1">MAX(הפחתה[[#This Row],[תשלומים
שנותרו]],הפחתה5[[#This Row],[תשלומים
שנותרו]],הפחתה7[[#This Row],[תשלומים
שנותרו]],הפחתה8[[#This Row],[תשלומים
שנותרו]])</f>
        <v>301</v>
      </c>
    </row>
    <row r="63" spans="1:10" ht="15" customHeight="1" x14ac:dyDescent="0.25">
      <c r="A63" s="8"/>
      <c r="B63" s="11">
        <f>MAX(הפחתה[[#This Row],[מס'']],הפחתה5[[#This Row],[מס'']],הפחתה7[[#This Row],[מס'']],הפחתה8[[#This Row],[מס'']])</f>
        <v>60</v>
      </c>
      <c r="C63" s="12">
        <f ca="1">IF(ValuesEntered,IF(הפחתה23[[#This Row],[מס'']]&lt;=תקופת_ההלוואה,IF(ROW()-ROW(הפחתה[[#Headers],[תאריך]])=1,LoanStart,IF(I62&gt;0,EDATE(C62,1),"")),""),"")</f>
        <v>47178</v>
      </c>
      <c r="D63" s="13">
        <f ca="1">SUM(הפחתה[[#This Row],[יתרת פתיחה]],הפחתה5[[#This Row],[יתרת פתיחה]],הפחתה7[[#This Row],[יתרת פתיחה]],הפחתה8[[#This Row],[יתרת פתיחה]])</f>
        <v>912623.41813937749</v>
      </c>
      <c r="E63" s="13">
        <f ca="1">SUM(הפחתה[[#This Row],[ריבית]],הפחתה5[[#This Row],[ריבית]],הפחתה7[[#This Row],[ריבית]],הפחתה8[[#This Row],[ריבית]])</f>
        <v>3658.0323559171197</v>
      </c>
      <c r="F63" s="13">
        <f ca="1">SUM(הפחתה[[#This Row],[קרן]],הפחתה5[[#This Row],[קרן]],הפחתה7[[#This Row],[קרן]],הפחתה8[[#This Row],[קרן]])</f>
        <v>1852.7694025214357</v>
      </c>
      <c r="G63" s="13">
        <f ca="1">IF(הפחתה23[[#This Row],[תאריך]]="",0,PropertyTaxAmount)</f>
        <v>0</v>
      </c>
      <c r="H63" s="13">
        <f ca="1">IF(הפחתה23[[#This Row],[תאריך]]="",0,הפחתה23[[#This Row],[ריבית]]+הפחתה23[[#This Row],[קרן]]+הפחתה23[[#This Row],[מס
רכוש]])</f>
        <v>5510.8017584385552</v>
      </c>
      <c r="I63" s="13">
        <f ca="1">IF(הפחתה23[[#This Row],[תאריך]]="",0,הפחתה23[[#This Row],[יתרת פתיחה]]-הפחתה23[[#This Row],[קרן]])</f>
        <v>910770.64873685606</v>
      </c>
      <c r="J63" s="11">
        <f ca="1">MAX(הפחתה[[#This Row],[תשלומים
שנותרו]],הפחתה5[[#This Row],[תשלומים
שנותרו]],הפחתה7[[#This Row],[תשלומים
שנותרו]],הפחתה8[[#This Row],[תשלומים
שנותרו]])</f>
        <v>300</v>
      </c>
    </row>
    <row r="64" spans="1:10" ht="15" customHeight="1" x14ac:dyDescent="0.25">
      <c r="A64" s="8"/>
      <c r="B64" s="11">
        <f>MAX(הפחתה[[#This Row],[מס'']],הפחתה5[[#This Row],[מס'']],הפחתה7[[#This Row],[מס'']],הפחתה8[[#This Row],[מס'']])</f>
        <v>61</v>
      </c>
      <c r="C64" s="12">
        <f ca="1">IF(ValuesEntered,IF(הפחתה23[[#This Row],[מס'']]&lt;=תקופת_ההלוואה,IF(ROW()-ROW(הפחתה[[#Headers],[תאריך]])=1,LoanStart,IF(I63&gt;0,EDATE(C63,1),"")),""),"")</f>
        <v>47209</v>
      </c>
      <c r="D64" s="13">
        <f ca="1">SUM(הפחתה[[#This Row],[יתרת פתיחה]],הפחתה5[[#This Row],[יתרת פתיחה]],הפחתה7[[#This Row],[יתרת פתיחה]],הפחתה8[[#This Row],[יתרת פתיחה]])</f>
        <v>910926.2308530279</v>
      </c>
      <c r="E64" s="13">
        <f ca="1">SUM(הפחתה[[#This Row],[ריבית]],הפחתה5[[#This Row],[ריבית]],הפחתה7[[#This Row],[ריבית]],הפחתה8[[#This Row],[ריבית]])</f>
        <v>3651.2119426966569</v>
      </c>
      <c r="F64" s="13">
        <f ca="1">SUM(הפחתה[[#This Row],[קרן]],הפחתה5[[#This Row],[קרן]],הפחתה7[[#This Row],[קרן]],הפחתה8[[#This Row],[קרן]])</f>
        <v>1860.3691708437154</v>
      </c>
      <c r="G64" s="13">
        <f ca="1">IF(הפחתה23[[#This Row],[תאריך]]="",0,PropertyTaxAmount)</f>
        <v>0</v>
      </c>
      <c r="H64" s="13">
        <f ca="1">IF(הפחתה23[[#This Row],[תאריך]]="",0,הפחתה23[[#This Row],[ריבית]]+הפחתה23[[#This Row],[קרן]]+הפחתה23[[#This Row],[מס
רכוש]])</f>
        <v>5511.5811135403728</v>
      </c>
      <c r="I64" s="13">
        <f ca="1">IF(הפחתה23[[#This Row],[תאריך]]="",0,הפחתה23[[#This Row],[יתרת פתיחה]]-הפחתה23[[#This Row],[קרן]])</f>
        <v>909065.86168218416</v>
      </c>
      <c r="J64" s="11">
        <f ca="1">MAX(הפחתה[[#This Row],[תשלומים
שנותרו]],הפחתה5[[#This Row],[תשלומים
שנותרו]],הפחתה7[[#This Row],[תשלומים
שנותרו]],הפחתה8[[#This Row],[תשלומים
שנותרו]])</f>
        <v>299</v>
      </c>
    </row>
    <row r="65" spans="1:10" ht="15" customHeight="1" x14ac:dyDescent="0.25">
      <c r="A65" s="8"/>
      <c r="B65" s="11">
        <f>MAX(הפחתה[[#This Row],[מס'']],הפחתה5[[#This Row],[מס'']],הפחתה7[[#This Row],[מס'']],הפחתה8[[#This Row],[מס'']])</f>
        <v>62</v>
      </c>
      <c r="C65" s="12">
        <f ca="1">IF(ValuesEntered,IF(הפחתה23[[#This Row],[מס'']]&lt;=תקופת_ההלוואה,IF(ROW()-ROW(הפחתה[[#Headers],[תאריך]])=1,LoanStart,IF(I64&gt;0,EDATE(C64,1),"")),""),"")</f>
        <v>47239</v>
      </c>
      <c r="D65" s="13">
        <f ca="1">SUM(הפחתה[[#This Row],[יתרת פתיחה]],הפחתה5[[#This Row],[יתרת פתיחה]],הפחתה7[[#This Row],[יתרת פתיחה]],הפחתה8[[#This Row],[יתרת פתיחה]])</f>
        <v>909221.19458688144</v>
      </c>
      <c r="E65" s="13">
        <f ca="1">SUM(הפחתה[[#This Row],[ריבית]],הפחתה5[[#This Row],[ריבית]],הפחתה7[[#This Row],[ריבית]],הפחתה8[[#This Row],[ריבית]])</f>
        <v>3644.3613972533694</v>
      </c>
      <c r="F65" s="13">
        <f ca="1">SUM(הפחתה[[#This Row],[קרן]],הפחתה5[[#This Row],[קרן]],הפחתה7[[#This Row],[קרן]],הפחתה8[[#This Row],[קרן]])</f>
        <v>1868.000310671722</v>
      </c>
      <c r="G65" s="13">
        <f ca="1">IF(הפחתה23[[#This Row],[תאריך]]="",0,PropertyTaxAmount)</f>
        <v>0</v>
      </c>
      <c r="H65" s="13">
        <f ca="1">IF(הפחתה23[[#This Row],[תאריך]]="",0,הפחתה23[[#This Row],[ריבית]]+הפחתה23[[#This Row],[קרן]]+הפחתה23[[#This Row],[מס
רכוש]])</f>
        <v>5512.3617079250917</v>
      </c>
      <c r="I65" s="13">
        <f ca="1">IF(הפחתה23[[#This Row],[תאריך]]="",0,הפחתה23[[#This Row],[יתרת פתיחה]]-הפחתה23[[#This Row],[קרן]])</f>
        <v>907353.19427620969</v>
      </c>
      <c r="J65" s="11">
        <f ca="1">MAX(הפחתה[[#This Row],[תשלומים
שנותרו]],הפחתה5[[#This Row],[תשלומים
שנותרו]],הפחתה7[[#This Row],[תשלומים
שנותרו]],הפחתה8[[#This Row],[תשלומים
שנותרו]])</f>
        <v>298</v>
      </c>
    </row>
    <row r="66" spans="1:10" ht="15" customHeight="1" x14ac:dyDescent="0.25">
      <c r="A66" s="8"/>
      <c r="B66" s="11">
        <f>MAX(הפחתה[[#This Row],[מס'']],הפחתה5[[#This Row],[מס'']],הפחתה7[[#This Row],[מס'']],הפחתה8[[#This Row],[מס'']])</f>
        <v>63</v>
      </c>
      <c r="C66" s="12">
        <f ca="1">IF(ValuesEntered,IF(הפחתה23[[#This Row],[מס'']]&lt;=תקופת_ההלוואה,IF(ROW()-ROW(הפחתה[[#Headers],[תאריך]])=1,LoanStart,IF(I65&gt;0,EDATE(C65,1),"")),""),"")</f>
        <v>47270</v>
      </c>
      <c r="D66" s="13">
        <f ca="1">SUM(הפחתה[[#This Row],[יתרת פתיחה]],הפחתה5[[#This Row],[יתרת פתיחה]],הפחתה7[[#This Row],[יתרת פתיחה]],הפחתה8[[#This Row],[יתרת פתיחה]])</f>
        <v>907508.27572749264</v>
      </c>
      <c r="E66" s="13">
        <f ca="1">SUM(הפחתה[[#This Row],[ריבית]],הפחתה5[[#This Row],[ריבית]],הפחתה7[[#This Row],[ריבית]],הפחתה8[[#This Row],[ריבית]])</f>
        <v>3637.4805911446056</v>
      </c>
      <c r="F66" s="13">
        <f ca="1">SUM(הפחתה[[#This Row],[קרן]],הפחתה5[[#This Row],[קרן]],הפחתה7[[#This Row],[קרן]],הפחתה8[[#This Row],[קרן]])</f>
        <v>1875.6629523591309</v>
      </c>
      <c r="G66" s="13">
        <f ca="1">IF(הפחתה23[[#This Row],[תאריך]]="",0,PropertyTaxAmount)</f>
        <v>0</v>
      </c>
      <c r="H66" s="13">
        <f ca="1">IF(הפחתה23[[#This Row],[תאריך]]="",0,הפחתה23[[#This Row],[ריבית]]+הפחתה23[[#This Row],[קרן]]+הפחתה23[[#This Row],[מס
רכוש]])</f>
        <v>5513.1435435037365</v>
      </c>
      <c r="I66" s="13">
        <f ca="1">IF(הפחתה23[[#This Row],[תאריך]]="",0,הפחתה23[[#This Row],[יתרת פתיחה]]-הפחתה23[[#This Row],[קרן]])</f>
        <v>905632.61277513346</v>
      </c>
      <c r="J66" s="11">
        <f ca="1">MAX(הפחתה[[#This Row],[תשלומים
שנותרו]],הפחתה5[[#This Row],[תשלומים
שנותרו]],הפחתה7[[#This Row],[תשלומים
שנותרו]],הפחתה8[[#This Row],[תשלומים
שנותרו]])</f>
        <v>297</v>
      </c>
    </row>
    <row r="67" spans="1:10" ht="15" customHeight="1" x14ac:dyDescent="0.25">
      <c r="A67" s="8"/>
      <c r="B67" s="11">
        <f>MAX(הפחתה[[#This Row],[מס'']],הפחתה5[[#This Row],[מס'']],הפחתה7[[#This Row],[מס'']],הפחתה8[[#This Row],[מס'']])</f>
        <v>64</v>
      </c>
      <c r="C67" s="12">
        <f ca="1">IF(ValuesEntered,IF(הפחתה23[[#This Row],[מס'']]&lt;=תקופת_ההלוואה,IF(ROW()-ROW(הפחתה[[#Headers],[תאריך]])=1,LoanStart,IF(I66&gt;0,EDATE(C66,1),"")),""),"")</f>
        <v>47300</v>
      </c>
      <c r="D67" s="13">
        <f ca="1">SUM(הפחתה[[#This Row],[יתרת פתיחה]],הפחתה5[[#This Row],[יתרת פתיחה]],הפחתה7[[#This Row],[יתרת פתיחה]],הפחתה8[[#This Row],[יתרת פתיחה]])</f>
        <v>905787.44052074966</v>
      </c>
      <c r="E67" s="13">
        <f ca="1">SUM(הפחתה[[#This Row],[ריבית]],הפחתה5[[#This Row],[ריבית]],הפחתה7[[#This Row],[ריבית]],הפחתה8[[#This Row],[ריבית]])</f>
        <v>3630.5693953856407</v>
      </c>
      <c r="F67" s="13">
        <f ca="1">SUM(הפחתה[[#This Row],[קרן]],הפחתה5[[#This Row],[קרן]],הפחתה7[[#This Row],[קרן]],הפחתה8[[#This Row],[קרן]])</f>
        <v>1883.3572268057201</v>
      </c>
      <c r="G67" s="13">
        <f ca="1">IF(הפחתה23[[#This Row],[תאריך]]="",0,PropertyTaxAmount)</f>
        <v>0</v>
      </c>
      <c r="H67" s="13">
        <f ca="1">IF(הפחתה23[[#This Row],[תאריך]]="",0,הפחתה23[[#This Row],[ריבית]]+הפחתה23[[#This Row],[קרן]]+הפחתה23[[#This Row],[מס
רכוש]])</f>
        <v>5513.9266221913604</v>
      </c>
      <c r="I67" s="13">
        <f ca="1">IF(הפחתה23[[#This Row],[תאריך]]="",0,הפחתה23[[#This Row],[יתרת פתיחה]]-הפחתה23[[#This Row],[קרן]])</f>
        <v>903904.0832939439</v>
      </c>
      <c r="J67" s="11">
        <f ca="1">MAX(הפחתה[[#This Row],[תשלומים
שנותרו]],הפחתה5[[#This Row],[תשלומים
שנותרו]],הפחתה7[[#This Row],[תשלומים
שנותרו]],הפחתה8[[#This Row],[תשלומים
שנותרו]])</f>
        <v>296</v>
      </c>
    </row>
    <row r="68" spans="1:10" ht="15" customHeight="1" x14ac:dyDescent="0.25">
      <c r="A68" s="8"/>
      <c r="B68" s="11">
        <f>MAX(הפחתה[[#This Row],[מס'']],הפחתה5[[#This Row],[מס'']],הפחתה7[[#This Row],[מס'']],הפחתה8[[#This Row],[מס'']])</f>
        <v>65</v>
      </c>
      <c r="C68" s="12">
        <f ca="1">IF(ValuesEntered,IF(הפחתה23[[#This Row],[מס'']]&lt;=תקופת_ההלוואה,IF(ROW()-ROW(הפחתה[[#Headers],[תאריך]])=1,LoanStart,IF(I67&gt;0,EDATE(C67,1),"")),""),"")</f>
        <v>47331</v>
      </c>
      <c r="D68" s="13">
        <f ca="1">SUM(הפחתה[[#This Row],[יתרת פתיחה]],הפחתה5[[#This Row],[יתרת פתיחה]],הפחתה7[[#This Row],[יתרת פתיחה]],הפחתה8[[#This Row],[יתרת פתיחה]])</f>
        <v>904058.65507128718</v>
      </c>
      <c r="E68" s="13">
        <f ca="1">SUM(הפחתה[[#This Row],[ריבית]],הפחתה5[[#This Row],[ריבית]],הפחתה7[[#This Row],[ריבית]],הפחתה8[[#This Row],[ריבית]])</f>
        <v>3623.6276804473969</v>
      </c>
      <c r="F68" s="13">
        <f ca="1">SUM(הפחתה[[#This Row],[קרן]],הפחתה5[[#This Row],[קרן]],הפחתה7[[#This Row],[קרן]],הפחתה8[[#This Row],[קרן]])</f>
        <v>1891.0832654596963</v>
      </c>
      <c r="G68" s="13">
        <f ca="1">IF(הפחתה23[[#This Row],[תאריך]]="",0,PropertyTaxAmount)</f>
        <v>0</v>
      </c>
      <c r="H68" s="13">
        <f ca="1">IF(הפחתה23[[#This Row],[תאריך]]="",0,הפחתה23[[#This Row],[ריבית]]+הפחתה23[[#This Row],[קרן]]+הפחתה23[[#This Row],[מס
רכוש]])</f>
        <v>5514.7109459070934</v>
      </c>
      <c r="I68" s="13">
        <f ca="1">IF(הפחתה23[[#This Row],[תאריך]]="",0,הפחתה23[[#This Row],[יתרת פתיחה]]-הפחתה23[[#This Row],[קרן]])</f>
        <v>902167.57180582744</v>
      </c>
      <c r="J68" s="11">
        <f ca="1">MAX(הפחתה[[#This Row],[תשלומים
שנותרו]],הפחתה5[[#This Row],[תשלומים
שנותרו]],הפחתה7[[#This Row],[תשלומים
שנותרו]],הפחתה8[[#This Row],[תשלומים
שנותרו]])</f>
        <v>295</v>
      </c>
    </row>
    <row r="69" spans="1:10" ht="15" customHeight="1" x14ac:dyDescent="0.25">
      <c r="A69" s="8"/>
      <c r="B69" s="11">
        <f>MAX(הפחתה[[#This Row],[מס'']],הפחתה5[[#This Row],[מס'']],הפחתה7[[#This Row],[מס'']],הפחתה8[[#This Row],[מס'']])</f>
        <v>66</v>
      </c>
      <c r="C69" s="12">
        <f ca="1">IF(ValuesEntered,IF(הפחתה23[[#This Row],[מס'']]&lt;=תקופת_ההלוואה,IF(ROW()-ROW(הפחתה[[#Headers],[תאריך]])=1,LoanStart,IF(I68&gt;0,EDATE(C68,1),"")),""),"")</f>
        <v>47362</v>
      </c>
      <c r="D69" s="13">
        <f ca="1">SUM(הפחתה[[#This Row],[יתרת פתיחה]],הפחתה5[[#This Row],[יתרת פתיחה]],הפחתה7[[#This Row],[יתרת פתיחה]],הפחתה8[[#This Row],[יתרת פתיחה]])</f>
        <v>902321.88534189819</v>
      </c>
      <c r="E69" s="13">
        <f ca="1">SUM(הפחתה[[#This Row],[ריבית]],הפחתה5[[#This Row],[ריבית]],הפחתה7[[#This Row],[ריבית]],הפחתה8[[#This Row],[ריבית]])</f>
        <v>3616.6553162541363</v>
      </c>
      <c r="F69" s="13">
        <f ca="1">SUM(הפחתה[[#This Row],[קרן]],הפחתה5[[#This Row],[קרן]],הפחתה7[[#This Row],[קרן]],הפחתה8[[#This Row],[קרן]])</f>
        <v>1898.8412003200353</v>
      </c>
      <c r="G69" s="13">
        <f ca="1">IF(הפחתה23[[#This Row],[תאריך]]="",0,PropertyTaxAmount)</f>
        <v>0</v>
      </c>
      <c r="H69" s="13">
        <f ca="1">IF(הפחתה23[[#This Row],[תאריך]]="",0,הפחתה23[[#This Row],[ריבית]]+הפחתה23[[#This Row],[קרן]]+הפחתה23[[#This Row],[מס
רכוש]])</f>
        <v>5515.4965165741714</v>
      </c>
      <c r="I69" s="13">
        <f ca="1">IF(הפחתה23[[#This Row],[תאריך]]="",0,הפחתה23[[#This Row],[יתרת פתיחה]]-הפחתה23[[#This Row],[קרן]])</f>
        <v>900423.04414157814</v>
      </c>
      <c r="J69" s="11">
        <f ca="1">MAX(הפחתה[[#This Row],[תשלומים
שנותרו]],הפחתה5[[#This Row],[תשלומים
שנותרו]],הפחתה7[[#This Row],[תשלומים
שנותרו]],הפחתה8[[#This Row],[תשלומים
שנותרו]])</f>
        <v>294</v>
      </c>
    </row>
    <row r="70" spans="1:10" ht="15" customHeight="1" x14ac:dyDescent="0.25">
      <c r="A70" s="8"/>
      <c r="B70" s="11">
        <f>MAX(הפחתה[[#This Row],[מס'']],הפחתה5[[#This Row],[מס'']],הפחתה7[[#This Row],[מס'']],הפחתה8[[#This Row],[מס'']])</f>
        <v>67</v>
      </c>
      <c r="C70" s="12">
        <f ca="1">IF(ValuesEntered,IF(הפחתה23[[#This Row],[מס'']]&lt;=תקופת_ההלוואה,IF(ROW()-ROW(הפחתה[[#Headers],[תאריך]])=1,LoanStart,IF(I69&gt;0,EDATE(C69,1),"")),""),"")</f>
        <v>47392</v>
      </c>
      <c r="D70" s="13">
        <f ca="1">SUM(הפחתה[[#This Row],[יתרת פתיחה]],הפחתה5[[#This Row],[יתרת פתיחה]],הפחתה7[[#This Row],[יתרת פתיחה]],הפחתה8[[#This Row],[יתרת פתיחה]])</f>
        <v>900577.09715294</v>
      </c>
      <c r="E70" s="13">
        <f ca="1">SUM(הפחתה[[#This Row],[ריבית]],הפחתה5[[#This Row],[ריבית]],הפחתה7[[#This Row],[ריבית]],הפחתה8[[#This Row],[ריבית]])</f>
        <v>3609.6521721811587</v>
      </c>
      <c r="F70" s="13">
        <f ca="1">SUM(הפחתה[[#This Row],[קרן]],הפחתה5[[#This Row],[קרן]],הפחתה7[[#This Row],[קרן]],הפחתה8[[#This Row],[קרן]])</f>
        <v>1906.6311639388252</v>
      </c>
      <c r="G70" s="13">
        <f ca="1">IF(הפחתה23[[#This Row],[תאריך]]="",0,PropertyTaxAmount)</f>
        <v>0</v>
      </c>
      <c r="H70" s="13">
        <f ca="1">IF(הפחתה23[[#This Row],[תאריך]]="",0,הפחתה23[[#This Row],[ריבית]]+הפחתה23[[#This Row],[קרן]]+הפחתה23[[#This Row],[מס
רכוש]])</f>
        <v>5516.2833361199837</v>
      </c>
      <c r="I70" s="13">
        <f ca="1">IF(הפחתה23[[#This Row],[תאריך]]="",0,הפחתה23[[#This Row],[יתרת פתיחה]]-הפחתה23[[#This Row],[קרן]])</f>
        <v>898670.46598900121</v>
      </c>
      <c r="J70" s="11">
        <f ca="1">MAX(הפחתה[[#This Row],[תשלומים
שנותרו]],הפחתה5[[#This Row],[תשלומים
שנותרו]],הפחתה7[[#This Row],[תשלומים
שנותרו]],הפחתה8[[#This Row],[תשלומים
שנותרו]])</f>
        <v>293</v>
      </c>
    </row>
    <row r="71" spans="1:10" ht="15" customHeight="1" x14ac:dyDescent="0.25">
      <c r="A71" s="8"/>
      <c r="B71" s="11">
        <f>MAX(הפחתה[[#This Row],[מס'']],הפחתה5[[#This Row],[מס'']],הפחתה7[[#This Row],[מס'']],הפחתה8[[#This Row],[מס'']])</f>
        <v>68</v>
      </c>
      <c r="C71" s="12">
        <f ca="1">IF(ValuesEntered,IF(הפחתה23[[#This Row],[מס'']]&lt;=תקופת_ההלוואה,IF(ROW()-ROW(הפחתה[[#Headers],[תאריך]])=1,LoanStart,IF(I70&gt;0,EDATE(C70,1),"")),""),"")</f>
        <v>47423</v>
      </c>
      <c r="D71" s="13">
        <f ca="1">SUM(הפחתה[[#This Row],[יתרת פתיחה]],הפחתה5[[#This Row],[יתרת פתיחה]],הפחתה7[[#This Row],[יתרת פתיחה]],הפחתה8[[#This Row],[יתרת פתיחה]])</f>
        <v>898824.25618174055</v>
      </c>
      <c r="E71" s="13">
        <f ca="1">SUM(הפחתה[[#This Row],[ריבית]],הפחתה5[[#This Row],[ריבית]],הפחתה7[[#This Row],[ריבית]],הפחתה8[[#This Row],[ריבית]])</f>
        <v>3602.6181170524819</v>
      </c>
      <c r="F71" s="13">
        <f ca="1">SUM(הפחתה[[#This Row],[קרן]],הפחתה5[[#This Row],[קרן]],הפחתה7[[#This Row],[קרן]],הפחתה8[[#This Row],[קרן]])</f>
        <v>1914.4532894236322</v>
      </c>
      <c r="G71" s="13">
        <f ca="1">IF(הפחתה23[[#This Row],[תאריך]]="",0,PropertyTaxAmount)</f>
        <v>0</v>
      </c>
      <c r="H71" s="13">
        <f ca="1">IF(הפחתה23[[#This Row],[תאריך]]="",0,הפחתה23[[#This Row],[ריבית]]+הפחתה23[[#This Row],[קרן]]+הפחתה23[[#This Row],[מס
רכוש]])</f>
        <v>5517.0714064761141</v>
      </c>
      <c r="I71" s="13">
        <f ca="1">IF(הפחתה23[[#This Row],[תאריך]]="",0,הפחתה23[[#This Row],[יתרת פתיחה]]-הפחתה23[[#This Row],[קרן]])</f>
        <v>896909.80289231695</v>
      </c>
      <c r="J71" s="11">
        <f ca="1">MAX(הפחתה[[#This Row],[תשלומים
שנותרו]],הפחתה5[[#This Row],[תשלומים
שנותרו]],הפחתה7[[#This Row],[תשלומים
שנותרו]],הפחתה8[[#This Row],[תשלומים
שנותרו]])</f>
        <v>292</v>
      </c>
    </row>
    <row r="72" spans="1:10" ht="15" customHeight="1" x14ac:dyDescent="0.25">
      <c r="A72" s="8"/>
      <c r="B72" s="11">
        <f>MAX(הפחתה[[#This Row],[מס'']],הפחתה5[[#This Row],[מס'']],הפחתה7[[#This Row],[מס'']],הפחתה8[[#This Row],[מס'']])</f>
        <v>69</v>
      </c>
      <c r="C72" s="12">
        <f ca="1">IF(ValuesEntered,IF(הפחתה23[[#This Row],[מס'']]&lt;=תקופת_ההלוואה,IF(ROW()-ROW(הפחתה[[#Headers],[תאריך]])=1,LoanStart,IF(I71&gt;0,EDATE(C71,1),"")),""),"")</f>
        <v>47453</v>
      </c>
      <c r="D72" s="13">
        <f ca="1">SUM(הפחתה[[#This Row],[יתרת פתיחה]],הפחתה5[[#This Row],[יתרת פתיחה]],הפחתה7[[#This Row],[יתרת פתיחה]],הפחתה8[[#This Row],[יתרת פתיחה]])</f>
        <v>897063.32796200179</v>
      </c>
      <c r="E72" s="13">
        <f ca="1">SUM(הפחתה[[#This Row],[ריבית]],הפחתה5[[#This Row],[ריבית]],הפחתה7[[#This Row],[ריבית]],הפחתה8[[#This Row],[ריבית]])</f>
        <v>3595.5530191385133</v>
      </c>
      <c r="F72" s="13">
        <f ca="1">SUM(הפחתה[[#This Row],[קרן]],הפחתה5[[#This Row],[קרן]],הפחתה7[[#This Row],[קרן]],הפחתה8[[#This Row],[קרן]])</f>
        <v>1922.3077104398658</v>
      </c>
      <c r="G72" s="13">
        <f ca="1">IF(הפחתה23[[#This Row],[תאריך]]="",0,PropertyTaxAmount)</f>
        <v>0</v>
      </c>
      <c r="H72" s="13">
        <f ca="1">IF(הפחתה23[[#This Row],[תאריך]]="",0,הפחתה23[[#This Row],[ריבית]]+הפחתה23[[#This Row],[קרן]]+הפחתה23[[#This Row],[מס
רכוש]])</f>
        <v>5517.8607295783786</v>
      </c>
      <c r="I72" s="13">
        <f ca="1">IF(הפחתה23[[#This Row],[תאריך]]="",0,הפחתה23[[#This Row],[יתרת פתיחה]]-הפחתה23[[#This Row],[קרן]])</f>
        <v>895141.02025156189</v>
      </c>
      <c r="J72" s="11">
        <f ca="1">MAX(הפחתה[[#This Row],[תשלומים
שנותרו]],הפחתה5[[#This Row],[תשלומים
שנותרו]],הפחתה7[[#This Row],[תשלומים
שנותרו]],הפחתה8[[#This Row],[תשלומים
שנותרו]])</f>
        <v>291</v>
      </c>
    </row>
    <row r="73" spans="1:10" ht="15" customHeight="1" x14ac:dyDescent="0.25">
      <c r="A73" s="8"/>
      <c r="B73" s="11">
        <f>MAX(הפחתה[[#This Row],[מס'']],הפחתה5[[#This Row],[מס'']],הפחתה7[[#This Row],[מס'']],הפחתה8[[#This Row],[מס'']])</f>
        <v>70</v>
      </c>
      <c r="C73" s="12">
        <f ca="1">IF(ValuesEntered,IF(הפחתה23[[#This Row],[מס'']]&lt;=תקופת_ההלוואה,IF(ROW()-ROW(הפחתה[[#Headers],[תאריך]])=1,LoanStart,IF(I72&gt;0,EDATE(C72,1),"")),""),"")</f>
        <v>47484</v>
      </c>
      <c r="D73" s="13">
        <f ca="1">SUM(הפחתה[[#This Row],[יתרת פתיחה]],הפחתה5[[#This Row],[יתרת פתיחה]],הפחתה7[[#This Row],[יתרת פתיחה]],הפחתה8[[#This Row],[יתרת פתיחה]])</f>
        <v>895294.27788319858</v>
      </c>
      <c r="E73" s="13">
        <f ca="1">SUM(הפחתה[[#This Row],[ריבית]],הפחתה5[[#This Row],[ריבית]],הפחתה7[[#This Row],[ריבית]],הפחתה8[[#This Row],[ריבית]])</f>
        <v>3588.4567461537135</v>
      </c>
      <c r="F73" s="13">
        <f ca="1">SUM(הפחתה[[#This Row],[קרן]],הפחתה5[[#This Row],[קרן]],הפחתה7[[#This Row],[קרן]],הפחתה8[[#This Row],[קרן]])</f>
        <v>1930.1945612131603</v>
      </c>
      <c r="G73" s="13">
        <f ca="1">IF(הפחתה23[[#This Row],[תאריך]]="",0,PropertyTaxAmount)</f>
        <v>0</v>
      </c>
      <c r="H73" s="13">
        <f ca="1">IF(הפחתה23[[#This Row],[תאריך]]="",0,הפחתה23[[#This Row],[ריבית]]+הפחתה23[[#This Row],[קרן]]+הפחתה23[[#This Row],[מס
רכוש]])</f>
        <v>5518.6513073668739</v>
      </c>
      <c r="I73" s="13">
        <f ca="1">IF(הפחתה23[[#This Row],[תאריך]]="",0,הפחתה23[[#This Row],[יתרת פתיחה]]-הפחתה23[[#This Row],[קרן]])</f>
        <v>893364.08332198544</v>
      </c>
      <c r="J73" s="11">
        <f ca="1">MAX(הפחתה[[#This Row],[תשלומים
שנותרו]],הפחתה5[[#This Row],[תשלומים
שנותרו]],הפחתה7[[#This Row],[תשלומים
שנותרו]],הפחתה8[[#This Row],[תשלומים
שנותרו]])</f>
        <v>290</v>
      </c>
    </row>
    <row r="74" spans="1:10" ht="15" customHeight="1" x14ac:dyDescent="0.25">
      <c r="A74" s="8"/>
      <c r="B74" s="11">
        <f>MAX(הפחתה[[#This Row],[מס'']],הפחתה5[[#This Row],[מס'']],הפחתה7[[#This Row],[מס'']],הפחתה8[[#This Row],[מס'']])</f>
        <v>71</v>
      </c>
      <c r="C74" s="12">
        <f ca="1">IF(ValuesEntered,IF(הפחתה23[[#This Row],[מס'']]&lt;=תקופת_ההלוואה,IF(ROW()-ROW(הפחתה[[#Headers],[תאריך]])=1,LoanStart,IF(I73&gt;0,EDATE(C73,1),"")),""),"")</f>
        <v>47515</v>
      </c>
      <c r="D74" s="13">
        <f ca="1">SUM(הפחתה[[#This Row],[יתרת פתיחה]],הפחתה5[[#This Row],[יתרת פתיחה]],הפחתה7[[#This Row],[יתרת פתיחה]],הפחתה8[[#This Row],[יתרת פתיחה]])</f>
        <v>893517.07118997804</v>
      </c>
      <c r="E74" s="13">
        <f ca="1">SUM(הפחתה[[#This Row],[ריבית]],הפחתה5[[#This Row],[ריבית]],הפחתה7[[#This Row],[ריבית]],הפחתה8[[#This Row],[ריבית]])</f>
        <v>3581.329165254248</v>
      </c>
      <c r="F74" s="13">
        <f ca="1">SUM(הפחתה[[#This Row],[קרן]],הפחתה5[[#This Row],[קרן]],הפחתה7[[#This Row],[קרן]],הפחתה8[[#This Row],[קרן]])</f>
        <v>1938.1139765317689</v>
      </c>
      <c r="G74" s="13">
        <f ca="1">IF(הפחתה23[[#This Row],[תאריך]]="",0,PropertyTaxAmount)</f>
        <v>0</v>
      </c>
      <c r="H74" s="13">
        <f ca="1">IF(הפחתה23[[#This Row],[תאריך]]="",0,הפחתה23[[#This Row],[ריבית]]+הפחתה23[[#This Row],[קרן]]+הפחתה23[[#This Row],[מס
רכוש]])</f>
        <v>5519.4431417860169</v>
      </c>
      <c r="I74" s="13">
        <f ca="1">IF(הפחתה23[[#This Row],[תאריך]]="",0,הפחתה23[[#This Row],[יתרת פתיחה]]-הפחתה23[[#This Row],[קרן]])</f>
        <v>891578.95721344627</v>
      </c>
      <c r="J74" s="11">
        <f ca="1">MAX(הפחתה[[#This Row],[תשלומים
שנותרו]],הפחתה5[[#This Row],[תשלומים
שנותרו]],הפחתה7[[#This Row],[תשלומים
שנותרו]],הפחתה8[[#This Row],[תשלומים
שנותרו]])</f>
        <v>289</v>
      </c>
    </row>
    <row r="75" spans="1:10" ht="15" customHeight="1" x14ac:dyDescent="0.25">
      <c r="A75" s="8"/>
      <c r="B75" s="11">
        <f>MAX(הפחתה[[#This Row],[מס'']],הפחתה5[[#This Row],[מס'']],הפחתה7[[#This Row],[מס'']],הפחתה8[[#This Row],[מס'']])</f>
        <v>72</v>
      </c>
      <c r="C75" s="12">
        <f ca="1">IF(ValuesEntered,IF(הפחתה23[[#This Row],[מס'']]&lt;=תקופת_ההלוואה,IF(ROW()-ROW(הפחתה[[#Headers],[תאריך]])=1,LoanStart,IF(I74&gt;0,EDATE(C74,1),"")),""),"")</f>
        <v>47543</v>
      </c>
      <c r="D75" s="13">
        <f ca="1">SUM(הפחתה[[#This Row],[יתרת פתיחה]],הפחתה5[[#This Row],[יתרת פתיחה]],הפחתה7[[#This Row],[יתרת פתיחה]],הפחתה8[[#This Row],[יתרת פתיחה]])</f>
        <v>891731.67298155359</v>
      </c>
      <c r="E75" s="13">
        <f ca="1">SUM(הפחתה[[#This Row],[ריבית]],הפחתה5[[#This Row],[ריבית]],הפחתה7[[#This Row],[ריבית]],הפחתה8[[#This Row],[ריבית]])</f>
        <v>3574.1701430356288</v>
      </c>
      <c r="F75" s="13">
        <f ca="1">SUM(הפחתה[[#This Row],[קרן]],הפחתה5[[#This Row],[קרן]],הפחתה7[[#This Row],[קרן]],הפחתה8[[#This Row],[קרן]])</f>
        <v>1946.0660917489638</v>
      </c>
      <c r="G75" s="13">
        <f ca="1">IF(הפחתה23[[#This Row],[תאריך]]="",0,PropertyTaxAmount)</f>
        <v>0</v>
      </c>
      <c r="H75" s="13">
        <f ca="1">IF(הפחתה23[[#This Row],[תאריך]]="",0,הפחתה23[[#This Row],[ריבית]]+הפחתה23[[#This Row],[קרן]]+הפחתה23[[#This Row],[מס
רכוש]])</f>
        <v>5520.2362347845929</v>
      </c>
      <c r="I75" s="13">
        <f ca="1">IF(הפחתה23[[#This Row],[תאריך]]="",0,הפחתה23[[#This Row],[יתרת פתיחה]]-הפחתה23[[#This Row],[קרן]])</f>
        <v>889785.60688980459</v>
      </c>
      <c r="J75" s="11">
        <f ca="1">MAX(הפחתה[[#This Row],[תשלומים
שנותרו]],הפחתה5[[#This Row],[תשלומים
שנותרו]],הפחתה7[[#This Row],[תשלומים
שנותרו]],הפחתה8[[#This Row],[תשלומים
שנותרו]])</f>
        <v>288</v>
      </c>
    </row>
    <row r="76" spans="1:10" ht="15" customHeight="1" x14ac:dyDescent="0.25">
      <c r="A76" s="8"/>
      <c r="B76" s="11">
        <f>MAX(הפחתה[[#This Row],[מס'']],הפחתה5[[#This Row],[מס'']],הפחתה7[[#This Row],[מס'']],הפחתה8[[#This Row],[מס'']])</f>
        <v>73</v>
      </c>
      <c r="C76" s="12">
        <f ca="1">IF(ValuesEntered,IF(הפחתה23[[#This Row],[מס'']]&lt;=תקופת_ההלוואה,IF(ROW()-ROW(הפחתה[[#Headers],[תאריך]])=1,LoanStart,IF(I75&gt;0,EDATE(C75,1),"")),""),"")</f>
        <v>47574</v>
      </c>
      <c r="D76" s="13">
        <f ca="1">SUM(הפחתה[[#This Row],[יתרת פתיחה]],הפחתה5[[#This Row],[יתרת פתיחה]],הפחתה7[[#This Row],[יתרת פתיחה]],הפחתה8[[#This Row],[יתרת פתיחה]])</f>
        <v>889938.04821109807</v>
      </c>
      <c r="E76" s="13">
        <f ca="1">SUM(הפחתה[[#This Row],[ריבית]],הפחתה5[[#This Row],[ריבית]],הפחתה7[[#This Row],[ריבית]],הפחתה8[[#This Row],[ריבית]])</f>
        <v>3566.9795455303492</v>
      </c>
      <c r="F76" s="13">
        <f ca="1">SUM(הפחתה[[#This Row],[קרן]],הפחתה5[[#This Row],[קרן]],הפחתה7[[#This Row],[קרן]],הפחתה8[[#This Row],[קרן]])</f>
        <v>1954.0510427854499</v>
      </c>
      <c r="G76" s="13">
        <f ca="1">IF(הפחתה23[[#This Row],[תאריך]]="",0,PropertyTaxAmount)</f>
        <v>0</v>
      </c>
      <c r="H76" s="13">
        <f ca="1">IF(הפחתה23[[#This Row],[תאריך]]="",0,הפחתה23[[#This Row],[ריבית]]+הפחתה23[[#This Row],[קרן]]+הפחתה23[[#This Row],[מס
רכוש]])</f>
        <v>5521.0305883157989</v>
      </c>
      <c r="I76" s="13">
        <f ca="1">IF(הפחתה23[[#This Row],[תאריך]]="",0,הפחתה23[[#This Row],[יתרת פתיחה]]-הפחתה23[[#This Row],[קרן]])</f>
        <v>887983.99716831266</v>
      </c>
      <c r="J76" s="11">
        <f ca="1">MAX(הפחתה[[#This Row],[תשלומים
שנותרו]],הפחתה5[[#This Row],[תשלומים
שנותרו]],הפחתה7[[#This Row],[תשלומים
שנותרו]],הפחתה8[[#This Row],[תשלומים
שנותרו]])</f>
        <v>287</v>
      </c>
    </row>
    <row r="77" spans="1:10" ht="15" customHeight="1" x14ac:dyDescent="0.25">
      <c r="A77" s="8"/>
      <c r="B77" s="11">
        <f>MAX(הפחתה[[#This Row],[מס'']],הפחתה5[[#This Row],[מס'']],הפחתה7[[#This Row],[מס'']],הפחתה8[[#This Row],[מס'']])</f>
        <v>74</v>
      </c>
      <c r="C77" s="12">
        <f ca="1">IF(ValuesEntered,IF(הפחתה23[[#This Row],[מס'']]&lt;=תקופת_ההלוואה,IF(ROW()-ROW(הפחתה[[#Headers],[תאריך]])=1,LoanStart,IF(I76&gt;0,EDATE(C76,1),"")),""),"")</f>
        <v>47604</v>
      </c>
      <c r="D77" s="13">
        <f ca="1">SUM(הפחתה[[#This Row],[יתרת פתיחה]],הפחתה5[[#This Row],[יתרת פתיחה]],הפחתה7[[#This Row],[יתרת פתיחה]],הפחתה8[[#This Row],[יתרת פתיחה]])</f>
        <v>888136.16168513382</v>
      </c>
      <c r="E77" s="13">
        <f ca="1">SUM(הפחתה[[#This Row],[ריבית]],הפחתה5[[#This Row],[ריבית]],הפחתה7[[#This Row],[ריבית]],הפחתה8[[#This Row],[ריבית]])</f>
        <v>3559.7572382055046</v>
      </c>
      <c r="F77" s="13">
        <f ca="1">SUM(הפחתה[[#This Row],[קרן]],הפחתה5[[#This Row],[קרן]],הפחתה7[[#This Row],[קרן]],הפחתה8[[#This Row],[קרן]])</f>
        <v>1962.068966131792</v>
      </c>
      <c r="G77" s="13">
        <f ca="1">IF(הפחתה23[[#This Row],[תאריך]]="",0,PropertyTaxAmount)</f>
        <v>0</v>
      </c>
      <c r="H77" s="13">
        <f ca="1">IF(הפחתה23[[#This Row],[תאריך]]="",0,הפחתה23[[#This Row],[ריבית]]+הפחתה23[[#This Row],[קרן]]+הפחתה23[[#This Row],[מס
רכוש]])</f>
        <v>5521.8262043372961</v>
      </c>
      <c r="I77" s="13">
        <f ca="1">IF(הפחתה23[[#This Row],[תאריך]]="",0,הפחתה23[[#This Row],[יתרת פתיחה]]-הפחתה23[[#This Row],[קרן]])</f>
        <v>886174.09271900204</v>
      </c>
      <c r="J77" s="11">
        <f ca="1">MAX(הפחתה[[#This Row],[תשלומים
שנותרו]],הפחתה5[[#This Row],[תשלומים
שנותרו]],הפחתה7[[#This Row],[תשלומים
שנותרו]],הפחתה8[[#This Row],[תשלומים
שנותרו]])</f>
        <v>286</v>
      </c>
    </row>
    <row r="78" spans="1:10" ht="15" customHeight="1" x14ac:dyDescent="0.25">
      <c r="A78" s="8"/>
      <c r="B78" s="11">
        <f>MAX(הפחתה[[#This Row],[מס'']],הפחתה5[[#This Row],[מס'']],הפחתה7[[#This Row],[מס'']],הפחתה8[[#This Row],[מס'']])</f>
        <v>75</v>
      </c>
      <c r="C78" s="12">
        <f ca="1">IF(ValuesEntered,IF(הפחתה23[[#This Row],[מס'']]&lt;=תקופת_ההלוואה,IF(ROW()-ROW(הפחתה[[#Headers],[תאריך]])=1,LoanStart,IF(I77&gt;0,EDATE(C77,1),"")),""),"")</f>
        <v>47635</v>
      </c>
      <c r="D78" s="13">
        <f ca="1">SUM(הפחתה[[#This Row],[יתרת פתיחה]],הפחתה5[[#This Row],[יתרת פתיחה]],הפחתה7[[#This Row],[יתרת פתיחה]],הפחתה8[[#This Row],[יתרת פתיחה]])</f>
        <v>886325.97806292074</v>
      </c>
      <c r="E78" s="13">
        <f ca="1">SUM(הפחתה[[#This Row],[ריבית]],הפחתה5[[#This Row],[ריבית]],הפחתה7[[#This Row],[ריבית]],הפחתה8[[#This Row],[ריבית]])</f>
        <v>3552.5030859604021</v>
      </c>
      <c r="F78" s="13">
        <f ca="1">SUM(הפחתה[[#This Row],[קרן]],הפחתה5[[#This Row],[קרן]],הפחתה7[[#This Row],[קרן]],הפחתה8[[#This Row],[קרן]])</f>
        <v>1970.1199988508492</v>
      </c>
      <c r="G78" s="13">
        <f ca="1">IF(הפחתה23[[#This Row],[תאריך]]="",0,PropertyTaxAmount)</f>
        <v>0</v>
      </c>
      <c r="H78" s="13">
        <f ca="1">IF(הפחתה23[[#This Row],[תאריך]]="",0,הפחתה23[[#This Row],[ריבית]]+הפחתה23[[#This Row],[קרן]]+הפחתה23[[#This Row],[מס
רכוש]])</f>
        <v>5522.6230848112518</v>
      </c>
      <c r="I78" s="13">
        <f ca="1">IF(הפחתה23[[#This Row],[תאריך]]="",0,הפחתה23[[#This Row],[יתרת פתיחה]]-הפחתה23[[#This Row],[קרן]])</f>
        <v>884355.85806406988</v>
      </c>
      <c r="J78" s="11">
        <f ca="1">MAX(הפחתה[[#This Row],[תשלומים
שנותרו]],הפחתה5[[#This Row],[תשלומים
שנותרו]],הפחתה7[[#This Row],[תשלומים
שנותרו]],הפחתה8[[#This Row],[תשלומים
שנותרו]])</f>
        <v>285</v>
      </c>
    </row>
    <row r="79" spans="1:10" ht="15" customHeight="1" x14ac:dyDescent="0.25">
      <c r="A79" s="8"/>
      <c r="B79" s="11">
        <f>MAX(הפחתה[[#This Row],[מס'']],הפחתה5[[#This Row],[מס'']],הפחתה7[[#This Row],[מס'']],הפחתה8[[#This Row],[מס'']])</f>
        <v>76</v>
      </c>
      <c r="C79" s="12">
        <f ca="1">IF(ValuesEntered,IF(הפחתה23[[#This Row],[מס'']]&lt;=תקופת_ההלוואה,IF(ROW()-ROW(הפחתה[[#Headers],[תאריך]])=1,LoanStart,IF(I78&gt;0,EDATE(C78,1),"")),""),"")</f>
        <v>47665</v>
      </c>
      <c r="D79" s="13">
        <f ca="1">SUM(הפחתה[[#This Row],[יתרת פתיחה]],הפחתה5[[#This Row],[יתרת פתיחה]],הפחתה7[[#This Row],[יתרת פתיחה]],הפחתה8[[#This Row],[יתרת פתיחה]])</f>
        <v>884507.46185583971</v>
      </c>
      <c r="E79" s="13">
        <f ca="1">SUM(הפחתה[[#This Row],[ריבית]],הפחתה5[[#This Row],[ריבית]],הפחתה7[[#This Row],[ריבית]],הפחתה8[[#This Row],[ריבית]])</f>
        <v>3545.216953124168</v>
      </c>
      <c r="F79" s="13">
        <f ca="1">SUM(הפחתה[[#This Row],[קרן]],הפחתה5[[#This Row],[קרן]],הפחתה7[[#This Row],[קרן]],הפחתה8[[#This Row],[קרן]])</f>
        <v>1978.2042785802221</v>
      </c>
      <c r="G79" s="13">
        <f ca="1">IF(הפחתה23[[#This Row],[תאריך]]="",0,PropertyTaxAmount)</f>
        <v>0</v>
      </c>
      <c r="H79" s="13">
        <f ca="1">IF(הפחתה23[[#This Row],[תאריך]]="",0,הפחתה23[[#This Row],[ריבית]]+הפחתה23[[#This Row],[קרן]]+הפחתה23[[#This Row],[מס
רכוש]])</f>
        <v>5523.4212317043903</v>
      </c>
      <c r="I79" s="13">
        <f ca="1">IF(הפחתה23[[#This Row],[תאריך]]="",0,הפחתה23[[#This Row],[יתרת פתיחה]]-הפחתה23[[#This Row],[קרן]])</f>
        <v>882529.25757725944</v>
      </c>
      <c r="J79" s="11">
        <f ca="1">MAX(הפחתה[[#This Row],[תשלומים
שנותרו]],הפחתה5[[#This Row],[תשלומים
שנותרו]],הפחתה7[[#This Row],[תשלומים
שנותרו]],הפחתה8[[#This Row],[תשלומים
שנותרו]])</f>
        <v>284</v>
      </c>
    </row>
    <row r="80" spans="1:10" ht="15" customHeight="1" x14ac:dyDescent="0.25">
      <c r="A80" s="8"/>
      <c r="B80" s="11">
        <f>MAX(הפחתה[[#This Row],[מס'']],הפחתה5[[#This Row],[מס'']],הפחתה7[[#This Row],[מס'']],הפחתה8[[#This Row],[מס'']])</f>
        <v>77</v>
      </c>
      <c r="C80" s="12">
        <f ca="1">IF(ValuesEntered,IF(הפחתה23[[#This Row],[מס'']]&lt;=תקופת_ההלוואה,IF(ROW()-ROW(הפחתה[[#Headers],[תאריך]])=1,LoanStart,IF(I79&gt;0,EDATE(C79,1),"")),""),"")</f>
        <v>47696</v>
      </c>
      <c r="D80" s="13">
        <f ca="1">SUM(הפחתה[[#This Row],[יתרת פתיחה]],הפחתה5[[#This Row],[יתרת פתיחה]],הפחתה7[[#This Row],[יתרת פתיחה]],הפחתה8[[#This Row],[יתרת פתיחה]])</f>
        <v>882680.57742677629</v>
      </c>
      <c r="E80" s="13">
        <f ca="1">SUM(הפחתה[[#This Row],[ריבית]],הפחתה5[[#This Row],[ריבית]],הפחתה7[[#This Row],[ריבית]],הפחתה8[[#This Row],[ריבית]])</f>
        <v>3537.8987034533338</v>
      </c>
      <c r="F80" s="13">
        <f ca="1">SUM(הפחתה[[#This Row],[קרן]],הפחתה5[[#This Row],[קרן]],הפחתה7[[#This Row],[קרן]],הפחתה8[[#This Row],[קרן]])</f>
        <v>1986.3219435347135</v>
      </c>
      <c r="G80" s="13">
        <f ca="1">IF(הפחתה23[[#This Row],[תאריך]]="",0,PropertyTaxAmount)</f>
        <v>0</v>
      </c>
      <c r="H80" s="13">
        <f ca="1">IF(הפחתה23[[#This Row],[תאריך]]="",0,הפחתה23[[#This Row],[ריבית]]+הפחתה23[[#This Row],[קרן]]+הפחתה23[[#This Row],[מס
רכוש]])</f>
        <v>5524.2206469880475</v>
      </c>
      <c r="I80" s="13">
        <f ca="1">IF(הפחתה23[[#This Row],[תאריך]]="",0,הפחתה23[[#This Row],[יתרת פתיחה]]-הפחתה23[[#This Row],[קרן]])</f>
        <v>880694.25548324152</v>
      </c>
      <c r="J80" s="11">
        <f ca="1">MAX(הפחתה[[#This Row],[תשלומים
שנותרו]],הפחתה5[[#This Row],[תשלומים
שנותרו]],הפחתה7[[#This Row],[תשלומים
שנותרו]],הפחתה8[[#This Row],[תשלומים
שנותרו]])</f>
        <v>283</v>
      </c>
    </row>
    <row r="81" spans="1:10" ht="15" customHeight="1" x14ac:dyDescent="0.25">
      <c r="A81" s="8"/>
      <c r="B81" s="11">
        <f>MAX(הפחתה[[#This Row],[מס'']],הפחתה5[[#This Row],[מס'']],הפחתה7[[#This Row],[מס'']],הפחתה8[[#This Row],[מס'']])</f>
        <v>78</v>
      </c>
      <c r="C81" s="12">
        <f ca="1">IF(ValuesEntered,IF(הפחתה23[[#This Row],[מס'']]&lt;=תקופת_ההלוואה,IF(ROW()-ROW(הפחתה[[#Headers],[תאריך]])=1,LoanStart,IF(I80&gt;0,EDATE(C80,1),"")),""),"")</f>
        <v>47727</v>
      </c>
      <c r="D81" s="13">
        <f ca="1">SUM(הפחתה[[#This Row],[יתרת פתיחה]],הפחתה5[[#This Row],[יתרת פתיחה]],הפחתה7[[#This Row],[יתרת פתיחה]],הפחתה8[[#This Row],[יתרת פתיחה]])</f>
        <v>880845.28898949991</v>
      </c>
      <c r="E81" s="13">
        <f ca="1">SUM(הפחתה[[#This Row],[ריבית]],הפחתה5[[#This Row],[ריבית]],הפחתה7[[#This Row],[ריבית]],הפחתה8[[#This Row],[ריבית]])</f>
        <v>3530.5482001294222</v>
      </c>
      <c r="F81" s="13">
        <f ca="1">SUM(הפחתה[[#This Row],[קרן]],הפחתה5[[#This Row],[קרן]],הפחתה7[[#This Row],[קרן]],הפחתה8[[#This Row],[קרן]])</f>
        <v>1994.4731325087946</v>
      </c>
      <c r="G81" s="13">
        <f ca="1">IF(הפחתה23[[#This Row],[תאריך]]="",0,PropertyTaxAmount)</f>
        <v>0</v>
      </c>
      <c r="H81" s="13">
        <f ca="1">IF(הפחתה23[[#This Row],[תאריך]]="",0,הפחתה23[[#This Row],[ריבית]]+הפחתה23[[#This Row],[קרן]]+הפחתה23[[#This Row],[מס
רכוש]])</f>
        <v>5525.0213326382163</v>
      </c>
      <c r="I81" s="13">
        <f ca="1">IF(הפחתה23[[#This Row],[תאריך]]="",0,הפחתה23[[#This Row],[יתרת פתיחה]]-הפחתה23[[#This Row],[קרן]])</f>
        <v>878850.8158569911</v>
      </c>
      <c r="J81" s="11">
        <f ca="1">MAX(הפחתה[[#This Row],[תשלומים
שנותרו]],הפחתה5[[#This Row],[תשלומים
שנותרו]],הפחתה7[[#This Row],[תשלומים
שנותרו]],הפחתה8[[#This Row],[תשלומים
שנותרו]])</f>
        <v>282</v>
      </c>
    </row>
    <row r="82" spans="1:10" ht="15" customHeight="1" x14ac:dyDescent="0.25">
      <c r="A82" s="8"/>
      <c r="B82" s="11">
        <f>MAX(הפחתה[[#This Row],[מס'']],הפחתה5[[#This Row],[מס'']],הפחתה7[[#This Row],[מס'']],הפחתה8[[#This Row],[מס'']])</f>
        <v>79</v>
      </c>
      <c r="C82" s="12">
        <f ca="1">IF(ValuesEntered,IF(הפחתה23[[#This Row],[מס'']]&lt;=תקופת_ההלוואה,IF(ROW()-ROW(הפחתה[[#Headers],[תאריך]])=1,LoanStart,IF(I81&gt;0,EDATE(C81,1),"")),""),"")</f>
        <v>47757</v>
      </c>
      <c r="D82" s="13">
        <f ca="1">SUM(הפחתה[[#This Row],[יתרת פתיחה]],הפחתה5[[#This Row],[יתרת פתיחה]],הפחתה7[[#This Row],[יתרת פתיחה]],הפחתה8[[#This Row],[יתרת פתיחה]])</f>
        <v>879001.56060804054</v>
      </c>
      <c r="E82" s="13">
        <f ca="1">SUM(הפחתה[[#This Row],[ריבית]],הפחתה5[[#This Row],[ריבית]],הפחתה7[[#This Row],[ריבית]],הפחתה8[[#This Row],[ריבית]])</f>
        <v>3523.1653057565145</v>
      </c>
      <c r="F82" s="13">
        <f ca="1">SUM(הפחתה[[#This Row],[קרן]],הפחתה5[[#This Row],[קרן]],הפחתה7[[#This Row],[קרן]],הפחתה8[[#This Row],[קרן]])</f>
        <v>2002.6579848790914</v>
      </c>
      <c r="G82" s="13">
        <f ca="1">IF(הפחתה23[[#This Row],[תאריך]]="",0,PropertyTaxAmount)</f>
        <v>0</v>
      </c>
      <c r="H82" s="13">
        <f ca="1">IF(הפחתה23[[#This Row],[תאריך]]="",0,הפחתה23[[#This Row],[ריבית]]+הפחתה23[[#This Row],[קרן]]+הפחתה23[[#This Row],[מס
רכוש]])</f>
        <v>5525.8232906356061</v>
      </c>
      <c r="I82" s="13">
        <f ca="1">IF(הפחתה23[[#This Row],[תאריך]]="",0,הפחתה23[[#This Row],[יתרת פתיחה]]-הפחתה23[[#This Row],[קרן]])</f>
        <v>876998.90262316144</v>
      </c>
      <c r="J82" s="11">
        <f ca="1">MAX(הפחתה[[#This Row],[תשלומים
שנותרו]],הפחתה5[[#This Row],[תשלומים
שנותרו]],הפחתה7[[#This Row],[תשלומים
שנותרו]],הפחתה8[[#This Row],[תשלומים
שנותרו]])</f>
        <v>281</v>
      </c>
    </row>
    <row r="83" spans="1:10" ht="15" customHeight="1" x14ac:dyDescent="0.25">
      <c r="A83" s="8"/>
      <c r="B83" s="11">
        <f>MAX(הפחתה[[#This Row],[מס'']],הפחתה5[[#This Row],[מס'']],הפחתה7[[#This Row],[מס'']],הפחתה8[[#This Row],[מס'']])</f>
        <v>80</v>
      </c>
      <c r="C83" s="12">
        <f ca="1">IF(ValuesEntered,IF(הפחתה23[[#This Row],[מס'']]&lt;=תקופת_ההלוואה,IF(ROW()-ROW(הפחתה[[#Headers],[תאריך]])=1,LoanStart,IF(I82&gt;0,EDATE(C82,1),"")),""),"")</f>
        <v>47788</v>
      </c>
      <c r="D83" s="13">
        <f ca="1">SUM(הפחתה[[#This Row],[יתרת פתיחה]],הפחתה5[[#This Row],[יתרת פתיחה]],הפחתה7[[#This Row],[יתרת פתיחה]],הפחתה8[[#This Row],[יתרת פתיחה]])</f>
        <v>877149.35619606415</v>
      </c>
      <c r="E83" s="13">
        <f ca="1">SUM(הפחתה[[#This Row],[ריבית]],הפחתה5[[#This Row],[ריבית]],הפחתה7[[#This Row],[ריבית]],הפחתה8[[#This Row],[ריבית]])</f>
        <v>3515.7498823588135</v>
      </c>
      <c r="F83" s="13">
        <f ca="1">SUM(הפחתה[[#This Row],[קרן]],הפחתה5[[#This Row],[קרן]],הפחתה7[[#This Row],[קרן]],הפחתה8[[#This Row],[קרן]])</f>
        <v>2010.8766406068742</v>
      </c>
      <c r="G83" s="13">
        <f ca="1">IF(הפחתה23[[#This Row],[תאריך]]="",0,PropertyTaxAmount)</f>
        <v>0</v>
      </c>
      <c r="H83" s="13">
        <f ca="1">IF(הפחתה23[[#This Row],[תאריך]]="",0,הפחתה23[[#This Row],[ריבית]]+הפחתה23[[#This Row],[קרן]]+הפחתה23[[#This Row],[מס
רכוש]])</f>
        <v>5526.6265229656874</v>
      </c>
      <c r="I83" s="13">
        <f ca="1">IF(הפחתה23[[#This Row],[תאריך]]="",0,הפחתה23[[#This Row],[יתרת פתיחה]]-הפחתה23[[#This Row],[קרן]])</f>
        <v>875138.47955545725</v>
      </c>
      <c r="J83" s="11">
        <f ca="1">MAX(הפחתה[[#This Row],[תשלומים
שנותרו]],הפחתה5[[#This Row],[תשלומים
שנותרו]],הפחתה7[[#This Row],[תשלומים
שנותרו]],הפחתה8[[#This Row],[תשלומים
שנותרו]])</f>
        <v>280</v>
      </c>
    </row>
    <row r="84" spans="1:10" ht="15" customHeight="1" x14ac:dyDescent="0.25">
      <c r="A84" s="8"/>
      <c r="B84" s="11">
        <f>MAX(הפחתה[[#This Row],[מס'']],הפחתה5[[#This Row],[מס'']],הפחתה7[[#This Row],[מס'']],הפחתה8[[#This Row],[מס'']])</f>
        <v>81</v>
      </c>
      <c r="C84" s="12">
        <f ca="1">IF(ValuesEntered,IF(הפחתה23[[#This Row],[מס'']]&lt;=תקופת_ההלוואה,IF(ROW()-ROW(הפחתה[[#Headers],[תאריך]])=1,LoanStart,IF(I83&gt;0,EDATE(C83,1),"")),""),"")</f>
        <v>47818</v>
      </c>
      <c r="D84" s="13">
        <f ca="1">SUM(הפחתה[[#This Row],[יתרת פתיחה]],הפחתה5[[#This Row],[יתרת פתיחה]],הפחתה7[[#This Row],[יתרת פתיחה]],הפחתה8[[#This Row],[יתרת פתיחה]])</f>
        <v>875288.63951624255</v>
      </c>
      <c r="E84" s="13">
        <f ca="1">SUM(הפחתה[[#This Row],[ריבית]],הפחתה5[[#This Row],[ריבית]],הפחתה7[[#This Row],[ריבית]],הפחתה8[[#This Row],[ריבית]])</f>
        <v>3508.3017913781955</v>
      </c>
      <c r="F84" s="13">
        <f ca="1">SUM(הפחתה[[#This Row],[קרן]],הפחתה5[[#This Row],[קרן]],הפחתה7[[#This Row],[קרן]],הפחתה8[[#This Row],[קרן]])</f>
        <v>2019.1292402405657</v>
      </c>
      <c r="G84" s="13">
        <f ca="1">IF(הפחתה23[[#This Row],[תאריך]]="",0,PropertyTaxAmount)</f>
        <v>0</v>
      </c>
      <c r="H84" s="13">
        <f ca="1">IF(הפחתה23[[#This Row],[תאריך]]="",0,הפחתה23[[#This Row],[ריבית]]+הפחתה23[[#This Row],[קרן]]+הפחתה23[[#This Row],[מס
רכוש]])</f>
        <v>5527.4310316187612</v>
      </c>
      <c r="I84" s="13">
        <f ca="1">IF(הפחתה23[[#This Row],[תאריך]]="",0,הפחתה23[[#This Row],[יתרת פתיחה]]-הפחתה23[[#This Row],[קרן]])</f>
        <v>873269.51027600199</v>
      </c>
      <c r="J84" s="11">
        <f ca="1">MAX(הפחתה[[#This Row],[תשלומים
שנותרו]],הפחתה5[[#This Row],[תשלומים
שנותרו]],הפחתה7[[#This Row],[תשלומים
שנותרו]],הפחתה8[[#This Row],[תשלומים
שנותרו]])</f>
        <v>279</v>
      </c>
    </row>
    <row r="85" spans="1:10" ht="15" customHeight="1" x14ac:dyDescent="0.25">
      <c r="A85" s="8"/>
      <c r="B85" s="11">
        <f>MAX(הפחתה[[#This Row],[מס'']],הפחתה5[[#This Row],[מס'']],הפחתה7[[#This Row],[מס'']],הפחתה8[[#This Row],[מס'']])</f>
        <v>82</v>
      </c>
      <c r="C85" s="12">
        <f ca="1">IF(ValuesEntered,IF(הפחתה23[[#This Row],[מס'']]&lt;=תקופת_ההלוואה,IF(ROW()-ROW(הפחתה[[#Headers],[תאריך]])=1,LoanStart,IF(I84&gt;0,EDATE(C84,1),"")),""),"")</f>
        <v>47849</v>
      </c>
      <c r="D85" s="13">
        <f ca="1">SUM(הפחתה[[#This Row],[יתרת פתיחה]],הפחתה5[[#This Row],[יתרת פתיחה]],הפחתה7[[#This Row],[יתרת פתיחה]],הפחתה8[[#This Row],[יתרת פתיחה]])</f>
        <v>873419.3741796246</v>
      </c>
      <c r="E85" s="13">
        <f ca="1">SUM(הפחתה[[#This Row],[ריבית]],הפחתה5[[#This Row],[ריבית]],הפחתה7[[#This Row],[ריבית]],הפחתה8[[#This Row],[ריבית]])</f>
        <v>3500.8208936717442</v>
      </c>
      <c r="F85" s="13">
        <f ca="1">SUM(הפחתה[[#This Row],[קרן]],הפחתה5[[#This Row],[קרן]],הפחתה7[[#This Row],[קרן]],הפחתה8[[#This Row],[קרן]])</f>
        <v>2027.4159249182539</v>
      </c>
      <c r="G85" s="13">
        <f ca="1">IF(הפחתה23[[#This Row],[תאריך]]="",0,PropertyTaxAmount)</f>
        <v>0</v>
      </c>
      <c r="H85" s="13">
        <f ca="1">IF(הפחתה23[[#This Row],[תאריך]]="",0,הפחתה23[[#This Row],[ריבית]]+הפחתה23[[#This Row],[קרן]]+הפחתה23[[#This Row],[מס
רכוש]])</f>
        <v>5528.2368185899977</v>
      </c>
      <c r="I85" s="13">
        <f ca="1">IF(הפחתה23[[#This Row],[תאריך]]="",0,הפחתה23[[#This Row],[יתרת פתיחה]]-הפחתה23[[#This Row],[קרן]])</f>
        <v>871391.95825470635</v>
      </c>
      <c r="J85" s="11">
        <f ca="1">MAX(הפחתה[[#This Row],[תשלומים
שנותרו]],הפחתה5[[#This Row],[תשלומים
שנותרו]],הפחתה7[[#This Row],[תשלומים
שנותרו]],הפחתה8[[#This Row],[תשלומים
שנותרו]])</f>
        <v>278</v>
      </c>
    </row>
    <row r="86" spans="1:10" ht="15" customHeight="1" x14ac:dyDescent="0.25">
      <c r="A86" s="8"/>
      <c r="B86" s="11">
        <f>MAX(הפחתה[[#This Row],[מס'']],הפחתה5[[#This Row],[מס'']],הפחתה7[[#This Row],[מס'']],הפחתה8[[#This Row],[מס'']])</f>
        <v>83</v>
      </c>
      <c r="C86" s="12">
        <f ca="1">IF(ValuesEntered,IF(הפחתה23[[#This Row],[מס'']]&lt;=תקופת_ההלוואה,IF(ROW()-ROW(הפחתה[[#Headers],[תאריך]])=1,LoanStart,IF(I85&gt;0,EDATE(C85,1),"")),""),"")</f>
        <v>47880</v>
      </c>
      <c r="D86" s="13">
        <f ca="1">SUM(הפחתה[[#This Row],[יתרת פתיחה]],הפחתה5[[#This Row],[יתרת פתיחה]],הפחתה7[[#This Row],[יתרת פתיחה]],הפחתה8[[#This Row],[יתרת פתיחה]])</f>
        <v>871541.52364500088</v>
      </c>
      <c r="E86" s="13">
        <f ca="1">SUM(הפחתה[[#This Row],[ריבית]],הפחתה5[[#This Row],[ריבית]],הפחתה7[[#This Row],[ריבית]],הפחתה8[[#This Row],[ריבית]])</f>
        <v>3493.307049509287</v>
      </c>
      <c r="F86" s="13">
        <f ca="1">SUM(הפחתה[[#This Row],[קרן]],הפחתה5[[#This Row],[קרן]],הפחתה7[[#This Row],[קרן]],הפחתה8[[#This Row],[קרן]])</f>
        <v>2035.7368363702242</v>
      </c>
      <c r="G86" s="13">
        <f ca="1">IF(הפחתה23[[#This Row],[תאריך]]="",0,PropertyTaxAmount)</f>
        <v>0</v>
      </c>
      <c r="H86" s="13">
        <f ca="1">IF(הפחתה23[[#This Row],[תאריך]]="",0,הפחתה23[[#This Row],[ריבית]]+הפחתה23[[#This Row],[קרן]]+הפחתה23[[#This Row],[מס
רכוש]])</f>
        <v>5529.0438858795114</v>
      </c>
      <c r="I86" s="13">
        <f ca="1">IF(הפחתה23[[#This Row],[תאריך]]="",0,הפחתה23[[#This Row],[יתרת פתיחה]]-הפחתה23[[#This Row],[קרן]])</f>
        <v>869505.78680863068</v>
      </c>
      <c r="J86" s="11">
        <f ca="1">MAX(הפחתה[[#This Row],[תשלומים
שנותרו]],הפחתה5[[#This Row],[תשלומים
שנותרו]],הפחתה7[[#This Row],[תשלומים
שנותרו]],הפחתה8[[#This Row],[תשלומים
שנותרו]])</f>
        <v>277</v>
      </c>
    </row>
    <row r="87" spans="1:10" ht="15" customHeight="1" x14ac:dyDescent="0.25">
      <c r="A87" s="8"/>
      <c r="B87" s="11">
        <f>MAX(הפחתה[[#This Row],[מס'']],הפחתה5[[#This Row],[מס'']],הפחתה7[[#This Row],[מס'']],הפחתה8[[#This Row],[מס'']])</f>
        <v>84</v>
      </c>
      <c r="C87" s="12">
        <f ca="1">IF(ValuesEntered,IF(הפחתה23[[#This Row],[מס'']]&lt;=תקופת_ההלוואה,IF(ROW()-ROW(הפחתה[[#Headers],[תאריך]])=1,LoanStart,IF(I86&gt;0,EDATE(C86,1),"")),""),"")</f>
        <v>47908</v>
      </c>
      <c r="D87" s="13">
        <f ca="1">SUM(הפחתה[[#This Row],[יתרת פתיחה]],הפחתה5[[#This Row],[יתרת פתיחה]],הפחתה7[[#This Row],[יתרת פתיחה]],הפחתה8[[#This Row],[יתרת פתיחה]])</f>
        <v>869655.05121826823</v>
      </c>
      <c r="E87" s="13">
        <f ca="1">SUM(הפחתה[[#This Row],[ריבית]],הפחתה5[[#This Row],[ריבית]],הפחתה7[[#This Row],[ריבית]],הפחתה8[[#This Row],[ריבית]])</f>
        <v>3485.7601185709091</v>
      </c>
      <c r="F87" s="13">
        <f ca="1">SUM(הפחתה[[#This Row],[קרן]],הפחתה5[[#This Row],[קרן]],הפחתה7[[#This Row],[קרן]],הפחתה8[[#This Row],[קרן]])</f>
        <v>2044.0921169214969</v>
      </c>
      <c r="G87" s="13">
        <f ca="1">IF(הפחתה23[[#This Row],[תאריך]]="",0,PropertyTaxAmount)</f>
        <v>0</v>
      </c>
      <c r="H87" s="13">
        <f ca="1">IF(הפחתה23[[#This Row],[תאריך]]="",0,הפחתה23[[#This Row],[ריבית]]+הפחתה23[[#This Row],[קרן]]+הפחתה23[[#This Row],[מס
רכוש]])</f>
        <v>5529.8522354924062</v>
      </c>
      <c r="I87" s="13">
        <f ca="1">IF(הפחתה23[[#This Row],[תאריך]]="",0,הפחתה23[[#This Row],[יתרת פתיחה]]-הפחתה23[[#This Row],[קרן]])</f>
        <v>867610.95910134679</v>
      </c>
      <c r="J87" s="11">
        <f ca="1">MAX(הפחתה[[#This Row],[תשלומים
שנותרו]],הפחתה5[[#This Row],[תשלומים
שנותרו]],הפחתה7[[#This Row],[תשלומים
שנותרו]],הפחתה8[[#This Row],[תשלומים
שנותרו]])</f>
        <v>276</v>
      </c>
    </row>
    <row r="88" spans="1:10" ht="15" customHeight="1" x14ac:dyDescent="0.25">
      <c r="A88" s="8"/>
      <c r="B88" s="11">
        <f>MAX(הפחתה[[#This Row],[מס'']],הפחתה5[[#This Row],[מס'']],הפחתה7[[#This Row],[מס'']],הפחתה8[[#This Row],[מס'']])</f>
        <v>85</v>
      </c>
      <c r="C88" s="12">
        <f ca="1">IF(ValuesEntered,IF(הפחתה23[[#This Row],[מס'']]&lt;=תקופת_ההלוואה,IF(ROW()-ROW(הפחתה[[#Headers],[תאריך]])=1,LoanStart,IF(I87&gt;0,EDATE(C87,1),"")),""),"")</f>
        <v>47939</v>
      </c>
      <c r="D88" s="13">
        <f ca="1">SUM(הפחתה[[#This Row],[יתרת פתיחה]],הפחתה5[[#This Row],[יתרת פתיחה]],הפחתה7[[#This Row],[יתרת פתיחה]],הפחתה8[[#This Row],[יתרת פתיחה]])</f>
        <v>867759.92005179031</v>
      </c>
      <c r="E88" s="13">
        <f ca="1">SUM(הפחתה[[#This Row],[ריבית]],הפחתה5[[#This Row],[ריבית]],הפחתה7[[#This Row],[ריבית]],הפחתה8[[#This Row],[ריבית]])</f>
        <v>3478.1799599444639</v>
      </c>
      <c r="F88" s="13">
        <f ca="1">SUM(הפחתה[[#This Row],[קרן]],הפחתה5[[#This Row],[קרן]],הפחתה7[[#This Row],[קרן]],הפחתה8[[#This Row],[קרן]])</f>
        <v>2052.4819094943828</v>
      </c>
      <c r="G88" s="13">
        <f ca="1">IF(הפחתה23[[#This Row],[תאריך]]="",0,PropertyTaxAmount)</f>
        <v>0</v>
      </c>
      <c r="H88" s="13">
        <f ca="1">IF(הפחתה23[[#This Row],[תאריך]]="",0,הפחתה23[[#This Row],[ריבית]]+הפחתה23[[#This Row],[קרן]]+הפחתה23[[#This Row],[מס
רכוש]])</f>
        <v>5530.6618694388471</v>
      </c>
      <c r="I88" s="13">
        <f ca="1">IF(הפחתה23[[#This Row],[תאריך]]="",0,הפחתה23[[#This Row],[יתרת פתיחה]]-הפחתה23[[#This Row],[קרן]])</f>
        <v>865707.43814229593</v>
      </c>
      <c r="J88" s="11">
        <f ca="1">MAX(הפחתה[[#This Row],[תשלומים
שנותרו]],הפחתה5[[#This Row],[תשלומים
שנותרו]],הפחתה7[[#This Row],[תשלומים
שנותרו]],הפחתה8[[#This Row],[תשלומים
שנותרו]])</f>
        <v>275</v>
      </c>
    </row>
    <row r="89" spans="1:10" ht="15" customHeight="1" x14ac:dyDescent="0.25">
      <c r="A89" s="8"/>
      <c r="B89" s="11">
        <f>MAX(הפחתה[[#This Row],[מס'']],הפחתה5[[#This Row],[מס'']],הפחתה7[[#This Row],[מס'']],הפחתה8[[#This Row],[מס'']])</f>
        <v>86</v>
      </c>
      <c r="C89" s="12">
        <f ca="1">IF(ValuesEntered,IF(הפחתה23[[#This Row],[מס'']]&lt;=תקופת_ההלוואה,IF(ROW()-ROW(הפחתה[[#Headers],[תאריך]])=1,LoanStart,IF(I88&gt;0,EDATE(C88,1),"")),""),"")</f>
        <v>47969</v>
      </c>
      <c r="D89" s="13">
        <f ca="1">SUM(הפחתה[[#This Row],[יתרת פתיחה]],הפחתה5[[#This Row],[יתרת פתיחה]],הפחתה7[[#This Row],[יתרת פתיחה]],הפחתה8[[#This Row],[יתרת פתיחה]])</f>
        <v>865856.09314375604</v>
      </c>
      <c r="E89" s="13">
        <f ca="1">SUM(הפחתה[[#This Row],[ריבית]],הפחתה5[[#This Row],[ריבית]],הפחתה7[[#This Row],[ריבית]],הפחתה8[[#This Row],[ריבית]])</f>
        <v>3470.5664321230697</v>
      </c>
      <c r="F89" s="13">
        <f ca="1">SUM(הפחתה[[#This Row],[קרן]],הפחתה5[[#This Row],[קרן]],הפחתה7[[#This Row],[קרן]],הפחתה8[[#This Row],[קרן]])</f>
        <v>2060.9063576110448</v>
      </c>
      <c r="G89" s="13">
        <f ca="1">IF(הפחתה23[[#This Row],[תאריך]]="",0,PropertyTaxAmount)</f>
        <v>0</v>
      </c>
      <c r="H89" s="13">
        <f ca="1">IF(הפחתה23[[#This Row],[תאריך]]="",0,הפחתה23[[#This Row],[ריבית]]+הפחתה23[[#This Row],[קרן]]+הפחתה23[[#This Row],[מס
רכוש]])</f>
        <v>5531.4727897341145</v>
      </c>
      <c r="I89" s="13">
        <f ca="1">IF(הפחתה23[[#This Row],[תאריך]]="",0,הפחתה23[[#This Row],[יתרת פתיחה]]-הפחתה23[[#This Row],[קרן]])</f>
        <v>863795.18678614497</v>
      </c>
      <c r="J89" s="11">
        <f ca="1">MAX(הפחתה[[#This Row],[תשלומים
שנותרו]],הפחתה5[[#This Row],[תשלומים
שנותרו]],הפחתה7[[#This Row],[תשלומים
שנותרו]],הפחתה8[[#This Row],[תשלומים
שנותרו]])</f>
        <v>274</v>
      </c>
    </row>
    <row r="90" spans="1:10" ht="15" customHeight="1" x14ac:dyDescent="0.25">
      <c r="A90" s="8"/>
      <c r="B90" s="11">
        <f>MAX(הפחתה[[#This Row],[מס'']],הפחתה5[[#This Row],[מס'']],הפחתה7[[#This Row],[מס'']],הפחתה8[[#This Row],[מס'']])</f>
        <v>87</v>
      </c>
      <c r="C90" s="12">
        <f ca="1">IF(ValuesEntered,IF(הפחתה23[[#This Row],[מס'']]&lt;=תקופת_ההלוואה,IF(ROW()-ROW(הפחתה[[#Headers],[תאריך]])=1,LoanStart,IF(I89&gt;0,EDATE(C89,1),"")),""),"")</f>
        <v>48000</v>
      </c>
      <c r="D90" s="13">
        <f ca="1">SUM(הפחתה[[#This Row],[יתרת פתיחה]],הפחתה5[[#This Row],[יתרת פתיחה]],הפחתה7[[#This Row],[יתרת פתיחה]],הפחתה8[[#This Row],[יתרת פתיחה]])</f>
        <v>863943.53333753557</v>
      </c>
      <c r="E90" s="13">
        <f ca="1">SUM(הפחתה[[#This Row],[ריבית]],הפחתה5[[#This Row],[ריבית]],הפחתה7[[#This Row],[ריבית]],הפחתה8[[#This Row],[ריבית]])</f>
        <v>3462.9193930025976</v>
      </c>
      <c r="F90" s="13">
        <f ca="1">SUM(הפחתה[[#This Row],[קרן]],הפחתה5[[#This Row],[קרן]],הפחתה7[[#This Row],[קרן]],הפחתה8[[#This Row],[קרן]])</f>
        <v>2069.3656053960758</v>
      </c>
      <c r="G90" s="13">
        <f ca="1">IF(הפחתה23[[#This Row],[תאריך]]="",0,PropertyTaxAmount)</f>
        <v>0</v>
      </c>
      <c r="H90" s="13">
        <f ca="1">IF(הפחתה23[[#This Row],[תאריך]]="",0,הפחתה23[[#This Row],[ריבית]]+הפחתה23[[#This Row],[קרן]]+הפחתה23[[#This Row],[מס
רכוש]])</f>
        <v>5532.2849983986735</v>
      </c>
      <c r="I90" s="13">
        <f ca="1">IF(הפחתה23[[#This Row],[תאריך]]="",0,הפחתה23[[#This Row],[יתרת פתיחה]]-הפחתה23[[#This Row],[קרן]])</f>
        <v>861874.16773213947</v>
      </c>
      <c r="J90" s="11">
        <f ca="1">MAX(הפחתה[[#This Row],[תשלומים
שנותרו]],הפחתה5[[#This Row],[תשלומים
שנותרו]],הפחתה7[[#This Row],[תשלומים
שנותרו]],הפחתה8[[#This Row],[תשלומים
שנותרו]])</f>
        <v>273</v>
      </c>
    </row>
    <row r="91" spans="1:10" ht="15" customHeight="1" x14ac:dyDescent="0.25">
      <c r="A91" s="8"/>
      <c r="B91" s="11">
        <f>MAX(הפחתה[[#This Row],[מס'']],הפחתה5[[#This Row],[מס'']],הפחתה7[[#This Row],[מס'']],הפחתה8[[#This Row],[מס'']])</f>
        <v>88</v>
      </c>
      <c r="C91" s="12">
        <f ca="1">IF(ValuesEntered,IF(הפחתה23[[#This Row],[מס'']]&lt;=תקופת_ההלוואה,IF(ROW()-ROW(הפחתה[[#Headers],[תאריך]])=1,LoanStart,IF(I90&gt;0,EDATE(C90,1),"")),""),"")</f>
        <v>48030</v>
      </c>
      <c r="D91" s="13">
        <f ca="1">SUM(הפחתה[[#This Row],[יתרת פתיחה]],הפחתה5[[#This Row],[יתרת פתיחה]],הפחתה7[[#This Row],[יתרת פתיחה]],הפחתה8[[#This Row],[יתרת פתיחה]])</f>
        <v>862022.20332103129</v>
      </c>
      <c r="E91" s="13">
        <f ca="1">SUM(הפחתה[[#This Row],[ריבית]],הפחתה5[[#This Row],[ריבית]],הפחתה7[[#This Row],[ריבית]],הפחתה8[[#This Row],[ריבית]])</f>
        <v>3455.2386998791453</v>
      </c>
      <c r="F91" s="13">
        <f ca="1">SUM(הפחתה[[#This Row],[קרן]],הפחתה5[[#This Row],[קרן]],הפחתה7[[#This Row],[קרן]],הפחתה8[[#This Row],[קרן]])</f>
        <v>2077.8597975790872</v>
      </c>
      <c r="G91" s="13">
        <f ca="1">IF(הפחתה23[[#This Row],[תאריך]]="",0,PropertyTaxAmount)</f>
        <v>0</v>
      </c>
      <c r="H91" s="13">
        <f ca="1">IF(הפחתה23[[#This Row],[תאריך]]="",0,הפחתה23[[#This Row],[ריבית]]+הפחתה23[[#This Row],[קרן]]+הפחתה23[[#This Row],[מס
רכוש]])</f>
        <v>5533.0984974582325</v>
      </c>
      <c r="I91" s="13">
        <f ca="1">IF(הפחתה23[[#This Row],[תאריך]]="",0,הפחתה23[[#This Row],[יתרת פתיחה]]-הפחתה23[[#This Row],[קרן]])</f>
        <v>859944.34352345217</v>
      </c>
      <c r="J91" s="11">
        <f ca="1">MAX(הפחתה[[#This Row],[תשלומים
שנותרו]],הפחתה5[[#This Row],[תשלומים
שנותרו]],הפחתה7[[#This Row],[תשלומים
שנותרו]],הפחתה8[[#This Row],[תשלומים
שנותרו]])</f>
        <v>272</v>
      </c>
    </row>
    <row r="92" spans="1:10" ht="15" customHeight="1" x14ac:dyDescent="0.25">
      <c r="A92" s="8"/>
      <c r="B92" s="11">
        <f>MAX(הפחתה[[#This Row],[מס'']],הפחתה5[[#This Row],[מס'']],הפחתה7[[#This Row],[מס'']],הפחתה8[[#This Row],[מס'']])</f>
        <v>89</v>
      </c>
      <c r="C92" s="12">
        <f ca="1">IF(ValuesEntered,IF(הפחתה23[[#This Row],[מס'']]&lt;=תקופת_ההלוואה,IF(ROW()-ROW(הפחתה[[#Headers],[תאריך]])=1,LoanStart,IF(I91&gt;0,EDATE(C91,1),"")),""),"")</f>
        <v>48061</v>
      </c>
      <c r="D92" s="13">
        <f ca="1">SUM(הפחתה[[#This Row],[יתרת פתיחה]],הפחתה5[[#This Row],[יתרת פתיחה]],הפחתה7[[#This Row],[יתרת פתיחה]],הפחתה8[[#This Row],[יתרת פתיחה]])</f>
        <v>860092.06562602986</v>
      </c>
      <c r="E92" s="13">
        <f ca="1">SUM(הפחתה[[#This Row],[ריבית]],הפחתה5[[#This Row],[ריבית]],הפחתה7[[#This Row],[ריבית]],הפחתה8[[#This Row],[ריבית]])</f>
        <v>3447.5242094465066</v>
      </c>
      <c r="F92" s="13">
        <f ca="1">SUM(הפחתה[[#This Row],[קרן]],הפחתה5[[#This Row],[קרן]],הפחתה7[[#This Row],[קרן]],הפחתה8[[#This Row],[קרן]])</f>
        <v>2086.3890794973108</v>
      </c>
      <c r="G92" s="13">
        <f ca="1">IF(הפחתה23[[#This Row],[תאריך]]="",0,PropertyTaxAmount)</f>
        <v>0</v>
      </c>
      <c r="H92" s="13">
        <f ca="1">IF(הפחתה23[[#This Row],[תאריך]]="",0,הפחתה23[[#This Row],[ריבית]]+הפחתה23[[#This Row],[קרן]]+הפחתה23[[#This Row],[מס
רכוש]])</f>
        <v>5533.913288943817</v>
      </c>
      <c r="I92" s="13">
        <f ca="1">IF(הפחתה23[[#This Row],[תאריך]]="",0,הפחתה23[[#This Row],[יתרת פתיחה]]-הפחתה23[[#This Row],[קרן]])</f>
        <v>858005.67654653254</v>
      </c>
      <c r="J92" s="11">
        <f ca="1">MAX(הפחתה[[#This Row],[תשלומים
שנותרו]],הפחתה5[[#This Row],[תשלומים
שנותרו]],הפחתה7[[#This Row],[תשלומים
שנותרו]],הפחתה8[[#This Row],[תשלומים
שנותרו]])</f>
        <v>271</v>
      </c>
    </row>
    <row r="93" spans="1:10" ht="15" customHeight="1" x14ac:dyDescent="0.25">
      <c r="A93" s="8"/>
      <c r="B93" s="11">
        <f>MAX(הפחתה[[#This Row],[מס'']],הפחתה5[[#This Row],[מס'']],הפחתה7[[#This Row],[מס'']],הפחתה8[[#This Row],[מס'']])</f>
        <v>90</v>
      </c>
      <c r="C93" s="12">
        <f ca="1">IF(ValuesEntered,IF(הפחתה23[[#This Row],[מס'']]&lt;=תקופת_ההלוואה,IF(ROW()-ROW(הפחתה[[#Headers],[תאריך]])=1,LoanStart,IF(I92&gt;0,EDATE(C92,1),"")),""),"")</f>
        <v>48092</v>
      </c>
      <c r="D93" s="13">
        <f ca="1">SUM(הפחתה[[#This Row],[יתרת פתיחה]],הפחתה5[[#This Row],[יתרת פתיחה]],הפחתה7[[#This Row],[יתרת פתיחה]],הפחתה8[[#This Row],[יתרת פתיחה]])</f>
        <v>858153.0826275486</v>
      </c>
      <c r="E93" s="13">
        <f ca="1">SUM(הפחתה[[#This Row],[ריבית]],הפחתה5[[#This Row],[ריבית]],הפחתה7[[#This Row],[ריבית]],הפחתה8[[#This Row],[ריבית]])</f>
        <v>3439.7757777936204</v>
      </c>
      <c r="F93" s="13">
        <f ca="1">SUM(הפחתה[[#This Row],[קרן]],הפחתה5[[#This Row],[קרן]],הפחתה7[[#This Row],[קרן]],הפחתה8[[#This Row],[קרן]])</f>
        <v>2094.9535970982133</v>
      </c>
      <c r="G93" s="13">
        <f ca="1">IF(הפחתה23[[#This Row],[תאריך]]="",0,PropertyTaxAmount)</f>
        <v>0</v>
      </c>
      <c r="H93" s="13">
        <f ca="1">IF(הפחתה23[[#This Row],[תאריך]]="",0,הפחתה23[[#This Row],[ריבית]]+הפחתה23[[#This Row],[קרן]]+הפחתה23[[#This Row],[מס
רכוש]])</f>
        <v>5534.7293748918337</v>
      </c>
      <c r="I93" s="13">
        <f ca="1">IF(הפחתה23[[#This Row],[תאריך]]="",0,הפחתה23[[#This Row],[יתרת פתיחה]]-הפחתה23[[#This Row],[קרן]])</f>
        <v>856058.12903045036</v>
      </c>
      <c r="J93" s="11">
        <f ca="1">MAX(הפחתה[[#This Row],[תשלומים
שנותרו]],הפחתה5[[#This Row],[תשלומים
שנותרו]],הפחתה7[[#This Row],[תשלומים
שנותרו]],הפחתה8[[#This Row],[תשלומים
שנותרו]])</f>
        <v>270</v>
      </c>
    </row>
    <row r="94" spans="1:10" ht="15" customHeight="1" x14ac:dyDescent="0.25">
      <c r="A94" s="8"/>
      <c r="B94" s="11">
        <f>MAX(הפחתה[[#This Row],[מס'']],הפחתה5[[#This Row],[מס'']],הפחתה7[[#This Row],[מס'']],הפחתה8[[#This Row],[מס'']])</f>
        <v>91</v>
      </c>
      <c r="C94" s="12">
        <f ca="1">IF(ValuesEntered,IF(הפחתה23[[#This Row],[מס'']]&lt;=תקופת_ההלוואה,IF(ROW()-ROW(הפחתה[[#Headers],[תאריך]])=1,LoanStart,IF(I93&gt;0,EDATE(C93,1),"")),""),"")</f>
        <v>48122</v>
      </c>
      <c r="D94" s="13">
        <f ca="1">SUM(הפחתה[[#This Row],[יתרת פתיחה]],הפחתה5[[#This Row],[יתרת פתיחה]],הפחתה7[[#This Row],[יתרת פתיחה]],הפחתה8[[#This Row],[יתרת פתיחה]])</f>
        <v>856205.21654317959</v>
      </c>
      <c r="E94" s="13">
        <f ca="1">SUM(הפחתה[[#This Row],[ריבית]],הפחתה5[[#This Row],[ריבית]],הפחתה7[[#This Row],[ריבית]],הפחתה8[[#This Row],[ריבית]])</f>
        <v>3431.9932604020173</v>
      </c>
      <c r="F94" s="13">
        <f ca="1">SUM(הפחתה[[#This Row],[קרן]],הפחתה5[[#This Row],[קרן]],הפחתה7[[#This Row],[קרן]],הפחתה8[[#This Row],[קרן]])</f>
        <v>2103.5534969421183</v>
      </c>
      <c r="G94" s="13">
        <f ca="1">IF(הפחתה23[[#This Row],[תאריך]]="",0,PropertyTaxAmount)</f>
        <v>0</v>
      </c>
      <c r="H94" s="13">
        <f ca="1">IF(הפחתה23[[#This Row],[תאריך]]="",0,הפחתה23[[#This Row],[ריבית]]+הפחתה23[[#This Row],[קרן]]+הפחתה23[[#This Row],[מס
רכוש]])</f>
        <v>5535.5467573441356</v>
      </c>
      <c r="I94" s="13">
        <f ca="1">IF(הפחתה23[[#This Row],[תאריך]]="",0,הפחתה23[[#This Row],[יתרת פתיחה]]-הפחתה23[[#This Row],[קרן]])</f>
        <v>854101.66304623743</v>
      </c>
      <c r="J94" s="11">
        <f ca="1">MAX(הפחתה[[#This Row],[תשלומים
שנותרו]],הפחתה5[[#This Row],[תשלומים
שנותרו]],הפחתה7[[#This Row],[תשלומים
שנותרו]],הפחתה8[[#This Row],[תשלומים
שנותרו]])</f>
        <v>269</v>
      </c>
    </row>
    <row r="95" spans="1:10" ht="15" customHeight="1" x14ac:dyDescent="0.25">
      <c r="A95" s="8"/>
      <c r="B95" s="11">
        <f>MAX(הפחתה[[#This Row],[מס'']],הפחתה5[[#This Row],[מס'']],הפחתה7[[#This Row],[מס'']],הפחתה8[[#This Row],[מס'']])</f>
        <v>92</v>
      </c>
      <c r="C95" s="12">
        <f ca="1">IF(ValuesEntered,IF(הפחתה23[[#This Row],[מס'']]&lt;=תקופת_ההלוואה,IF(ROW()-ROW(הפחתה[[#Headers],[תאריך]])=1,LoanStart,IF(I94&gt;0,EDATE(C94,1),"")),""),"")</f>
        <v>48153</v>
      </c>
      <c r="D95" s="13">
        <f ca="1">SUM(הפחתה[[#This Row],[יתרת פתיחה]],הפחתה5[[#This Row],[יתרת פתיחה]],הפחתה7[[#This Row],[יתרת פתיחה]],הפחתה8[[#This Row],[יתרת פתיחה]])</f>
        <v>854248.429432431</v>
      </c>
      <c r="E95" s="13">
        <f ca="1">SUM(הפחתה[[#This Row],[ריבית]],הפחתה5[[#This Row],[ריבית]],הפחתה7[[#This Row],[ריבית]],הפחתה8[[#This Row],[ריבית]])</f>
        <v>3424.1765121432559</v>
      </c>
      <c r="F95" s="13">
        <f ca="1">SUM(הפחתה[[#This Row],[קרן]],הפחתה5[[#This Row],[קרן]],הפחתה7[[#This Row],[קרן]],הפחתה8[[#This Row],[קרן]])</f>
        <v>2112.1889262048517</v>
      </c>
      <c r="G95" s="13">
        <f ca="1">IF(הפחתה23[[#This Row],[תאריך]]="",0,PropertyTaxAmount)</f>
        <v>0</v>
      </c>
      <c r="H95" s="13">
        <f ca="1">IF(הפחתה23[[#This Row],[תאריך]]="",0,הפחתה23[[#This Row],[ריבית]]+הפחתה23[[#This Row],[קרן]]+הפחתה23[[#This Row],[מס
רכוש]])</f>
        <v>5536.365438348108</v>
      </c>
      <c r="I95" s="13">
        <f ca="1">IF(הפחתה23[[#This Row],[תאריך]]="",0,הפחתה23[[#This Row],[יתרת פתיחה]]-הפחתה23[[#This Row],[קרן]])</f>
        <v>852136.2405062262</v>
      </c>
      <c r="J95" s="11">
        <f ca="1">MAX(הפחתה[[#This Row],[תשלומים
שנותרו]],הפחתה5[[#This Row],[תשלומים
שנותרו]],הפחתה7[[#This Row],[תשלומים
שנותרו]],הפחתה8[[#This Row],[תשלומים
שנותרו]])</f>
        <v>268</v>
      </c>
    </row>
    <row r="96" spans="1:10" ht="15" customHeight="1" x14ac:dyDescent="0.25">
      <c r="A96" s="8"/>
      <c r="B96" s="11">
        <f>MAX(הפחתה[[#This Row],[מס'']],הפחתה5[[#This Row],[מס'']],הפחתה7[[#This Row],[מס'']],הפחתה8[[#This Row],[מס'']])</f>
        <v>93</v>
      </c>
      <c r="C96" s="12">
        <f ca="1">IF(ValuesEntered,IF(הפחתה23[[#This Row],[מס'']]&lt;=תקופת_ההלוואה,IF(ROW()-ROW(הפחתה[[#Headers],[תאריך]])=1,LoanStart,IF(I95&gt;0,EDATE(C95,1),"")),""),"")</f>
        <v>48183</v>
      </c>
      <c r="D96" s="13">
        <f ca="1">SUM(הפחתה[[#This Row],[יתרת פתיחה]],הפחתה5[[#This Row],[יתרת פתיחה]],הפחתה7[[#This Row],[יתרת פתיחה]],הפחתה8[[#This Row],[יתרת פתיחה]])</f>
        <v>852282.68319606746</v>
      </c>
      <c r="E96" s="13">
        <f ca="1">SUM(הפחתה[[#This Row],[ריבית]],הפחתה5[[#This Row],[ריבית]],הפחתה7[[#This Row],[ריבית]],הפחתה8[[#This Row],[ריבית]])</f>
        <v>3416.3253872763366</v>
      </c>
      <c r="F96" s="13">
        <f ca="1">SUM(הפחתה[[#This Row],[קרן]],הפחתה5[[#This Row],[קרן]],הפחתה7[[#This Row],[קרן]],הפחתה8[[#This Row],[קרן]])</f>
        <v>2120.8600326803889</v>
      </c>
      <c r="G96" s="13">
        <f ca="1">IF(הפחתה23[[#This Row],[תאריך]]="",0,PropertyTaxAmount)</f>
        <v>0</v>
      </c>
      <c r="H96" s="13">
        <f ca="1">IF(הפחתה23[[#This Row],[תאריך]]="",0,הפחתה23[[#This Row],[ריבית]]+הפחתה23[[#This Row],[קרן]]+הפחתה23[[#This Row],[מס
רכוש]])</f>
        <v>5537.185419956726</v>
      </c>
      <c r="I96" s="13">
        <f ca="1">IF(הפחתה23[[#This Row],[תאריך]]="",0,הפחתה23[[#This Row],[יתרת פתיחה]]-הפחתה23[[#This Row],[קרן]])</f>
        <v>850161.82316338702</v>
      </c>
      <c r="J96" s="11">
        <f ca="1">MAX(הפחתה[[#This Row],[תשלומים
שנותרו]],הפחתה5[[#This Row],[תשלומים
שנותרו]],הפחתה7[[#This Row],[תשלומים
שנותרו]],הפחתה8[[#This Row],[תשלומים
שנותרו]])</f>
        <v>267</v>
      </c>
    </row>
    <row r="97" spans="1:10" ht="15" customHeight="1" x14ac:dyDescent="0.25">
      <c r="A97" s="8"/>
      <c r="B97" s="11">
        <f>MAX(הפחתה[[#This Row],[מס'']],הפחתה5[[#This Row],[מס'']],הפחתה7[[#This Row],[מס'']],הפחתה8[[#This Row],[מס'']])</f>
        <v>94</v>
      </c>
      <c r="C97" s="12">
        <f ca="1">IF(ValuesEntered,IF(הפחתה23[[#This Row],[מס'']]&lt;=תקופת_ההלוואה,IF(ROW()-ROW(הפחתה[[#Headers],[תאריך]])=1,LoanStart,IF(I96&gt;0,EDATE(C96,1),"")),""),"")</f>
        <v>48214</v>
      </c>
      <c r="D97" s="13">
        <f ca="1">SUM(הפחתה[[#This Row],[יתרת פתיחה]],הפחתה5[[#This Row],[יתרת פתיחה]],הפחתה7[[#This Row],[יתרת פתיחה]],הפחתה8[[#This Row],[יתרת פתיחה]])</f>
        <v>850307.93957544409</v>
      </c>
      <c r="E97" s="13">
        <f ca="1">SUM(הפחתה[[#This Row],[ריבית]],הפחתה5[[#This Row],[ריבית]],הפחתה7[[#This Row],[ריבית]],הפחתה8[[#This Row],[ריבית]])</f>
        <v>3408.4397394451171</v>
      </c>
      <c r="F97" s="13">
        <f ca="1">SUM(הפחתה[[#This Row],[קרן]],הפחתה5[[#This Row],[קרן]],הפחתה7[[#This Row],[קרן]],הפחתה8[[#This Row],[קרן]])</f>
        <v>2129.5669647835198</v>
      </c>
      <c r="G97" s="13">
        <f ca="1">IF(הפחתה23[[#This Row],[תאריך]]="",0,PropertyTaxAmount)</f>
        <v>0</v>
      </c>
      <c r="H97" s="13">
        <f ca="1">IF(הפחתה23[[#This Row],[תאריך]]="",0,הפחתה23[[#This Row],[ריבית]]+הפחתה23[[#This Row],[קרן]]+הפחתה23[[#This Row],[מס
רכוש]])</f>
        <v>5538.0067042286373</v>
      </c>
      <c r="I97" s="13">
        <f ca="1">IF(הפחתה23[[#This Row],[תאריך]]="",0,הפחתה23[[#This Row],[יתרת פתיחה]]-הפחתה23[[#This Row],[קרן]])</f>
        <v>848178.37261066062</v>
      </c>
      <c r="J97" s="11">
        <f ca="1">MAX(הפחתה[[#This Row],[תשלומים
שנותרו]],הפחתה5[[#This Row],[תשלומים
שנותרו]],הפחתה7[[#This Row],[תשלומים
שנותרו]],הפחתה8[[#This Row],[תשלומים
שנותרו]])</f>
        <v>266</v>
      </c>
    </row>
    <row r="98" spans="1:10" ht="15" customHeight="1" x14ac:dyDescent="0.25">
      <c r="A98" s="8"/>
      <c r="B98" s="11">
        <f>MAX(הפחתה[[#This Row],[מס'']],הפחתה5[[#This Row],[מס'']],הפחתה7[[#This Row],[מס'']],הפחתה8[[#This Row],[מס'']])</f>
        <v>95</v>
      </c>
      <c r="C98" s="12">
        <f ca="1">IF(ValuesEntered,IF(הפחתה23[[#This Row],[מס'']]&lt;=תקופת_ההלוואה,IF(ROW()-ROW(הפחתה[[#Headers],[תאריך]])=1,LoanStart,IF(I97&gt;0,EDATE(C97,1),"")),""),"")</f>
        <v>48245</v>
      </c>
      <c r="D98" s="13">
        <f ca="1">SUM(הפחתה[[#This Row],[יתרת פתיחה]],הפחתה5[[#This Row],[יתרת פתיחה]],הפחתה7[[#This Row],[יתרת פתיחה]],הפחתה8[[#This Row],[יתרת פתיחה]])</f>
        <v>848324.16015184135</v>
      </c>
      <c r="E98" s="13">
        <f ca="1">SUM(הפחתה[[#This Row],[ריבית]],הפחתה5[[#This Row],[ריבית]],הפחתה7[[#This Row],[ריבית]],הפחתה8[[#This Row],[ריבית]])</f>
        <v>3400.5194216757136</v>
      </c>
      <c r="F98" s="13">
        <f ca="1">SUM(הפחתה[[#This Row],[קרן]],הפחתה5[[#This Row],[קרן]],הפחתה7[[#This Row],[קרן]],הפחתה8[[#This Row],[קרן]])</f>
        <v>2138.3098715525293</v>
      </c>
      <c r="G98" s="13">
        <f ca="1">IF(הפחתה23[[#This Row],[תאריך]]="",0,PropertyTaxAmount)</f>
        <v>0</v>
      </c>
      <c r="H98" s="13">
        <f ca="1">IF(הפחתה23[[#This Row],[תאריך]]="",0,הפחתה23[[#This Row],[ריבית]]+הפחתה23[[#This Row],[קרן]]+הפחתה23[[#This Row],[מס
רכוש]])</f>
        <v>5538.8292932282429</v>
      </c>
      <c r="I98" s="13">
        <f ca="1">IF(הפחתה23[[#This Row],[תאריך]]="",0,הפחתה23[[#This Row],[יתרת פתיחה]]-הפחתה23[[#This Row],[קרן]])</f>
        <v>846185.85028028884</v>
      </c>
      <c r="J98" s="11">
        <f ca="1">MAX(הפחתה[[#This Row],[תשלומים
שנותרו]],הפחתה5[[#This Row],[תשלומים
שנותרו]],הפחתה7[[#This Row],[תשלומים
שנותרו]],הפחתה8[[#This Row],[תשלומים
שנותרו]])</f>
        <v>265</v>
      </c>
    </row>
    <row r="99" spans="1:10" ht="15" customHeight="1" x14ac:dyDescent="0.25">
      <c r="A99" s="8"/>
      <c r="B99" s="11">
        <f>MAX(הפחתה[[#This Row],[מס'']],הפחתה5[[#This Row],[מס'']],הפחתה7[[#This Row],[מס'']],הפחתה8[[#This Row],[מס'']])</f>
        <v>96</v>
      </c>
      <c r="C99" s="12">
        <f ca="1">IF(ValuesEntered,IF(הפחתה23[[#This Row],[מס'']]&lt;=תקופת_ההלוואה,IF(ROW()-ROW(הפחתה[[#Headers],[תאריך]])=1,LoanStart,IF(I98&gt;0,EDATE(C98,1),"")),""),"")</f>
        <v>48274</v>
      </c>
      <c r="D99" s="13">
        <f ca="1">SUM(הפחתה[[#This Row],[יתרת פתיחה]],הפחתה5[[#This Row],[יתרת פתיחה]],הפחתה7[[#This Row],[יתרת פתיחה]],הפחתה8[[#This Row],[יתרת פתיחה]])</f>
        <v>846331.30634579342</v>
      </c>
      <c r="E99" s="13">
        <f ca="1">SUM(הפחתה[[#This Row],[ריבית]],הפחתה5[[#This Row],[ריבית]],הפחתה7[[#This Row],[ריבית]],הפחתה8[[#This Row],[ריבית]])</f>
        <v>3392.5642863738826</v>
      </c>
      <c r="F99" s="13">
        <f ca="1">SUM(הפחתה[[#This Row],[קרן]],הפחתה5[[#This Row],[קרן]],הפחתה7[[#This Row],[קרן]],הפחתה8[[#This Row],[קרן]])</f>
        <v>2147.0889026518817</v>
      </c>
      <c r="G99" s="13">
        <f ca="1">IF(הפחתה23[[#This Row],[תאריך]]="",0,PropertyTaxAmount)</f>
        <v>0</v>
      </c>
      <c r="H99" s="13">
        <f ca="1">IF(הפחתה23[[#This Row],[תאריך]]="",0,הפחתה23[[#This Row],[ריבית]]+הפחתה23[[#This Row],[קרן]]+הפחתה23[[#This Row],[מס
רכוש]])</f>
        <v>5539.6531890257647</v>
      </c>
      <c r="I99" s="13">
        <f ca="1">IF(הפחתה23[[#This Row],[תאריך]]="",0,הפחתה23[[#This Row],[יתרת פתיחה]]-הפחתה23[[#This Row],[קרן]])</f>
        <v>844184.2174431415</v>
      </c>
      <c r="J99" s="11">
        <f ca="1">MAX(הפחתה[[#This Row],[תשלומים
שנותרו]],הפחתה5[[#This Row],[תשלומים
שנותרו]],הפחתה7[[#This Row],[תשלומים
שנותרו]],הפחתה8[[#This Row],[תשלומים
שנותרו]])</f>
        <v>264</v>
      </c>
    </row>
    <row r="100" spans="1:10" ht="15" customHeight="1" x14ac:dyDescent="0.25">
      <c r="A100" s="8"/>
      <c r="B100" s="11">
        <f>MAX(הפחתה[[#This Row],[מס'']],הפחתה5[[#This Row],[מס'']],הפחתה7[[#This Row],[מס'']],הפחתה8[[#This Row],[מס'']])</f>
        <v>97</v>
      </c>
      <c r="C100" s="12">
        <f ca="1">IF(ValuesEntered,IF(הפחתה23[[#This Row],[מס'']]&lt;=תקופת_ההלוואה,IF(ROW()-ROW(הפחתה[[#Headers],[תאריך]])=1,LoanStart,IF(I99&gt;0,EDATE(C99,1),"")),""),"")</f>
        <v>48305</v>
      </c>
      <c r="D100" s="13">
        <f ca="1">SUM(הפחתה[[#This Row],[יתרת פתיחה]],הפחתה5[[#This Row],[יתרת פתיחה]],הפחתה7[[#This Row],[יתרת פתיחה]],הפחתה8[[#This Row],[יתרת פתיחה]])</f>
        <v>844329.33941641753</v>
      </c>
      <c r="E100" s="13">
        <f ca="1">SUM(הפחתה[[#This Row],[ריבית]],הפחתה5[[#This Row],[ריבית]],הפחתה7[[#This Row],[ריבית]],הפחתה8[[#This Row],[ריבית]])</f>
        <v>3384.5741853224067</v>
      </c>
      <c r="F100" s="13">
        <f ca="1">SUM(הפחתה[[#This Row],[קרן]],הפחתה5[[#This Row],[קרן]],הפחתה7[[#This Row],[קרן]],הפחתה8[[#This Row],[קרן]])</f>
        <v>2155.9042083749318</v>
      </c>
      <c r="G100" s="13">
        <f ca="1">IF(הפחתה23[[#This Row],[תאריך]]="",0,PropertyTaxAmount)</f>
        <v>0</v>
      </c>
      <c r="H100" s="13">
        <f ca="1">IF(הפחתה23[[#This Row],[תאריך]]="",0,הפחתה23[[#This Row],[ריבית]]+הפחתה23[[#This Row],[קרן]]+הפחתה23[[#This Row],[מס
רכוש]])</f>
        <v>5540.4783936973381</v>
      </c>
      <c r="I100" s="13">
        <f ca="1">IF(הפחתה23[[#This Row],[תאריך]]="",0,הפחתה23[[#This Row],[יתרת פתיחה]]-הפחתה23[[#This Row],[קרן]])</f>
        <v>842173.43520804262</v>
      </c>
      <c r="J100" s="11">
        <f ca="1">MAX(הפחתה[[#This Row],[תשלומים
שנותרו]],הפחתה5[[#This Row],[תשלומים
שנותרו]],הפחתה7[[#This Row],[תשלומים
שנותרו]],הפחתה8[[#This Row],[תשלומים
שנותרו]])</f>
        <v>263</v>
      </c>
    </row>
    <row r="101" spans="1:10" ht="15" customHeight="1" x14ac:dyDescent="0.25">
      <c r="A101" s="8"/>
      <c r="B101" s="11">
        <f>MAX(הפחתה[[#This Row],[מס'']],הפחתה5[[#This Row],[מס'']],הפחתה7[[#This Row],[מס'']],הפחתה8[[#This Row],[מס'']])</f>
        <v>98</v>
      </c>
      <c r="C101" s="12">
        <f ca="1">IF(ValuesEntered,IF(הפחתה23[[#This Row],[מס'']]&lt;=תקופת_ההלוואה,IF(ROW()-ROW(הפחתה[[#Headers],[תאריך]])=1,LoanStart,IF(I100&gt;0,EDATE(C100,1),"")),""),"")</f>
        <v>48335</v>
      </c>
      <c r="D101" s="13">
        <f ca="1">SUM(הפחתה[[#This Row],[יתרת פתיחה]],הפחתה5[[#This Row],[יתרת פתיחה]],הפחתה7[[#This Row],[יתרת פתיחה]],הפחתה8[[#This Row],[יתרת פתיחה]])</f>
        <v>842318.22046073712</v>
      </c>
      <c r="E101" s="13">
        <f ca="1">SUM(הפחתה[[#This Row],[ריבית]],הפחתה5[[#This Row],[ריבית]],הפחתה7[[#This Row],[ריבית]],הפחתה8[[#This Row],[ריבית]])</f>
        <v>3376.5489696784534</v>
      </c>
      <c r="F101" s="13">
        <f ca="1">SUM(הפחתה[[#This Row],[קרן]],הפחתה5[[#This Row],[קרן]],הפחתה7[[#This Row],[קרן]],הפחתה8[[#This Row],[קרן]])</f>
        <v>2164.7559396466363</v>
      </c>
      <c r="G101" s="13">
        <f ca="1">IF(הפחתה23[[#This Row],[תאריך]]="",0,PropertyTaxAmount)</f>
        <v>0</v>
      </c>
      <c r="H101" s="13">
        <f ca="1">IF(הפחתה23[[#This Row],[תאריך]]="",0,הפחתה23[[#This Row],[ריבית]]+הפחתה23[[#This Row],[קרן]]+הפחתה23[[#This Row],[מס
רכוש]])</f>
        <v>5541.3049093250902</v>
      </c>
      <c r="I101" s="13">
        <f ca="1">IF(הפחתה23[[#This Row],[תאריך]]="",0,הפחתה23[[#This Row],[יתרת פתיחה]]-הפחתה23[[#This Row],[קרן]])</f>
        <v>840153.4645210905</v>
      </c>
      <c r="J101" s="11">
        <f ca="1">MAX(הפחתה[[#This Row],[תשלומים
שנותרו]],הפחתה5[[#This Row],[תשלומים
שנותרו]],הפחתה7[[#This Row],[תשלומים
שנותרו]],הפחתה8[[#This Row],[תשלומים
שנותרו]])</f>
        <v>262</v>
      </c>
    </row>
    <row r="102" spans="1:10" ht="15" customHeight="1" x14ac:dyDescent="0.25">
      <c r="A102" s="8"/>
      <c r="B102" s="11">
        <f>MAX(הפחתה[[#This Row],[מס'']],הפחתה5[[#This Row],[מס'']],הפחתה7[[#This Row],[מס'']],הפחתה8[[#This Row],[מס'']])</f>
        <v>99</v>
      </c>
      <c r="C102" s="12">
        <f ca="1">IF(ValuesEntered,IF(הפחתה23[[#This Row],[מס'']]&lt;=תקופת_ההלוואה,IF(ROW()-ROW(הפחתה[[#Headers],[תאריך]])=1,LoanStart,IF(I101&gt;0,EDATE(C101,1),"")),""),"")</f>
        <v>48366</v>
      </c>
      <c r="D102" s="13">
        <f ca="1">SUM(הפחתה[[#This Row],[יתרת פתיחה]],הפחתה5[[#This Row],[יתרת פתיחה]],הפחתה7[[#This Row],[יתרת פתיחה]],הפחתה8[[#This Row],[יתרת פתיחה]])</f>
        <v>840297.91041300446</v>
      </c>
      <c r="E102" s="13">
        <f ca="1">SUM(הפחתה[[#This Row],[ריבית]],הפחתה5[[#This Row],[ריבית]],הפחתה7[[#This Row],[ריבית]],הפחתה8[[#This Row],[ריבית]])</f>
        <v>3368.4884899709332</v>
      </c>
      <c r="F102" s="13">
        <f ca="1">SUM(הפחתה[[#This Row],[קרן]],הפחתה5[[#This Row],[קרן]],הפחתה7[[#This Row],[קרן]],הפחתה8[[#This Row],[קרן]])</f>
        <v>2173.6442480262867</v>
      </c>
      <c r="G102" s="13">
        <f ca="1">IF(הפחתה23[[#This Row],[תאריך]]="",0,PropertyTaxAmount)</f>
        <v>0</v>
      </c>
      <c r="H102" s="13">
        <f ca="1">IF(הפחתה23[[#This Row],[תאריך]]="",0,הפחתה23[[#This Row],[ריבית]]+הפחתה23[[#This Row],[קרן]]+הפחתה23[[#This Row],[מס
רכוש]])</f>
        <v>5542.1327379972199</v>
      </c>
      <c r="I102" s="13">
        <f ca="1">IF(הפחתה23[[#This Row],[תאריך]]="",0,הפחתה23[[#This Row],[יתרת פתיחה]]-הפחתה23[[#This Row],[קרן]])</f>
        <v>838124.26616497815</v>
      </c>
      <c r="J102" s="11">
        <f ca="1">MAX(הפחתה[[#This Row],[תשלומים
שנותרו]],הפחתה5[[#This Row],[תשלומים
שנותרו]],הפחתה7[[#This Row],[תשלומים
שנותרו]],הפחתה8[[#This Row],[תשלומים
שנותרו]])</f>
        <v>261</v>
      </c>
    </row>
    <row r="103" spans="1:10" ht="15" customHeight="1" x14ac:dyDescent="0.25">
      <c r="A103" s="8"/>
      <c r="B103" s="11">
        <f>MAX(הפחתה[[#This Row],[מס'']],הפחתה5[[#This Row],[מס'']],הפחתה7[[#This Row],[מס'']],הפחתה8[[#This Row],[מס'']])</f>
        <v>100</v>
      </c>
      <c r="C103" s="12">
        <f ca="1">IF(ValuesEntered,IF(הפחתה23[[#This Row],[מס'']]&lt;=תקופת_ההלוואה,IF(ROW()-ROW(הפחתה[[#Headers],[תאריך]])=1,LoanStart,IF(I102&gt;0,EDATE(C102,1),"")),""),"")</f>
        <v>48396</v>
      </c>
      <c r="D103" s="13">
        <f ca="1">SUM(הפחתה[[#This Row],[יתרת פתיחה]],הפחתה5[[#This Row],[יתרת פתיחה]],הפחתה7[[#This Row],[יתרת פתיחה]],הפחתה8[[#This Row],[יתרת פתיחה]])</f>
        <v>838268.37004401803</v>
      </c>
      <c r="E103" s="13">
        <f ca="1">SUM(הפחתה[[#This Row],[ריבית]],הפחתה5[[#This Row],[ריבית]],הפחתה7[[#This Row],[ריבית]],הפחתה8[[#This Row],[ריבית]])</f>
        <v>3360.3925960978418</v>
      </c>
      <c r="F103" s="13">
        <f ca="1">SUM(הפחתה[[#This Row],[קרן]],הפחתה5[[#This Row],[קרן]],הפחתה7[[#This Row],[קרן]],הפחתה8[[#This Row],[קרן]])</f>
        <v>2182.5692857102513</v>
      </c>
      <c r="G103" s="13">
        <f ca="1">IF(הפחתה23[[#This Row],[תאריך]]="",0,PropertyTaxAmount)</f>
        <v>0</v>
      </c>
      <c r="H103" s="13">
        <f ca="1">IF(הפחתה23[[#This Row],[תאריך]]="",0,הפחתה23[[#This Row],[ריבית]]+הפחתה23[[#This Row],[קרן]]+הפחתה23[[#This Row],[מס
רכוש]])</f>
        <v>5542.9618818080926</v>
      </c>
      <c r="I103" s="13">
        <f ca="1">IF(הפחתה23[[#This Row],[תאריך]]="",0,הפחתה23[[#This Row],[יתרת פתיחה]]-הפחתה23[[#This Row],[קרן]])</f>
        <v>836085.8007583078</v>
      </c>
      <c r="J103" s="11">
        <f ca="1">MAX(הפחתה[[#This Row],[תשלומים
שנותרו]],הפחתה5[[#This Row],[תשלומים
שנותרו]],הפחתה7[[#This Row],[תשלומים
שנותרו]],הפחתה8[[#This Row],[תשלומים
שנותרו]])</f>
        <v>260</v>
      </c>
    </row>
    <row r="104" spans="1:10" ht="15" customHeight="1" x14ac:dyDescent="0.25">
      <c r="A104" s="8"/>
      <c r="B104" s="11">
        <f>MAX(הפחתה[[#This Row],[מס'']],הפחתה5[[#This Row],[מס'']],הפחתה7[[#This Row],[מס'']],הפחתה8[[#This Row],[מס'']])</f>
        <v>101</v>
      </c>
      <c r="C104" s="12">
        <f ca="1">IF(ValuesEntered,IF(הפחתה23[[#This Row],[מס'']]&lt;=תקופת_ההלוואה,IF(ROW()-ROW(הפחתה[[#Headers],[תאריך]])=1,LoanStart,IF(I103&gt;0,EDATE(C103,1),"")),""),"")</f>
        <v>48427</v>
      </c>
      <c r="D104" s="13">
        <f ca="1">SUM(הפחתה[[#This Row],[יתרת פתיחה]],הפחתה5[[#This Row],[יתרת פתיחה]],הפחתה7[[#This Row],[יתרת פתיחה]],הפחתה8[[#This Row],[יתרת פתיחה]])</f>
        <v>836229.55996043968</v>
      </c>
      <c r="E104" s="13">
        <f ca="1">SUM(הפחתה[[#This Row],[ריבית]],הפחתה5[[#This Row],[ריבית]],הפחתה7[[#This Row],[ריבית]],הפחתה8[[#This Row],[ריבית]])</f>
        <v>3352.2611373235918</v>
      </c>
      <c r="F104" s="13">
        <f ca="1">SUM(הפחתה[[#This Row],[קרן]],הפחתה5[[#This Row],[קרן]],הפחתה7[[#This Row],[קרן]],הפחתה8[[#This Row],[קרן]])</f>
        <v>2191.5312055347358</v>
      </c>
      <c r="G104" s="13">
        <f ca="1">IF(הפחתה23[[#This Row],[תאריך]]="",0,PropertyTaxAmount)</f>
        <v>0</v>
      </c>
      <c r="H104" s="13">
        <f ca="1">IF(הפחתה23[[#This Row],[תאריך]]="",0,הפחתה23[[#This Row],[ריבית]]+הפחתה23[[#This Row],[קרן]]+הפחתה23[[#This Row],[מס
רכוש]])</f>
        <v>5543.7923428583272</v>
      </c>
      <c r="I104" s="13">
        <f ca="1">IF(הפחתה23[[#This Row],[תאריך]]="",0,הפחתה23[[#This Row],[יתרת פתיחה]]-הפחתה23[[#This Row],[קרן]])</f>
        <v>834038.02875490498</v>
      </c>
      <c r="J104" s="11">
        <f ca="1">MAX(הפחתה[[#This Row],[תשלומים
שנותרו]],הפחתה5[[#This Row],[תשלומים
שנותרו]],הפחתה7[[#This Row],[תשלומים
שנותרו]],הפחתה8[[#This Row],[תשלומים
שנותרו]])</f>
        <v>259</v>
      </c>
    </row>
    <row r="105" spans="1:10" ht="15" customHeight="1" x14ac:dyDescent="0.25">
      <c r="A105" s="8"/>
      <c r="B105" s="11">
        <f>MAX(הפחתה[[#This Row],[מס'']],הפחתה5[[#This Row],[מס'']],הפחתה7[[#This Row],[מס'']],הפחתה8[[#This Row],[מס'']])</f>
        <v>102</v>
      </c>
      <c r="C105" s="12">
        <f ca="1">IF(ValuesEntered,IF(הפחתה23[[#This Row],[מס'']]&lt;=תקופת_ההלוואה,IF(ROW()-ROW(הפחתה[[#Headers],[תאריך]])=1,LoanStart,IF(I104&gt;0,EDATE(C104,1),"")),""),"")</f>
        <v>48458</v>
      </c>
      <c r="D105" s="13">
        <f ca="1">SUM(הפחתה[[#This Row],[יתרת פתיחה]],הפחתה5[[#This Row],[יתרת פתיחה]],הפחתה7[[#This Row],[יתרת פתיחה]],הפחתה8[[#This Row],[יתרת פתיחה]])</f>
        <v>834181.44060410664</v>
      </c>
      <c r="E105" s="13">
        <f ca="1">SUM(הפחתה[[#This Row],[ריבית]],הפחתה5[[#This Row],[ריבית]],הפחתה7[[#This Row],[ריבית]],הפחתה8[[#This Row],[ריבית]])</f>
        <v>3344.0939622763372</v>
      </c>
      <c r="F105" s="13">
        <f ca="1">SUM(הפחתה[[#This Row],[קרן]],הפחתה5[[#This Row],[קרן]],הפחתה7[[#This Row],[קרן]],הפחתה8[[#This Row],[קרן]])</f>
        <v>2200.5301609785492</v>
      </c>
      <c r="G105" s="13">
        <f ca="1">IF(הפחתה23[[#This Row],[תאריך]]="",0,PropertyTaxAmount)</f>
        <v>0</v>
      </c>
      <c r="H105" s="13">
        <f ca="1">IF(הפחתה23[[#This Row],[תאריך]]="",0,הפחתה23[[#This Row],[ריבית]]+הפחתה23[[#This Row],[קרן]]+הפחתה23[[#This Row],[מס
רכוש]])</f>
        <v>5544.6241232548864</v>
      </c>
      <c r="I105" s="13">
        <f ca="1">IF(הפחתה23[[#This Row],[תאריך]]="",0,הפחתה23[[#This Row],[יתרת פתיחה]]-הפחתה23[[#This Row],[קרן]])</f>
        <v>831980.91044312809</v>
      </c>
      <c r="J105" s="11">
        <f ca="1">MAX(הפחתה[[#This Row],[תשלומים
שנותרו]],הפחתה5[[#This Row],[תשלומים
שנותרו]],הפחתה7[[#This Row],[תשלומים
שנותרו]],הפחתה8[[#This Row],[תשלומים
שנותרו]])</f>
        <v>258</v>
      </c>
    </row>
    <row r="106" spans="1:10" ht="15" customHeight="1" x14ac:dyDescent="0.25">
      <c r="A106" s="8"/>
      <c r="B106" s="11">
        <f>MAX(הפחתה[[#This Row],[מס'']],הפחתה5[[#This Row],[מס'']],הפחתה7[[#This Row],[מס'']],הפחתה8[[#This Row],[מס'']])</f>
        <v>103</v>
      </c>
      <c r="C106" s="12">
        <f ca="1">IF(ValuesEntered,IF(הפחתה23[[#This Row],[מס'']]&lt;=תקופת_ההלוואה,IF(ROW()-ROW(הפחתה[[#Headers],[תאריך]])=1,LoanStart,IF(I105&gt;0,EDATE(C105,1),"")),""),"")</f>
        <v>48488</v>
      </c>
      <c r="D106" s="13">
        <f ca="1">SUM(הפחתה[[#This Row],[יתרת פתיחה]],הפחתה5[[#This Row],[יתרת פתיחה]],הפחתה7[[#This Row],[יתרת פתיחה]],הפחתה8[[#This Row],[יתרת פתיחה]])</f>
        <v>832123.97225134168</v>
      </c>
      <c r="E106" s="13">
        <f ca="1">SUM(הפחתה[[#This Row],[ריבית]],הפחתה5[[#This Row],[ריבית]],הפחתה7[[#This Row],[ריבית]],הפחתה8[[#This Row],[ריבית]])</f>
        <v>3335.8909189452743</v>
      </c>
      <c r="F106" s="13">
        <f ca="1">SUM(הפחתה[[#This Row],[קרן]],הפחתה5[[#This Row],[קרן]],הפחתה7[[#This Row],[קרן]],הפחתה8[[#This Row],[קרן]])</f>
        <v>2209.5663061658956</v>
      </c>
      <c r="G106" s="13">
        <f ca="1">IF(הפחתה23[[#This Row],[תאריך]]="",0,PropertyTaxAmount)</f>
        <v>0</v>
      </c>
      <c r="H106" s="13">
        <f ca="1">IF(הפחתה23[[#This Row],[תאריך]]="",0,הפחתה23[[#This Row],[ריבית]]+הפחתה23[[#This Row],[קרן]]+הפחתה23[[#This Row],[מס
רכוש]])</f>
        <v>5545.4572251111695</v>
      </c>
      <c r="I106" s="13">
        <f ca="1">IF(הפחתה23[[#This Row],[תאריך]]="",0,הפחתה23[[#This Row],[יתרת פתיחה]]-הפחתה23[[#This Row],[קרן]])</f>
        <v>829914.40594517579</v>
      </c>
      <c r="J106" s="11">
        <f ca="1">MAX(הפחתה[[#This Row],[תשלומים
שנותרו]],הפחתה5[[#This Row],[תשלומים
שנותרו]],הפחתה7[[#This Row],[תשלומים
שנותרו]],הפחתה8[[#This Row],[תשלומים
שנותרו]])</f>
        <v>257</v>
      </c>
    </row>
    <row r="107" spans="1:10" ht="15" customHeight="1" x14ac:dyDescent="0.25">
      <c r="A107" s="8"/>
      <c r="B107" s="11">
        <f>MAX(הפחתה[[#This Row],[מס'']],הפחתה5[[#This Row],[מס'']],הפחתה7[[#This Row],[מס'']],הפחתה8[[#This Row],[מס'']])</f>
        <v>104</v>
      </c>
      <c r="C107" s="12">
        <f ca="1">IF(ValuesEntered,IF(הפחתה23[[#This Row],[מס'']]&lt;=תקופת_ההלוואה,IF(ROW()-ROW(הפחתה[[#Headers],[תאריך]])=1,LoanStart,IF(I106&gt;0,EDATE(C106,1),"")),""),"")</f>
        <v>48519</v>
      </c>
      <c r="D107" s="13">
        <f ca="1">SUM(הפחתה[[#This Row],[יתרת פתיחה]],הפחתה5[[#This Row],[יתרת פתיחה]],הפחתה7[[#This Row],[יתרת פתיחה]],הפחתה8[[#This Row],[יתרת פתיחה]])</f>
        <v>830057.1150122598</v>
      </c>
      <c r="E107" s="13">
        <f ca="1">SUM(הפחתה[[#This Row],[ריבית]],הפחתה5[[#This Row],[ריבית]],הפחתה7[[#This Row],[ריבית]],הפחתה8[[#This Row],[ריבית]])</f>
        <v>3327.6518546779466</v>
      </c>
      <c r="F107" s="13">
        <f ca="1">SUM(הפחתה[[#This Row],[קרן]],הפחתה5[[#This Row],[קרן]],הפחתה7[[#This Row],[קרן]],הפחתה8[[#This Row],[קרן]])</f>
        <v>2218.6397958691668</v>
      </c>
      <c r="G107" s="13">
        <f ca="1">IF(הפחתה23[[#This Row],[תאריך]]="",0,PropertyTaxAmount)</f>
        <v>0</v>
      </c>
      <c r="H107" s="13">
        <f ca="1">IF(הפחתה23[[#This Row],[תאריך]]="",0,הפחתה23[[#This Row],[ריבית]]+הפחתה23[[#This Row],[קרן]]+הפחתה23[[#This Row],[מס
רכוש]])</f>
        <v>5546.291650547113</v>
      </c>
      <c r="I107" s="13">
        <f ca="1">IF(הפחתה23[[#This Row],[תאריך]]="",0,הפחתה23[[#This Row],[יתרת פתיחה]]-הפחתה23[[#This Row],[קרן]])</f>
        <v>827838.47521639068</v>
      </c>
      <c r="J107" s="11">
        <f ca="1">MAX(הפחתה[[#This Row],[תשלומים
שנותרו]],הפחתה5[[#This Row],[תשלומים
שנותרו]],הפחתה7[[#This Row],[תשלומים
שנותרו]],הפחתה8[[#This Row],[תשלומים
שנותרו]])</f>
        <v>256</v>
      </c>
    </row>
    <row r="108" spans="1:10" ht="15" customHeight="1" x14ac:dyDescent="0.25">
      <c r="A108" s="8"/>
      <c r="B108" s="11">
        <f>MAX(הפחתה[[#This Row],[מס'']],הפחתה5[[#This Row],[מס'']],הפחתה7[[#This Row],[מס'']],הפחתה8[[#This Row],[מס'']])</f>
        <v>105</v>
      </c>
      <c r="C108" s="12">
        <f ca="1">IF(ValuesEntered,IF(הפחתה23[[#This Row],[מס'']]&lt;=תקופת_ההלוואה,IF(ROW()-ROW(הפחתה[[#Headers],[תאריך]])=1,LoanStart,IF(I107&gt;0,EDATE(C107,1),"")),""),"")</f>
        <v>48549</v>
      </c>
      <c r="D108" s="13">
        <f ca="1">SUM(הפחתה[[#This Row],[יתרת פתיחה]],הפחתה5[[#This Row],[יתרת פתיחה]],הפחתה7[[#This Row],[יתרת פתיחה]],הפחתה8[[#This Row],[יתרת פתיחה]])</f>
        <v>827980.82883007266</v>
      </c>
      <c r="E108" s="13">
        <f ca="1">SUM(הפחתה[[#This Row],[ריבית]],הפחתה5[[#This Row],[ריבית]],הפחתה7[[#This Row],[ריבית]],הפחתה8[[#This Row],[ריבית]])</f>
        <v>3319.3766161775284</v>
      </c>
      <c r="F108" s="13">
        <f ca="1">SUM(הפחתה[[#This Row],[קרן]],הפחתה5[[#This Row],[קרן]],הפחתה7[[#This Row],[קרן]],הפחתה8[[#This Row],[קרן]])</f>
        <v>2227.7507855117592</v>
      </c>
      <c r="G108" s="13">
        <f ca="1">IF(הפחתה23[[#This Row],[תאריך]]="",0,PropertyTaxAmount)</f>
        <v>0</v>
      </c>
      <c r="H108" s="13">
        <f ca="1">IF(הפחתה23[[#This Row],[תאריך]]="",0,הפחתה23[[#This Row],[ריבית]]+הפחתה23[[#This Row],[קרן]]+הפחתה23[[#This Row],[מס
רכוש]])</f>
        <v>5547.1274016892876</v>
      </c>
      <c r="I108" s="13">
        <f ca="1">IF(הפחתה23[[#This Row],[תאריך]]="",0,הפחתה23[[#This Row],[יתרת פתיחה]]-הפחתה23[[#This Row],[קרן]])</f>
        <v>825753.07804456085</v>
      </c>
      <c r="J108" s="11">
        <f ca="1">MAX(הפחתה[[#This Row],[תשלומים
שנותרו]],הפחתה5[[#This Row],[תשלומים
שנותרו]],הפחתה7[[#This Row],[תשלומים
שנותרו]],הפחתה8[[#This Row],[תשלומים
שנותרו]])</f>
        <v>255</v>
      </c>
    </row>
    <row r="109" spans="1:10" ht="15" customHeight="1" x14ac:dyDescent="0.25">
      <c r="A109" s="8"/>
      <c r="B109" s="11">
        <f>MAX(הפחתה[[#This Row],[מס'']],הפחתה5[[#This Row],[מס'']],הפחתה7[[#This Row],[מס'']],הפחתה8[[#This Row],[מס'']])</f>
        <v>106</v>
      </c>
      <c r="C109" s="12">
        <f ca="1">IF(ValuesEntered,IF(הפחתה23[[#This Row],[מס'']]&lt;=תקופת_ההלוואה,IF(ROW()-ROW(הפחתה[[#Headers],[תאריך]])=1,LoanStart,IF(I108&gt;0,EDATE(C108,1),"")),""),"")</f>
        <v>48580</v>
      </c>
      <c r="D109" s="13">
        <f ca="1">SUM(הפחתה[[#This Row],[יתרת פתיחה]],הפחתה5[[#This Row],[יתרת פתיחה]],הפחתה7[[#This Row],[יתרת פתיחה]],הפחתה8[[#This Row],[יתרת פתיחה]])</f>
        <v>825895.07348038896</v>
      </c>
      <c r="E109" s="13">
        <f ca="1">SUM(הפחתה[[#This Row],[ריבית]],הפחתה5[[#This Row],[ריבית]],הפחתה7[[#This Row],[ריבית]],הפחתה8[[#This Row],[ריבית]])</f>
        <v>3311.0650495000941</v>
      </c>
      <c r="F109" s="13">
        <f ca="1">SUM(הפחתה[[#This Row],[קרן]],הפחתה5[[#This Row],[קרן]],הפחתה7[[#This Row],[קרן]],הפחתה8[[#This Row],[קרן]])</f>
        <v>2236.8994311709002</v>
      </c>
      <c r="G109" s="13">
        <f ca="1">IF(הפחתה23[[#This Row],[תאריך]]="",0,PropertyTaxAmount)</f>
        <v>0</v>
      </c>
      <c r="H109" s="13">
        <f ca="1">IF(הפחתה23[[#This Row],[תאריך]]="",0,הפחתה23[[#This Row],[ריבית]]+הפחתה23[[#This Row],[קרן]]+הפחתה23[[#This Row],[מס
רכוש]])</f>
        <v>5547.9644806709948</v>
      </c>
      <c r="I109" s="13">
        <f ca="1">IF(הפחתה23[[#This Row],[תאריך]]="",0,הפחתה23[[#This Row],[יתרת פתיחה]]-הפחתה23[[#This Row],[קרן]])</f>
        <v>823658.17404921807</v>
      </c>
      <c r="J109" s="11">
        <f ca="1">MAX(הפחתה[[#This Row],[תשלומים
שנותרו]],הפחתה5[[#This Row],[תשלומים
שנותרו]],הפחתה7[[#This Row],[תשלומים
שנותרו]],הפחתה8[[#This Row],[תשלומים
שנותרו]])</f>
        <v>254</v>
      </c>
    </row>
    <row r="110" spans="1:10" ht="15" customHeight="1" x14ac:dyDescent="0.25">
      <c r="A110" s="8"/>
      <c r="B110" s="11">
        <f>MAX(הפחתה[[#This Row],[מס'']],הפחתה5[[#This Row],[מס'']],הפחתה7[[#This Row],[מס'']],הפחתה8[[#This Row],[מס'']])</f>
        <v>107</v>
      </c>
      <c r="C110" s="12">
        <f ca="1">IF(ValuesEntered,IF(הפחתה23[[#This Row],[מס'']]&lt;=תקופת_ההלוואה,IF(ROW()-ROW(הפחתה[[#Headers],[תאריך]])=1,LoanStart,IF(I109&gt;0,EDATE(C109,1),"")),""),"")</f>
        <v>48611</v>
      </c>
      <c r="D110" s="13">
        <f ca="1">SUM(הפחתה[[#This Row],[יתרת פתיחה]],הפחתה5[[#This Row],[יתרת פתיחה]],הפחתה7[[#This Row],[יתרת פתיחה]],הפחתה8[[#This Row],[יתרת פתיחה]])</f>
        <v>823799.80857051234</v>
      </c>
      <c r="E110" s="13">
        <f ca="1">SUM(הפחתה[[#This Row],[ריבית]],הפחתה5[[#This Row],[ריבית]],הפחתה7[[#This Row],[ריבית]],הפחתה8[[#This Row],[ריבית]])</f>
        <v>3302.7170000518904</v>
      </c>
      <c r="F110" s="13">
        <f ca="1">SUM(הפחתה[[#This Row],[קרן]],הפחתה5[[#This Row],[קרן]],הפחתה7[[#This Row],[קרן]],הפחתה8[[#This Row],[קרן]])</f>
        <v>2246.0858895804881</v>
      </c>
      <c r="G110" s="13">
        <f ca="1">IF(הפחתה23[[#This Row],[תאריך]]="",0,PropertyTaxAmount)</f>
        <v>0</v>
      </c>
      <c r="H110" s="13">
        <f ca="1">IF(הפחתה23[[#This Row],[תאריך]]="",0,הפחתה23[[#This Row],[ריבית]]+הפחתה23[[#This Row],[קרן]]+הפחתה23[[#This Row],[מס
רכוש]])</f>
        <v>5548.8028896323785</v>
      </c>
      <c r="I110" s="13">
        <f ca="1">IF(הפחתה23[[#This Row],[תאריך]]="",0,הפחתה23[[#This Row],[יתרת פתיחה]]-הפחתה23[[#This Row],[קרן]])</f>
        <v>821553.72268093179</v>
      </c>
      <c r="J110" s="11">
        <f ca="1">MAX(הפחתה[[#This Row],[תשלומים
שנותרו]],הפחתה5[[#This Row],[תשלומים
שנותרו]],הפחתה7[[#This Row],[תשלומים
שנותרו]],הפחתה8[[#This Row],[תשלומים
שנותרו]])</f>
        <v>253</v>
      </c>
    </row>
    <row r="111" spans="1:10" ht="15" customHeight="1" x14ac:dyDescent="0.25">
      <c r="A111" s="8"/>
      <c r="B111" s="11">
        <f>MAX(הפחתה[[#This Row],[מס'']],הפחתה5[[#This Row],[מס'']],הפחתה7[[#This Row],[מס'']],הפחתה8[[#This Row],[מס'']])</f>
        <v>108</v>
      </c>
      <c r="C111" s="12">
        <f ca="1">IF(ValuesEntered,IF(הפחתה23[[#This Row],[מס'']]&lt;=תקופת_ההלוואה,IF(ROW()-ROW(הפחתה[[#Headers],[תאריך]])=1,LoanStart,IF(I110&gt;0,EDATE(C110,1),"")),""),"")</f>
        <v>48639</v>
      </c>
      <c r="D111" s="13">
        <f ca="1">SUM(הפחתה[[#This Row],[יתרת פתיחה]],הפחתה5[[#This Row],[יתרת פתיחה]],הפחתה7[[#This Row],[יתרת פתיחה]],הפחתה8[[#This Row],[יתרת פתיחה]])</f>
        <v>821694.99353873695</v>
      </c>
      <c r="E111" s="13">
        <f ca="1">SUM(הפחתה[[#This Row],[ריבית]],הפחתה5[[#This Row],[ריבית]],הפחתה7[[#This Row],[ריבית]],הפחתה8[[#This Row],[ריבית]])</f>
        <v>3294.3323125865777</v>
      </c>
      <c r="F111" s="13">
        <f ca="1">SUM(הפחתה[[#This Row],[קרן]],הפחתה5[[#This Row],[קרן]],הפחתה7[[#This Row],[קרן]],הפחתה8[[#This Row],[קרן]])</f>
        <v>2255.3103181339534</v>
      </c>
      <c r="G111" s="13">
        <f ca="1">IF(הפחתה23[[#This Row],[תאריך]]="",0,PropertyTaxAmount)</f>
        <v>0</v>
      </c>
      <c r="H111" s="13">
        <f ca="1">IF(הפחתה23[[#This Row],[תאריך]]="",0,הפחתה23[[#This Row],[ריבית]]+הפחתה23[[#This Row],[קרן]]+הפחתה23[[#This Row],[מס
רכוש]])</f>
        <v>5549.6426307205311</v>
      </c>
      <c r="I111" s="13">
        <f ca="1">IF(הפחתה23[[#This Row],[תאריך]]="",0,הפחתה23[[#This Row],[יתרת פתיחה]]-הפחתה23[[#This Row],[קרן]])</f>
        <v>819439.68322060304</v>
      </c>
      <c r="J111" s="11">
        <f ca="1">MAX(הפחתה[[#This Row],[תשלומים
שנותרו]],הפחתה5[[#This Row],[תשלומים
שנותרו]],הפחתה7[[#This Row],[תשלומים
שנותרו]],הפחתה8[[#This Row],[תשלומים
שנותרו]])</f>
        <v>252</v>
      </c>
    </row>
    <row r="112" spans="1:10" ht="15" customHeight="1" x14ac:dyDescent="0.25">
      <c r="A112" s="8"/>
      <c r="B112" s="11">
        <f>MAX(הפחתה[[#This Row],[מס'']],הפחתה5[[#This Row],[מס'']],הפחתה7[[#This Row],[מס'']],הפחתה8[[#This Row],[מס'']])</f>
        <v>109</v>
      </c>
      <c r="C112" s="12">
        <f ca="1">IF(ValuesEntered,IF(הפחתה23[[#This Row],[מס'']]&lt;=תקופת_ההלוואה,IF(ROW()-ROW(הפחתה[[#Headers],[תאריך]])=1,LoanStart,IF(I111&gt;0,EDATE(C111,1),"")),""),"")</f>
        <v>48670</v>
      </c>
      <c r="D112" s="13">
        <f ca="1">SUM(הפחתה[[#This Row],[יתרת פתיחה]],הפחתה5[[#This Row],[יתרת פתיחה]],הפחתה7[[#This Row],[יתרת פתיחה]],הפחתה8[[#This Row],[יתרת פתיחה]])</f>
        <v>819580.58765363833</v>
      </c>
      <c r="E112" s="13">
        <f ca="1">SUM(הפחתה[[#This Row],[ריבית]],הפחתה5[[#This Row],[ריבית]],הפחתה7[[#This Row],[ריבית]],הפחתה8[[#This Row],[ריבית]])</f>
        <v>3285.9108312024737</v>
      </c>
      <c r="F112" s="13">
        <f ca="1">SUM(הפחתה[[#This Row],[קרן]],הפחתה5[[#This Row],[קרן]],הפחתה7[[#This Row],[קרן]],הפחתה8[[#This Row],[קרן]])</f>
        <v>2264.572874887122</v>
      </c>
      <c r="G112" s="13">
        <f ca="1">IF(הפחתה23[[#This Row],[תאריך]]="",0,PropertyTaxAmount)</f>
        <v>0</v>
      </c>
      <c r="H112" s="13">
        <f ca="1">IF(הפחתה23[[#This Row],[תאריך]]="",0,הפחתה23[[#This Row],[ריבית]]+הפחתה23[[#This Row],[קרן]]+הפחתה23[[#This Row],[מס
רכוש]])</f>
        <v>5550.4837060895952</v>
      </c>
      <c r="I112" s="13">
        <f ca="1">IF(הפחתה23[[#This Row],[תאריך]]="",0,הפחתה23[[#This Row],[יתרת פתיחה]]-הפחתה23[[#This Row],[קרן]])</f>
        <v>817316.01477875118</v>
      </c>
      <c r="J112" s="11">
        <f ca="1">MAX(הפחתה[[#This Row],[תשלומים
שנותרו]],הפחתה5[[#This Row],[תשלומים
שנותרו]],הפחתה7[[#This Row],[תשלומים
שנותרו]],הפחתה8[[#This Row],[תשלומים
שנותרו]])</f>
        <v>251</v>
      </c>
    </row>
    <row r="113" spans="1:10" ht="15" customHeight="1" x14ac:dyDescent="0.25">
      <c r="A113" s="8"/>
      <c r="B113" s="11">
        <f>MAX(הפחתה[[#This Row],[מס'']],הפחתה5[[#This Row],[מס'']],הפחתה7[[#This Row],[מס'']],הפחתה8[[#This Row],[מס'']])</f>
        <v>110</v>
      </c>
      <c r="C113" s="12">
        <f ca="1">IF(ValuesEntered,IF(הפחתה23[[#This Row],[מס'']]&lt;=תקופת_ההלוואה,IF(ROW()-ROW(הפחתה[[#Headers],[תאריך]])=1,LoanStart,IF(I112&gt;0,EDATE(C112,1),"")),""),"")</f>
        <v>48700</v>
      </c>
      <c r="D113" s="13">
        <f ca="1">SUM(הפחתה[[#This Row],[יתרת פתיחה]],הפחתה5[[#This Row],[יתרת פתיחה]],הפחתה7[[#This Row],[יתרת פתיחה]],הפחתה8[[#This Row],[יתרת פתיחה]])</f>
        <v>817456.5500133629</v>
      </c>
      <c r="E113" s="13">
        <f ca="1">SUM(הפחתה[[#This Row],[ריבית]],הפחתה5[[#This Row],[ריבית]],הפחתה7[[#This Row],[ריבית]],הפחתה8[[#This Row],[ריבית]])</f>
        <v>3277.4523993397784</v>
      </c>
      <c r="F113" s="13">
        <f ca="1">SUM(הפחתה[[#This Row],[קרן]],הפחתה5[[#This Row],[קרן]],הפחתה7[[#This Row],[קרן]],הפחתה8[[#This Row],[קרן]])</f>
        <v>2273.8737185611076</v>
      </c>
      <c r="G113" s="13">
        <f ca="1">IF(הפחתה23[[#This Row],[תאריך]]="",0,PropertyTaxAmount)</f>
        <v>0</v>
      </c>
      <c r="H113" s="13">
        <f ca="1">IF(הפחתה23[[#This Row],[תאריך]]="",0,הפחתה23[[#This Row],[ריבית]]+הפחתה23[[#This Row],[קרן]]+הפחתה23[[#This Row],[מס
רכוש]])</f>
        <v>5551.3261179008859</v>
      </c>
      <c r="I113" s="13">
        <f ca="1">IF(הפחתה23[[#This Row],[תאריך]]="",0,הפחתה23[[#This Row],[יתרת פתיחה]]-הפחתה23[[#This Row],[קרן]])</f>
        <v>815182.67629480176</v>
      </c>
      <c r="J113" s="11">
        <f ca="1">MAX(הפחתה[[#This Row],[תשלומים
שנותרו]],הפחתה5[[#This Row],[תשלומים
שנותרו]],הפחתה7[[#This Row],[תשלומים
שנותרו]],הפחתה8[[#This Row],[תשלומים
שנותרו]])</f>
        <v>250</v>
      </c>
    </row>
    <row r="114" spans="1:10" ht="15" customHeight="1" x14ac:dyDescent="0.25">
      <c r="A114" s="8"/>
      <c r="B114" s="11">
        <f>MAX(הפחתה[[#This Row],[מס'']],הפחתה5[[#This Row],[מס'']],הפחתה7[[#This Row],[מס'']],הפחתה8[[#This Row],[מס'']])</f>
        <v>111</v>
      </c>
      <c r="C114" s="12">
        <f ca="1">IF(ValuesEntered,IF(הפחתה23[[#This Row],[מס'']]&lt;=תקופת_ההלוואה,IF(ROW()-ROW(הפחתה[[#Headers],[תאריך]])=1,LoanStart,IF(I113&gt;0,EDATE(C113,1),"")),""),"")</f>
        <v>48731</v>
      </c>
      <c r="D114" s="13">
        <f ca="1">SUM(הפחתה[[#This Row],[יתרת פתיחה]],הפחתה5[[#This Row],[יתרת פתיחה]],הפחתה7[[#This Row],[יתרת פתיחה]],הפחתה8[[#This Row],[יתרת פתיחה]])</f>
        <v>815322.83954491338</v>
      </c>
      <c r="E114" s="13">
        <f ca="1">SUM(הפחתה[[#This Row],[ריבית]],הפחתה5[[#This Row],[ריבית]],הפחתה7[[#This Row],[ריבית]],הפחתה8[[#This Row],[ריבית]])</f>
        <v>3268.9568597777902</v>
      </c>
      <c r="F114" s="13">
        <f ca="1">SUM(הפחתה[[#This Row],[קרן]],הפחתה5[[#This Row],[קרן]],הפחתה7[[#This Row],[קרן]],הפחתה8[[#This Row],[קרן]])</f>
        <v>2283.2130085452086</v>
      </c>
      <c r="G114" s="13">
        <f ca="1">IF(הפחתה23[[#This Row],[תאריך]]="",0,PropertyTaxAmount)</f>
        <v>0</v>
      </c>
      <c r="H114" s="13">
        <f ca="1">IF(הפחתה23[[#This Row],[תאריך]]="",0,הפחתה23[[#This Row],[ריבית]]+הפחתה23[[#This Row],[קרן]]+הפחתה23[[#This Row],[מס
רכוש]])</f>
        <v>5552.1698683229988</v>
      </c>
      <c r="I114" s="13">
        <f ca="1">IF(הפחתה23[[#This Row],[תאריך]]="",0,הפחתה23[[#This Row],[יתרת פתיחה]]-הפחתה23[[#This Row],[קרן]])</f>
        <v>813039.62653636816</v>
      </c>
      <c r="J114" s="11">
        <f ca="1">MAX(הפחתה[[#This Row],[תשלומים
שנותרו]],הפחתה5[[#This Row],[תשלומים
שנותרו]],הפחתה7[[#This Row],[תשלומים
שנותרו]],הפחתה8[[#This Row],[תשלומים
שנותרו]])</f>
        <v>249</v>
      </c>
    </row>
    <row r="115" spans="1:10" ht="15" customHeight="1" x14ac:dyDescent="0.25">
      <c r="A115" s="8"/>
      <c r="B115" s="11">
        <f>MAX(הפחתה[[#This Row],[מס'']],הפחתה5[[#This Row],[מס'']],הפחתה7[[#This Row],[מס'']],הפחתה8[[#This Row],[מס'']])</f>
        <v>112</v>
      </c>
      <c r="C115" s="12">
        <f ca="1">IF(ValuesEntered,IF(הפחתה23[[#This Row],[מס'']]&lt;=תקופת_ההלוואה,IF(ROW()-ROW(הפחתה[[#Headers],[תאריך]])=1,LoanStart,IF(I114&gt;0,EDATE(C114,1),"")),""),"")</f>
        <v>48761</v>
      </c>
      <c r="D115" s="13">
        <f ca="1">SUM(הפחתה[[#This Row],[יתרת פתיחה]],הפחתה5[[#This Row],[יתרת פתיחה]],הפחתה7[[#This Row],[יתרת פתיחה]],הפחתה8[[#This Row],[יתרת פתיחה]])</f>
        <v>813179.41500343138</v>
      </c>
      <c r="E115" s="13">
        <f ca="1">SUM(הפחתה[[#This Row],[ריבית]],הפחתה5[[#This Row],[ריבית]],הפחתה7[[#This Row],[ריבית]],הפחתה8[[#This Row],[ריבית]])</f>
        <v>3260.4240546321098</v>
      </c>
      <c r="F115" s="13">
        <f ca="1">SUM(הפחתה[[#This Row],[קרן]],הפחתה5[[#This Row],[קרן]],הפחתה7[[#This Row],[קרן]],הפחתה8[[#This Row],[קרן]])</f>
        <v>2292.590904899826</v>
      </c>
      <c r="G115" s="13">
        <f ca="1">IF(הפחתה23[[#This Row],[תאריך]]="",0,PropertyTaxAmount)</f>
        <v>0</v>
      </c>
      <c r="H115" s="13">
        <f ca="1">IF(הפחתה23[[#This Row],[תאריך]]="",0,הפחתה23[[#This Row],[ריבית]]+הפחתה23[[#This Row],[קרן]]+הפחתה23[[#This Row],[מס
רכוש]])</f>
        <v>5553.0149595319363</v>
      </c>
      <c r="I115" s="13">
        <f ca="1">IF(הפחתה23[[#This Row],[תאריך]]="",0,הפחתה23[[#This Row],[יתרת פתיחה]]-הפחתה23[[#This Row],[קרן]])</f>
        <v>810886.82409853151</v>
      </c>
      <c r="J115" s="11">
        <f ca="1">MAX(הפחתה[[#This Row],[תשלומים
שנותרו]],הפחתה5[[#This Row],[תשלומים
שנותרו]],הפחתה7[[#This Row],[תשלומים
שנותרו]],הפחתה8[[#This Row],[תשלומים
שנותרו]])</f>
        <v>248</v>
      </c>
    </row>
    <row r="116" spans="1:10" ht="15" customHeight="1" x14ac:dyDescent="0.25">
      <c r="A116" s="8"/>
      <c r="B116" s="11">
        <f>MAX(הפחתה[[#This Row],[מס'']],הפחתה5[[#This Row],[מס'']],הפחתה7[[#This Row],[מס'']],הפחתה8[[#This Row],[מס'']])</f>
        <v>113</v>
      </c>
      <c r="C116" s="12">
        <f ca="1">IF(ValuesEntered,IF(הפחתה23[[#This Row],[מס'']]&lt;=תקופת_ההלוואה,IF(ROW()-ROW(הפחתה[[#Headers],[תאריך]])=1,LoanStart,IF(I115&gt;0,EDATE(C115,1),"")),""),"")</f>
        <v>48792</v>
      </c>
      <c r="D116" s="13">
        <f ca="1">SUM(הפחתה[[#This Row],[יתרת פתיחה]],הפחתה5[[#This Row],[יתרת פתיחה]],הפחתה7[[#This Row],[יתרת פתיחה]],הפחתה8[[#This Row],[יתרת פתיחה]])</f>
        <v>811026.23497147672</v>
      </c>
      <c r="E116" s="13">
        <f ca="1">SUM(הפחתה[[#This Row],[ריבית]],הפחתה5[[#This Row],[ריבית]],הפחתה7[[#This Row],[ריבית]],הפחתה8[[#This Row],[ריבית]])</f>
        <v>3251.8538253518277</v>
      </c>
      <c r="F116" s="13">
        <f ca="1">SUM(הפחתה[[#This Row],[קרן]],הפחתה5[[#This Row],[קרן]],הפחתה7[[#This Row],[קרן]],הפחתה8[[#This Row],[קרן]])</f>
        <v>2302.0075683593909</v>
      </c>
      <c r="G116" s="13">
        <f ca="1">IF(הפחתה23[[#This Row],[תאריך]]="",0,PropertyTaxAmount)</f>
        <v>0</v>
      </c>
      <c r="H116" s="13">
        <f ca="1">IF(הפחתה23[[#This Row],[תאריך]]="",0,הפחתה23[[#This Row],[ריבית]]+הפחתה23[[#This Row],[קרן]]+הפחתה23[[#This Row],[מס
רכוש]])</f>
        <v>5553.8613937112186</v>
      </c>
      <c r="I116" s="13">
        <f ca="1">IF(הפחתה23[[#This Row],[תאריך]]="",0,הפחתה23[[#This Row],[יתרת פתיחה]]-הפחתה23[[#This Row],[קרן]])</f>
        <v>808724.22740311734</v>
      </c>
      <c r="J116" s="11">
        <f ca="1">MAX(הפחתה[[#This Row],[תשלומים
שנותרו]],הפחתה5[[#This Row],[תשלומים
שנותרו]],הפחתה7[[#This Row],[תשלומים
שנותרו]],הפחתה8[[#This Row],[תשלומים
שנותרו]])</f>
        <v>247</v>
      </c>
    </row>
    <row r="117" spans="1:10" ht="15" customHeight="1" x14ac:dyDescent="0.25">
      <c r="A117" s="8"/>
      <c r="B117" s="11">
        <f>MAX(הפחתה[[#This Row],[מס'']],הפחתה5[[#This Row],[מס'']],הפחתה7[[#This Row],[מס'']],הפחתה8[[#This Row],[מס'']])</f>
        <v>114</v>
      </c>
      <c r="C117" s="12">
        <f ca="1">IF(ValuesEntered,IF(הפחתה23[[#This Row],[מס'']]&lt;=תקופת_ההלוואה,IF(ROW()-ROW(הפחתה[[#Headers],[תאריך]])=1,LoanStart,IF(I116&gt;0,EDATE(C116,1),"")),""),"")</f>
        <v>48823</v>
      </c>
      <c r="D117" s="13">
        <f ca="1">SUM(הפחתה[[#This Row],[יתרת פתיחה]],הפחתה5[[#This Row],[יתרת פתיחה]],הפחתה7[[#This Row],[יתרת פתיחה]],הפחתה8[[#This Row],[יתרת פתיחה]])</f>
        <v>808863.25785830454</v>
      </c>
      <c r="E117" s="13">
        <f ca="1">SUM(הפחתה[[#This Row],[ריבית]],הפחתה5[[#This Row],[ריבית]],הפחתה7[[#This Row],[ריבית]],הפחתה8[[#This Row],[ריבית]])</f>
        <v>3243.2460127167064</v>
      </c>
      <c r="F117" s="13">
        <f ca="1">SUM(הפחתה[[#This Row],[קרן]],הפחתה5[[#This Row],[קרן]],הפחתה7[[#This Row],[קרן]],הפחתה8[[#This Row],[קרן]])</f>
        <v>2311.4631603353146</v>
      </c>
      <c r="G117" s="13">
        <f ca="1">IF(הפחתה23[[#This Row],[תאריך]]="",0,PropertyTaxAmount)</f>
        <v>0</v>
      </c>
      <c r="H117" s="13">
        <f ca="1">IF(הפחתה23[[#This Row],[תאריך]]="",0,הפחתה23[[#This Row],[ריבית]]+הפחתה23[[#This Row],[קרן]]+הפחתה23[[#This Row],[מס
רכוש]])</f>
        <v>5554.7091730520206</v>
      </c>
      <c r="I117" s="13">
        <f ca="1">IF(הפחתה23[[#This Row],[תאריך]]="",0,הפחתה23[[#This Row],[יתרת פתיחה]]-הפחתה23[[#This Row],[קרן]])</f>
        <v>806551.79469796922</v>
      </c>
      <c r="J117" s="11">
        <f ca="1">MAX(הפחתה[[#This Row],[תשלומים
שנותרו]],הפחתה5[[#This Row],[תשלומים
שנותרו]],הפחתה7[[#This Row],[תשלומים
שנותרו]],הפחתה8[[#This Row],[תשלומים
שנותרו]])</f>
        <v>246</v>
      </c>
    </row>
    <row r="118" spans="1:10" ht="15" customHeight="1" x14ac:dyDescent="0.25">
      <c r="A118" s="8"/>
      <c r="B118" s="11">
        <f>MAX(הפחתה[[#This Row],[מס'']],הפחתה5[[#This Row],[מס'']],הפחתה7[[#This Row],[מס'']],הפחתה8[[#This Row],[מס'']])</f>
        <v>115</v>
      </c>
      <c r="C118" s="12">
        <f ca="1">IF(ValuesEntered,IF(הפחתה23[[#This Row],[מס'']]&lt;=תקופת_ההלוואה,IF(ROW()-ROW(הפחתה[[#Headers],[תאריך]])=1,LoanStart,IF(I117&gt;0,EDATE(C117,1),"")),""),"")</f>
        <v>48853</v>
      </c>
      <c r="D118" s="13">
        <f ca="1">SUM(הפחתה[[#This Row],[יתרת פתיחה]],הפחתה5[[#This Row],[יתרת פתיחה]],הפחתה7[[#This Row],[יתרת פתיחה]],הפחתה8[[#This Row],[יתרת פתיחה]])</f>
        <v>806690.44189913734</v>
      </c>
      <c r="E118" s="13">
        <f ca="1">SUM(הפחתה[[#This Row],[ריבית]],הפחתה5[[#This Row],[ריבית]],הפחתה7[[#This Row],[ריבית]],הפחתה8[[#This Row],[ריבית]])</f>
        <v>3234.600456834346</v>
      </c>
      <c r="F118" s="13">
        <f ca="1">SUM(הפחתה[[#This Row],[קרן]],הפחתה5[[#This Row],[קרן]],הפחתה7[[#This Row],[קרן]],הפחתה8[[#This Row],[קרן]])</f>
        <v>2320.9578429189492</v>
      </c>
      <c r="G118" s="13">
        <f ca="1">IF(הפחתה23[[#This Row],[תאריך]]="",0,PropertyTaxAmount)</f>
        <v>0</v>
      </c>
      <c r="H118" s="13">
        <f ca="1">IF(הפחתה23[[#This Row],[תאריך]]="",0,הפחתה23[[#This Row],[ריבית]]+הפחתה23[[#This Row],[קרן]]+הפחתה23[[#This Row],[מס
רכוש]])</f>
        <v>5555.5582997532947</v>
      </c>
      <c r="I118" s="13">
        <f ca="1">IF(הפחתה23[[#This Row],[תאריך]]="",0,הפחתה23[[#This Row],[יתרת פתיחה]]-הפחתה23[[#This Row],[קרן]])</f>
        <v>804369.48405621841</v>
      </c>
      <c r="J118" s="11">
        <f ca="1">MAX(הפחתה[[#This Row],[תשלומים
שנותרו]],הפחתה5[[#This Row],[תשלומים
שנותרו]],הפחתה7[[#This Row],[תשלומים
שנותרו]],הפחתה8[[#This Row],[תשלומים
שנותרו]])</f>
        <v>245</v>
      </c>
    </row>
    <row r="119" spans="1:10" ht="15" customHeight="1" x14ac:dyDescent="0.25">
      <c r="A119" s="8"/>
      <c r="B119" s="11">
        <f>MAX(הפחתה[[#This Row],[מס'']],הפחתה5[[#This Row],[מס'']],הפחתה7[[#This Row],[מס'']],הפחתה8[[#This Row],[מס'']])</f>
        <v>116</v>
      </c>
      <c r="C119" s="12">
        <f ca="1">IF(ValuesEntered,IF(הפחתה23[[#This Row],[מס'']]&lt;=תקופת_ההלוואה,IF(ROW()-ROW(הפחתה[[#Headers],[תאריך]])=1,LoanStart,IF(I118&gt;0,EDATE(C118,1),"")),""),"")</f>
        <v>48884</v>
      </c>
      <c r="D119" s="13">
        <f ca="1">SUM(הפחתה[[#This Row],[יתרת פתיחה]],הפחתה5[[#This Row],[יתרת פתיחה]],הפחתה7[[#This Row],[יתרת פתיחה]],הפחתה8[[#This Row],[יתרת פתיחה]])</f>
        <v>804507.74515443633</v>
      </c>
      <c r="E119" s="13">
        <f ca="1">SUM(הפחתה[[#This Row],[ריבית]],הפחתה5[[#This Row],[ריבית]],הפחתה7[[#This Row],[ריבית]],הפחתה8[[#This Row],[ריבית]])</f>
        <v>3225.9169971373371</v>
      </c>
      <c r="F119" s="13">
        <f ca="1">SUM(הפחתה[[#This Row],[קרן]],הפחתה5[[#This Row],[קרן]],הפחתה7[[#This Row],[קרן]],הפחתה8[[#This Row],[קרן]])</f>
        <v>2330.4917788845628</v>
      </c>
      <c r="G119" s="13">
        <f ca="1">IF(הפחתה23[[#This Row],[תאריך]]="",0,PropertyTaxAmount)</f>
        <v>0</v>
      </c>
      <c r="H119" s="13">
        <f ca="1">IF(הפחתה23[[#This Row],[תאריך]]="",0,הפחתה23[[#This Row],[ריבית]]+הפחתה23[[#This Row],[קרן]]+הפחתה23[[#This Row],[מס
רכוש]])</f>
        <v>5556.4087760218999</v>
      </c>
      <c r="I119" s="13">
        <f ca="1">IF(הפחתה23[[#This Row],[תאריך]]="",0,הפחתה23[[#This Row],[יתרת פתיחה]]-הפחתה23[[#This Row],[קרן]])</f>
        <v>802177.25337555178</v>
      </c>
      <c r="J119" s="11">
        <f ca="1">MAX(הפחתה[[#This Row],[תשלומים
שנותרו]],הפחתה5[[#This Row],[תשלומים
שנותרו]],הפחתה7[[#This Row],[תשלומים
שנותרו]],הפחתה8[[#This Row],[תשלומים
שנותרו]])</f>
        <v>244</v>
      </c>
    </row>
    <row r="120" spans="1:10" ht="15" customHeight="1" x14ac:dyDescent="0.25">
      <c r="A120" s="8"/>
      <c r="B120" s="11">
        <f>MAX(הפחתה[[#This Row],[מס'']],הפחתה5[[#This Row],[מס'']],הפחתה7[[#This Row],[מס'']],הפחתה8[[#This Row],[מס'']])</f>
        <v>117</v>
      </c>
      <c r="C120" s="12">
        <f ca="1">IF(ValuesEntered,IF(הפחתה23[[#This Row],[מס'']]&lt;=תקופת_ההלוואה,IF(ROW()-ROW(הפחתה[[#Headers],[תאריך]])=1,LoanStart,IF(I119&gt;0,EDATE(C119,1),"")),""),"")</f>
        <v>48914</v>
      </c>
      <c r="D120" s="13">
        <f ca="1">SUM(הפחתה[[#This Row],[יתרת פתיחה]],הפחתה5[[#This Row],[יתרת פתיחה]],הפחתה7[[#This Row],[יתרת פתיחה]],הפחתה8[[#This Row],[יתרת פתיחה]])</f>
        <v>802315.12550916709</v>
      </c>
      <c r="E120" s="13">
        <f ca="1">SUM(הפחתה[[#This Row],[ריבית]],הפחתה5[[#This Row],[ריבית]],הפחתה7[[#This Row],[ריבית]],הפחתה8[[#This Row],[ריבית]])</f>
        <v>3217.1954723804051</v>
      </c>
      <c r="F120" s="13">
        <f ca="1">SUM(הפחתה[[#This Row],[קרן]],הפחתה5[[#This Row],[קרן]],הפחתה7[[#This Row],[קרן]],הפחתה8[[#This Row],[קרן]])</f>
        <v>2340.0651316923372</v>
      </c>
      <c r="G120" s="13">
        <f ca="1">IF(הפחתה23[[#This Row],[תאריך]]="",0,PropertyTaxAmount)</f>
        <v>0</v>
      </c>
      <c r="H120" s="13">
        <f ca="1">IF(הפחתה23[[#This Row],[תאריך]]="",0,הפחתה23[[#This Row],[ריבית]]+הפחתה23[[#This Row],[קרן]]+הפחתה23[[#This Row],[מס
רכוש]])</f>
        <v>5557.2606040727424</v>
      </c>
      <c r="I120" s="13">
        <f ca="1">IF(הפחתה23[[#This Row],[תאריך]]="",0,הפחתה23[[#This Row],[יתרת פתיחה]]-הפחתה23[[#This Row],[קרן]])</f>
        <v>799975.06037747476</v>
      </c>
      <c r="J120" s="11">
        <f ca="1">MAX(הפחתה[[#This Row],[תשלומים
שנותרו]],הפחתה5[[#This Row],[תשלומים
שנותרו]],הפחתה7[[#This Row],[תשלומים
שנותרו]],הפחתה8[[#This Row],[תשלומים
שנותרו]])</f>
        <v>243</v>
      </c>
    </row>
    <row r="121" spans="1:10" ht="15" customHeight="1" x14ac:dyDescent="0.25">
      <c r="A121" s="8"/>
      <c r="B121" s="11">
        <f>MAX(הפחתה[[#This Row],[מס'']],הפחתה5[[#This Row],[מס'']],הפחתה7[[#This Row],[מס'']],הפחתה8[[#This Row],[מס'']])</f>
        <v>118</v>
      </c>
      <c r="C121" s="12">
        <f ca="1">IF(ValuesEntered,IF(הפחתה23[[#This Row],[מס'']]&lt;=תקופת_ההלוואה,IF(ROW()-ROW(הפחתה[[#Headers],[תאריך]])=1,LoanStart,IF(I120&gt;0,EDATE(C120,1),"")),""),"")</f>
        <v>48945</v>
      </c>
      <c r="D121" s="13">
        <f ca="1">SUM(הפחתה[[#This Row],[יתרת פתיחה]],הפחתה5[[#This Row],[יתרת פתיחה]],הפחתה7[[#This Row],[יתרת פתיחה]],הפחתה8[[#This Row],[יתרת פתיחה]])</f>
        <v>800112.54067206429</v>
      </c>
      <c r="E121" s="13">
        <f ca="1">SUM(הפחתה[[#This Row],[ריבית]],הפחתה5[[#This Row],[ריבית]],הפחתה7[[#This Row],[ריבית]],הפחתה8[[#This Row],[ריבית]])</f>
        <v>3208.4357206375407</v>
      </c>
      <c r="F121" s="13">
        <f ca="1">SUM(הפחתה[[#This Row],[קרן]],הפחתה5[[#This Row],[קרן]],הפחתה7[[#This Row],[קרן]],הפחתה8[[#This Row],[קרן]])</f>
        <v>2349.6780654913746</v>
      </c>
      <c r="G121" s="13">
        <f ca="1">IF(הפחתה23[[#This Row],[תאריך]]="",0,PropertyTaxAmount)</f>
        <v>0</v>
      </c>
      <c r="H121" s="13">
        <f ca="1">IF(הפחתה23[[#This Row],[תאריך]]="",0,הפחתה23[[#This Row],[ריבית]]+הפחתה23[[#This Row],[קרן]]+הפחתה23[[#This Row],[מס
רכוש]])</f>
        <v>5558.1137861289153</v>
      </c>
      <c r="I121" s="13">
        <f ca="1">IF(הפחתה23[[#This Row],[תאריך]]="",0,הפחתה23[[#This Row],[יתרת פתיחה]]-הפחתה23[[#This Row],[קרן]])</f>
        <v>797762.86260657292</v>
      </c>
      <c r="J121" s="11">
        <f ca="1">MAX(הפחתה[[#This Row],[תשלומים
שנותרו]],הפחתה5[[#This Row],[תשלומים
שנותרו]],הפחתה7[[#This Row],[תשלומים
שנותרו]],הפחתה8[[#This Row],[תשלומים
שנותרו]])</f>
        <v>242</v>
      </c>
    </row>
    <row r="122" spans="1:10" ht="15" customHeight="1" x14ac:dyDescent="0.25">
      <c r="A122" s="8"/>
      <c r="B122" s="11">
        <f>MAX(הפחתה[[#This Row],[מס'']],הפחתה5[[#This Row],[מס'']],הפחתה7[[#This Row],[מס'']],הפחתה8[[#This Row],[מס'']])</f>
        <v>119</v>
      </c>
      <c r="C122" s="12">
        <f ca="1">IF(ValuesEntered,IF(הפחתה23[[#This Row],[מס'']]&lt;=תקופת_ההלוואה,IF(ROW()-ROW(הפחתה[[#Headers],[תאריך]])=1,LoanStart,IF(I121&gt;0,EDATE(C121,1),"")),""),"")</f>
        <v>48976</v>
      </c>
      <c r="D122" s="13">
        <f ca="1">SUM(הפחתה[[#This Row],[יתרת פתיחה]],הפחתה5[[#This Row],[יתרת פתיחה]],הפחתה7[[#This Row],[יתרת פתיחה]],הפחתה8[[#This Row],[יתרת פתיחה]])</f>
        <v>797899.94817489176</v>
      </c>
      <c r="E122" s="13">
        <f ca="1">SUM(הפחתה[[#This Row],[ריבית]],הפחתה5[[#This Row],[ריבית]],הפחתה7[[#This Row],[ריבית]],הפחתה8[[#This Row],[ריבית]])</f>
        <v>3199.6375792991116</v>
      </c>
      <c r="F122" s="13">
        <f ca="1">SUM(הפחתה[[#This Row],[קרן]],הפחתה5[[#This Row],[קרן]],הפחתה7[[#This Row],[קרן]],הפחתה8[[#This Row],[קרן]])</f>
        <v>2359.3307451227247</v>
      </c>
      <c r="G122" s="13">
        <f ca="1">IF(הפחתה23[[#This Row],[תאריך]]="",0,PropertyTaxAmount)</f>
        <v>0</v>
      </c>
      <c r="H122" s="13">
        <f ca="1">IF(הפחתה23[[#This Row],[תאריך]]="",0,הפחתה23[[#This Row],[ריבית]]+הפחתה23[[#This Row],[קרן]]+הפחתה23[[#This Row],[מס
רכוש]])</f>
        <v>5558.9683244218359</v>
      </c>
      <c r="I122" s="13">
        <f ca="1">IF(הפחתה23[[#This Row],[תאריך]]="",0,הפחתה23[[#This Row],[יתרת פתיחה]]-הפחתה23[[#This Row],[קרן]])</f>
        <v>795540.61742976902</v>
      </c>
      <c r="J122" s="11">
        <f ca="1">MAX(הפחתה[[#This Row],[תשלומים
שנותרו]],הפחתה5[[#This Row],[תשלומים
שנותרו]],הפחתה7[[#This Row],[תשלומים
שנותרו]],הפחתה8[[#This Row],[תשלומים
שנותרו]])</f>
        <v>241</v>
      </c>
    </row>
    <row r="123" spans="1:10" ht="15" customHeight="1" x14ac:dyDescent="0.25">
      <c r="A123" s="8"/>
      <c r="B123" s="11">
        <f>MAX(הפחתה[[#This Row],[מס'']],הפחתה5[[#This Row],[מס'']],הפחתה7[[#This Row],[מס'']],הפחתה8[[#This Row],[מס'']])</f>
        <v>120</v>
      </c>
      <c r="C123" s="12">
        <f ca="1">IF(ValuesEntered,IF(הפחתה23[[#This Row],[מס'']]&lt;=תקופת_ההלוואה,IF(ROW()-ROW(הפחתה[[#Headers],[תאריך]])=1,LoanStart,IF(I122&gt;0,EDATE(C122,1),"")),""),"")</f>
        <v>49004</v>
      </c>
      <c r="D123" s="13">
        <f ca="1">SUM(הפחתה[[#This Row],[יתרת פתיחה]],הפחתה5[[#This Row],[יתרת פתיחה]],הפחתה7[[#This Row],[יתרת פתיחה]],הפחתה8[[#This Row],[יתרת פתיחה]])</f>
        <v>795677.30537169939</v>
      </c>
      <c r="E123" s="13">
        <f ca="1">SUM(הפחתה[[#This Row],[ריבית]],הפחתה5[[#This Row],[ריבית]],הפחתה7[[#This Row],[ריבית]],הפחתה8[[#This Row],[ריבית]])</f>
        <v>3190.8008850689748</v>
      </c>
      <c r="F123" s="13">
        <f ca="1">SUM(הפחתה[[#This Row],[קרן]],הפחתה5[[#This Row],[קרן]],הפחתה7[[#This Row],[קרן]],הפחתה8[[#This Row],[קרן]])</f>
        <v>2369.0233361224259</v>
      </c>
      <c r="G123" s="13">
        <f ca="1">IF(הפחתה23[[#This Row],[תאריך]]="",0,PropertyTaxAmount)</f>
        <v>0</v>
      </c>
      <c r="H123" s="13">
        <f ca="1">IF(הפחתה23[[#This Row],[תאריך]]="",0,הפחתה23[[#This Row],[ריבית]]+הפחתה23[[#This Row],[קרן]]+הפחתה23[[#This Row],[מס
רכוש]])</f>
        <v>5559.8242211914003</v>
      </c>
      <c r="I123" s="13">
        <f ca="1">IF(הפחתה23[[#This Row],[תאריך]]="",0,הפחתה23[[#This Row],[יתרת פתיחה]]-הפחתה23[[#This Row],[קרן]])</f>
        <v>793308.28203557699</v>
      </c>
      <c r="J123" s="11">
        <f ca="1">MAX(הפחתה[[#This Row],[תשלומים
שנותרו]],הפחתה5[[#This Row],[תשלומים
שנותרו]],הפחתה7[[#This Row],[תשלומים
שנותרו]],הפחתה8[[#This Row],[תשלומים
שנותרו]])</f>
        <v>240</v>
      </c>
    </row>
    <row r="124" spans="1:10" ht="15" customHeight="1" x14ac:dyDescent="0.25">
      <c r="A124" s="8"/>
      <c r="B124" s="11">
        <f>MAX(הפחתה[[#This Row],[מס'']],הפחתה5[[#This Row],[מס'']],הפחתה7[[#This Row],[מס'']],הפחתה8[[#This Row],[מס'']])</f>
        <v>121</v>
      </c>
      <c r="C124" s="12">
        <f ca="1">IF(ValuesEntered,IF(הפחתה23[[#This Row],[מס'']]&lt;=תקופת_ההלוואה,IF(ROW()-ROW(הפחתה[[#Headers],[תאריך]])=1,LoanStart,IF(I123&gt;0,EDATE(C123,1),"")),""),"")</f>
        <v>49035</v>
      </c>
      <c r="D124" s="13">
        <f ca="1">SUM(הפחתה[[#This Row],[יתרת פתיחה]],הפחתה5[[#This Row],[יתרת פתיחה]],הפחתה7[[#This Row],[יתרת פתיחה]],הפחתה8[[#This Row],[יתרת פתיחה]])</f>
        <v>793444.56943807798</v>
      </c>
      <c r="E124" s="13">
        <f ca="1">SUM(הפחתה[[#This Row],[ריבית]],הפחתה5[[#This Row],[ריבית]],הפחתה7[[#This Row],[ריבית]],הפחתה8[[#This Row],[ריבית]])</f>
        <v>3181.9254739615658</v>
      </c>
      <c r="F124" s="13">
        <f ca="1">SUM(הפחתה[[#This Row],[קרן]],הפחתה5[[#This Row],[קרן]],הפחתה7[[#This Row],[קרן]],הפחתה8[[#This Row],[קרן]])</f>
        <v>2378.7560047245652</v>
      </c>
      <c r="G124" s="13">
        <f ca="1">IF(הפחתה23[[#This Row],[תאריך]]="",0,PropertyTaxAmount)</f>
        <v>0</v>
      </c>
      <c r="H124" s="13">
        <f ca="1">IF(הפחתה23[[#This Row],[תאריך]]="",0,הפחתה23[[#This Row],[ריבית]]+הפחתה23[[#This Row],[קרן]]+הפחתה23[[#This Row],[מס
רכוש]])</f>
        <v>5560.6814786861305</v>
      </c>
      <c r="I124" s="13">
        <f ca="1">IF(הפחתה23[[#This Row],[תאריך]]="",0,הפחתה23[[#This Row],[יתרת פתיחה]]-הפחתה23[[#This Row],[קרן]])</f>
        <v>791065.81343335344</v>
      </c>
      <c r="J124" s="11">
        <f ca="1">MAX(הפחתה[[#This Row],[תשלומים
שנותרו]],הפחתה5[[#This Row],[תשלומים
שנותרו]],הפחתה7[[#This Row],[תשלומים
שנותרו]],הפחתה8[[#This Row],[תשלומים
שנותרו]])</f>
        <v>239</v>
      </c>
    </row>
    <row r="125" spans="1:10" ht="15" customHeight="1" x14ac:dyDescent="0.25">
      <c r="A125" s="8"/>
      <c r="B125" s="11">
        <f>MAX(הפחתה[[#This Row],[מס'']],הפחתה5[[#This Row],[מס'']],הפחתה7[[#This Row],[מס'']],הפחתה8[[#This Row],[מס'']])</f>
        <v>122</v>
      </c>
      <c r="C125" s="12">
        <f ca="1">IF(ValuesEntered,IF(הפחתה23[[#This Row],[מס'']]&lt;=תקופת_ההלוואה,IF(ROW()-ROW(הפחתה[[#Headers],[תאריך]])=1,LoanStart,IF(I124&gt;0,EDATE(C124,1),"")),""),"")</f>
        <v>49065</v>
      </c>
      <c r="D125" s="13">
        <f ca="1">SUM(הפחתה[[#This Row],[יתרת פתיחה]],הפחתה5[[#This Row],[יתרת פתיחה]],הפחתה7[[#This Row],[יתרת פתיחה]],הפחתה8[[#This Row],[יתרת פתיחה]])</f>
        <v>791201.69737040938</v>
      </c>
      <c r="E125" s="13">
        <f ca="1">SUM(הפחתה[[#This Row],[ריבית]],הפחתה5[[#This Row],[ריבית]],הפחתה7[[#This Row],[ריבית]],הפחתה8[[#This Row],[ריבית]])</f>
        <v>3173.0111812989753</v>
      </c>
      <c r="F125" s="13">
        <f ca="1">SUM(הפחתה[[#This Row],[קרן]],הפחתה5[[#This Row],[קרן]],הפחתה7[[#This Row],[קרן]],הפחתה8[[#This Row],[קרן]])</f>
        <v>2388.5289178643538</v>
      </c>
      <c r="G125" s="13">
        <f ca="1">IF(הפחתה23[[#This Row],[תאריך]]="",0,PropertyTaxAmount)</f>
        <v>0</v>
      </c>
      <c r="H125" s="13">
        <f ca="1">IF(הפחתה23[[#This Row],[תאריך]]="",0,הפחתה23[[#This Row],[ריבית]]+הפחתה23[[#This Row],[קרן]]+הפחתה23[[#This Row],[מס
רכוש]])</f>
        <v>5561.5400991633287</v>
      </c>
      <c r="I125" s="13">
        <f ca="1">IF(הפחתה23[[#This Row],[תאריך]]="",0,הפחתה23[[#This Row],[יתרת פתיחה]]-הפחתה23[[#This Row],[קרן]])</f>
        <v>788813.16845254507</v>
      </c>
      <c r="J125" s="11">
        <f ca="1">MAX(הפחתה[[#This Row],[תשלומים
שנותרו]],הפחתה5[[#This Row],[תשלומים
שנותרו]],הפחתה7[[#This Row],[תשלומים
שנותרו]],הפחתה8[[#This Row],[תשלומים
שנותרו]])</f>
        <v>238</v>
      </c>
    </row>
    <row r="126" spans="1:10" ht="15" customHeight="1" x14ac:dyDescent="0.25">
      <c r="A126" s="8"/>
      <c r="B126" s="11">
        <f>MAX(הפחתה[[#This Row],[מס'']],הפחתה5[[#This Row],[מס'']],הפחתה7[[#This Row],[מס'']],הפחתה8[[#This Row],[מס'']])</f>
        <v>123</v>
      </c>
      <c r="C126" s="12">
        <f ca="1">IF(ValuesEntered,IF(הפחתה23[[#This Row],[מס'']]&lt;=תקופת_ההלוואה,IF(ROW()-ROW(הפחתה[[#Headers],[תאריך]])=1,LoanStart,IF(I125&gt;0,EDATE(C125,1),"")),""),"")</f>
        <v>49096</v>
      </c>
      <c r="D126" s="13">
        <f ca="1">SUM(הפחתה[[#This Row],[יתרת פתיחה]],הפחתה5[[#This Row],[יתרת פתיחה]],הפחתה7[[#This Row],[יתרת פתיחה]],הפחתה8[[#This Row],[יתרת פתיחה]])</f>
        <v>788948.64598511404</v>
      </c>
      <c r="E126" s="13">
        <f ca="1">SUM(הפחתה[[#This Row],[ריבית]],הפחתה5[[#This Row],[ריבית]],הפחתה7[[#This Row],[ריבית]],הפחתה8[[#This Row],[ריבית]])</f>
        <v>3164.0578417080219</v>
      </c>
      <c r="F126" s="13">
        <f ca="1">SUM(הפחתה[[#This Row],[קרן]],הפחתה5[[#This Row],[קרן]],הפחתה7[[#This Row],[קרן]],הפחתה8[[#This Row],[קרן]])</f>
        <v>2398.3422431812205</v>
      </c>
      <c r="G126" s="13">
        <f ca="1">IF(הפחתה23[[#This Row],[תאריך]]="",0,PropertyTaxAmount)</f>
        <v>0</v>
      </c>
      <c r="H126" s="13">
        <f ca="1">IF(הפחתה23[[#This Row],[תאריך]]="",0,הפחתה23[[#This Row],[ריבית]]+הפחתה23[[#This Row],[קרן]]+הפחתה23[[#This Row],[מס
רכוש]])</f>
        <v>5562.4000848892429</v>
      </c>
      <c r="I126" s="13">
        <f ca="1">IF(הפחתה23[[#This Row],[תאריך]]="",0,הפחתה23[[#This Row],[יתרת פתיחה]]-הפחתה23[[#This Row],[קרן]])</f>
        <v>786550.30374193285</v>
      </c>
      <c r="J126" s="11">
        <f ca="1">MAX(הפחתה[[#This Row],[תשלומים
שנותרו]],הפחתה5[[#This Row],[תשלומים
שנותרו]],הפחתה7[[#This Row],[תשלומים
שנותרו]],הפחתה8[[#This Row],[תשלומים
שנותרו]])</f>
        <v>237</v>
      </c>
    </row>
    <row r="127" spans="1:10" ht="15" customHeight="1" x14ac:dyDescent="0.25">
      <c r="A127" s="8"/>
      <c r="B127" s="11">
        <f>MAX(הפחתה[[#This Row],[מס'']],הפחתה5[[#This Row],[מס'']],הפחתה7[[#This Row],[מס'']],הפחתה8[[#This Row],[מס'']])</f>
        <v>124</v>
      </c>
      <c r="C127" s="12">
        <f ca="1">IF(ValuesEntered,IF(הפחתה23[[#This Row],[מס'']]&lt;=תקופת_ההלוואה,IF(ROW()-ROW(הפחתה[[#Headers],[תאריך]])=1,LoanStart,IF(I126&gt;0,EDATE(C126,1),"")),""),"")</f>
        <v>49126</v>
      </c>
      <c r="D127" s="13">
        <f ca="1">SUM(הפחתה[[#This Row],[יתרת פתיחה]],הפחתה5[[#This Row],[יתרת פתיחה]],הפחתה7[[#This Row],[יתרת פתיחה]],הפחתה8[[#This Row],[יתרת פתיחה]])</f>
        <v>786685.37191789539</v>
      </c>
      <c r="E127" s="13">
        <f ca="1">SUM(הפחתה[[#This Row],[ריבית]],הפחתה5[[#This Row],[ריבית]],הפחתה7[[#This Row],[ריבית]],הפחתה8[[#This Row],[ריבית]])</f>
        <v>3155.0652891173054</v>
      </c>
      <c r="F127" s="13">
        <f ca="1">SUM(הפחתה[[#This Row],[קרן]],הפחתה5[[#This Row],[קרן]],הפחתה7[[#This Row],[קרן]],הפחתה8[[#This Row],[קרן]])</f>
        <v>2408.1961490219219</v>
      </c>
      <c r="G127" s="13">
        <f ca="1">IF(הפחתה23[[#This Row],[תאריך]]="",0,PropertyTaxAmount)</f>
        <v>0</v>
      </c>
      <c r="H127" s="13">
        <f ca="1">IF(הפחתה23[[#This Row],[תאריך]]="",0,הפחתה23[[#This Row],[ריבית]]+הפחתה23[[#This Row],[קרן]]+הפחתה23[[#This Row],[מס
רכוש]])</f>
        <v>5563.2614381392268</v>
      </c>
      <c r="I127" s="13">
        <f ca="1">IF(הפחתה23[[#This Row],[תאריך]]="",0,הפחתה23[[#This Row],[יתרת פתיחה]]-הפחתה23[[#This Row],[קרן]])</f>
        <v>784277.17576887342</v>
      </c>
      <c r="J127" s="11">
        <f ca="1">MAX(הפחתה[[#This Row],[תשלומים
שנותרו]],הפחתה5[[#This Row],[תשלומים
שנותרו]],הפחתה7[[#This Row],[תשלומים
שנותרו]],הפחתה8[[#This Row],[תשלומים
שנותרו]])</f>
        <v>236</v>
      </c>
    </row>
    <row r="128" spans="1:10" ht="15" customHeight="1" x14ac:dyDescent="0.25">
      <c r="A128" s="8"/>
      <c r="B128" s="11">
        <f>MAX(הפחתה[[#This Row],[מס'']],הפחתה5[[#This Row],[מס'']],הפחתה7[[#This Row],[מס'']],הפחתה8[[#This Row],[מס'']])</f>
        <v>125</v>
      </c>
      <c r="C128" s="12">
        <f ca="1">IF(ValuesEntered,IF(הפחתה23[[#This Row],[מס'']]&lt;=תקופת_ההלוואה,IF(ROW()-ROW(הפחתה[[#Headers],[תאריך]])=1,LoanStart,IF(I127&gt;0,EDATE(C127,1),"")),""),"")</f>
        <v>49157</v>
      </c>
      <c r="D128" s="13">
        <f ca="1">SUM(הפחתה[[#This Row],[יתרת פתיחה]],הפחתה5[[#This Row],[יתרת פתיחה]],הפחתה7[[#This Row],[יתרת פתיחה]],הפחתה8[[#This Row],[יתרת פתיחה]])</f>
        <v>784411.83162298065</v>
      </c>
      <c r="E128" s="13">
        <f ca="1">SUM(הפחתה[[#This Row],[ריבית]],הפחתה5[[#This Row],[ריבית]],הפחתה7[[#This Row],[ריבית]],הפחתה8[[#This Row],[ריבית]])</f>
        <v>3146.0333567542402</v>
      </c>
      <c r="F128" s="13">
        <f ca="1">SUM(הפחתה[[#This Row],[קרן]],הפחתה5[[#This Row],[קרן]],הפחתה7[[#This Row],[קרן]],הפחתה8[[#This Row],[קרן]])</f>
        <v>2418.0908044436674</v>
      </c>
      <c r="G128" s="13">
        <f ca="1">IF(הפחתה23[[#This Row],[תאריך]]="",0,PropertyTaxAmount)</f>
        <v>0</v>
      </c>
      <c r="H128" s="13">
        <f ca="1">IF(הפחתה23[[#This Row],[תאריך]]="",0,הפחתה23[[#This Row],[ריבית]]+הפחתה23[[#This Row],[קרן]]+הפחתה23[[#This Row],[מס
רכוש]])</f>
        <v>5564.1241611979076</v>
      </c>
      <c r="I128" s="13">
        <f ca="1">IF(הפחתה23[[#This Row],[תאריך]]="",0,הפחתה23[[#This Row],[יתרת פתיחה]]-הפחתה23[[#This Row],[קרן]])</f>
        <v>781993.74081853696</v>
      </c>
      <c r="J128" s="11">
        <f ca="1">MAX(הפחתה[[#This Row],[תשלומים
שנותרו]],הפחתה5[[#This Row],[תשלומים
שנותרו]],הפחתה7[[#This Row],[תשלומים
שנותרו]],הפחתה8[[#This Row],[תשלומים
שנותרו]])</f>
        <v>235</v>
      </c>
    </row>
    <row r="129" spans="1:10" ht="15" customHeight="1" x14ac:dyDescent="0.25">
      <c r="A129" s="8"/>
      <c r="B129" s="11">
        <f>MAX(הפחתה[[#This Row],[מס'']],הפחתה5[[#This Row],[מס'']],הפחתה7[[#This Row],[מס'']],הפחתה8[[#This Row],[מס'']])</f>
        <v>126</v>
      </c>
      <c r="C129" s="12">
        <f ca="1">IF(ValuesEntered,IF(הפחתה23[[#This Row],[מס'']]&lt;=תקופת_ההלוואה,IF(ROW()-ROW(הפחתה[[#Headers],[תאריך]])=1,LoanStart,IF(I128&gt;0,EDATE(C128,1),"")),""),"")</f>
        <v>49188</v>
      </c>
      <c r="D129" s="13">
        <f ca="1">SUM(הפחתה[[#This Row],[יתרת פתיחה]],הפחתה5[[#This Row],[יתרת פתיחה]],הפחתה7[[#This Row],[יתרת פתיחה]],הפחתה8[[#This Row],[יתרת פתיחה]])</f>
        <v>782127.98137235851</v>
      </c>
      <c r="E129" s="13">
        <f ca="1">SUM(הפחתה[[#This Row],[ריבית]],הפחתה5[[#This Row],[ריבית]],הפחתה7[[#This Row],[ריבית]],הפחתה8[[#This Row],[ריבית]])</f>
        <v>3136.9618771420987</v>
      </c>
      <c r="F129" s="13">
        <f ca="1">SUM(הפחתה[[#This Row],[קרן]],הפחתה5[[#This Row],[קרן]],הפחתה7[[#This Row],[קרן]],הפחתה8[[#This Row],[קרן]])</f>
        <v>2428.0263792172691</v>
      </c>
      <c r="G129" s="13">
        <f ca="1">IF(הפחתה23[[#This Row],[תאריך]]="",0,PropertyTaxAmount)</f>
        <v>0</v>
      </c>
      <c r="H129" s="13">
        <f ca="1">IF(הפחתה23[[#This Row],[תאריך]]="",0,הפחתה23[[#This Row],[ריבית]]+הפחתה23[[#This Row],[קרן]]+הפחתה23[[#This Row],[מס
רכוש]])</f>
        <v>5564.9882563593674</v>
      </c>
      <c r="I129" s="13">
        <f ca="1">IF(הפחתה23[[#This Row],[תאריך]]="",0,הפחתה23[[#This Row],[יתרת פתיחה]]-הפחתה23[[#This Row],[קרן]])</f>
        <v>779699.95499314123</v>
      </c>
      <c r="J129" s="11">
        <f ca="1">MAX(הפחתה[[#This Row],[תשלומים
שנותרו]],הפחתה5[[#This Row],[תשלומים
שנותרו]],הפחתה7[[#This Row],[תשלומים
שנותרו]],הפחתה8[[#This Row],[תשלומים
שנותרו]])</f>
        <v>234</v>
      </c>
    </row>
    <row r="130" spans="1:10" ht="15" customHeight="1" x14ac:dyDescent="0.25">
      <c r="A130" s="8"/>
      <c r="B130" s="11">
        <f>MAX(הפחתה[[#This Row],[מס'']],הפחתה5[[#This Row],[מס'']],הפחתה7[[#This Row],[מס'']],הפחתה8[[#This Row],[מס'']])</f>
        <v>127</v>
      </c>
      <c r="C130" s="12">
        <f ca="1">IF(ValuesEntered,IF(הפחתה23[[#This Row],[מס'']]&lt;=תקופת_ההלוואה,IF(ROW()-ROW(הפחתה[[#Headers],[תאריך]])=1,LoanStart,IF(I129&gt;0,EDATE(C129,1),"")),""),"")</f>
        <v>49218</v>
      </c>
      <c r="D130" s="13">
        <f ca="1">SUM(הפחתה[[#This Row],[יתרת פתיחה]],הפחתה5[[#This Row],[יתרת פתיחה]],הפחתה7[[#This Row],[יתרת פתיחה]],הפחתה8[[#This Row],[יתרת פתיחה]])</f>
        <v>779833.77725501312</v>
      </c>
      <c r="E130" s="13">
        <f ca="1">SUM(הפחתה[[#This Row],[ריבית]],הפחתה5[[#This Row],[ריבית]],הפחתה7[[#This Row],[ריבית]],הפחתה8[[#This Row],[ריבית]])</f>
        <v>3127.8506820970147</v>
      </c>
      <c r="F130" s="13">
        <f ca="1">SUM(הפחתה[[#This Row],[קרן]],הפחתה5[[#This Row],[קרן]],הפחתה7[[#This Row],[קרן]],הפחתה8[[#This Row],[קרן]])</f>
        <v>2438.0030438303015</v>
      </c>
      <c r="G130" s="13">
        <f ca="1">IF(הפחתה23[[#This Row],[תאריך]]="",0,PropertyTaxAmount)</f>
        <v>0</v>
      </c>
      <c r="H130" s="13">
        <f ca="1">IF(הפחתה23[[#This Row],[תאריך]]="",0,הפחתה23[[#This Row],[ריבית]]+הפחתה23[[#This Row],[קרן]]+הפחתה23[[#This Row],[מס
רכוש]])</f>
        <v>5565.8537259273162</v>
      </c>
      <c r="I130" s="13">
        <f ca="1">IF(הפחתה23[[#This Row],[תאריך]]="",0,הפחתה23[[#This Row],[יתרת פתיחה]]-הפחתה23[[#This Row],[קרן]])</f>
        <v>777395.77421118284</v>
      </c>
      <c r="J130" s="11">
        <f ca="1">MAX(הפחתה[[#This Row],[תשלומים
שנותרו]],הפחתה5[[#This Row],[תשלומים
שנותרו]],הפחתה7[[#This Row],[תשלומים
שנותרו]],הפחתה8[[#This Row],[תשלומים
שנותרו]])</f>
        <v>233</v>
      </c>
    </row>
    <row r="131" spans="1:10" ht="15" customHeight="1" x14ac:dyDescent="0.25">
      <c r="A131" s="8"/>
      <c r="B131" s="11">
        <f>MAX(הפחתה[[#This Row],[מס'']],הפחתה5[[#This Row],[מס'']],הפחתה7[[#This Row],[מס'']],הפחתה8[[#This Row],[מס'']])</f>
        <v>128</v>
      </c>
      <c r="C131" s="12">
        <f ca="1">IF(ValuesEntered,IF(הפחתה23[[#This Row],[מס'']]&lt;=תקופת_ההלוואה,IF(ROW()-ROW(הפחתה[[#Headers],[תאריך]])=1,LoanStart,IF(I130&gt;0,EDATE(C130,1),"")),""),"")</f>
        <v>49249</v>
      </c>
      <c r="D131" s="13">
        <f ca="1">SUM(הפחתה[[#This Row],[יתרת פתיחה]],הפחתה5[[#This Row],[יתרת פתיחה]],הפחתה7[[#This Row],[יתרת פתיחה]],הפחתה8[[#This Row],[יתרת פתיחה]])</f>
        <v>777529.17517615471</v>
      </c>
      <c r="E131" s="13">
        <f ca="1">SUM(הפחתה[[#This Row],[ריבית]],הפחתה5[[#This Row],[ריבית]],הפחתה7[[#This Row],[ריבית]],הפחתה8[[#This Row],[ריבית]])</f>
        <v>3118.6996027249925</v>
      </c>
      <c r="F131" s="13">
        <f ca="1">SUM(הפחתה[[#This Row],[קרן]],הפחתה5[[#This Row],[קרן]],הפחתה7[[#This Row],[קרן]],הפחתה8[[#This Row],[קרן]])</f>
        <v>2448.0209694902842</v>
      </c>
      <c r="G131" s="13">
        <f ca="1">IF(הפחתה23[[#This Row],[תאריך]]="",0,PropertyTaxAmount)</f>
        <v>0</v>
      </c>
      <c r="H131" s="13">
        <f ca="1">IF(הפחתה23[[#This Row],[תאריך]]="",0,הפחתה23[[#This Row],[ריבית]]+הפחתה23[[#This Row],[קרן]]+הפחתה23[[#This Row],[מס
רכוש]])</f>
        <v>5566.7205722152767</v>
      </c>
      <c r="I131" s="13">
        <f ca="1">IF(הפחתה23[[#This Row],[תאריך]]="",0,הפחתה23[[#This Row],[יתרת פתיחה]]-הפחתה23[[#This Row],[קרן]])</f>
        <v>775081.15420666442</v>
      </c>
      <c r="J131" s="11">
        <f ca="1">MAX(הפחתה[[#This Row],[תשלומים
שנותרו]],הפחתה5[[#This Row],[תשלומים
שנותרו]],הפחתה7[[#This Row],[תשלומים
שנותרו]],הפחתה8[[#This Row],[תשלומים
שנותרו]])</f>
        <v>232</v>
      </c>
    </row>
    <row r="132" spans="1:10" ht="15" customHeight="1" x14ac:dyDescent="0.25">
      <c r="A132" s="8"/>
      <c r="B132" s="11">
        <f>MAX(הפחתה[[#This Row],[מס'']],הפחתה5[[#This Row],[מס'']],הפחתה7[[#This Row],[מס'']],הפחתה8[[#This Row],[מס'']])</f>
        <v>129</v>
      </c>
      <c r="C132" s="12">
        <f ca="1">IF(ValuesEntered,IF(הפחתה23[[#This Row],[מס'']]&lt;=תקופת_ההלוואה,IF(ROW()-ROW(הפחתה[[#Headers],[תאריך]])=1,LoanStart,IF(I131&gt;0,EDATE(C131,1),"")),""),"")</f>
        <v>49279</v>
      </c>
      <c r="D132" s="13">
        <f ca="1">SUM(הפחתה[[#This Row],[יתרת פתיחה]],הפחתה5[[#This Row],[יתרת פתיחה]],הפחתה7[[#This Row],[יתרת פתיחה]],הפחתה8[[#This Row],[יתרת פתיחה]])</f>
        <v>775214.13085644739</v>
      </c>
      <c r="E132" s="13">
        <f ca="1">SUM(הפחתה[[#This Row],[ריבית]],הפחתה5[[#This Row],[ריבית]],הפחתה7[[#This Row],[ריבית]],הפחתה8[[#This Row],[ריבית]])</f>
        <v>3109.5084694188963</v>
      </c>
      <c r="F132" s="13">
        <f ca="1">SUM(הפחתה[[#This Row],[קרן]],הפחתה5[[#This Row],[קרן]],הפחתה7[[#This Row],[קרן]],הפחתה8[[#This Row],[קרן]])</f>
        <v>2458.0803281278831</v>
      </c>
      <c r="G132" s="13">
        <f ca="1">IF(הפחתה23[[#This Row],[תאריך]]="",0,PropertyTaxAmount)</f>
        <v>0</v>
      </c>
      <c r="H132" s="13">
        <f ca="1">IF(הפחתה23[[#This Row],[תאריך]]="",0,הפחתה23[[#This Row],[ריבית]]+הפחתה23[[#This Row],[קרן]]+הפחתה23[[#This Row],[מס
רכוש]])</f>
        <v>5567.5887975467795</v>
      </c>
      <c r="I132" s="13">
        <f ca="1">IF(הפחתה23[[#This Row],[תאריך]]="",0,הפחתה23[[#This Row],[יתרת פתיחה]]-הפחתה23[[#This Row],[קרן]])</f>
        <v>772756.05052831955</v>
      </c>
      <c r="J132" s="11">
        <f ca="1">MAX(הפחתה[[#This Row],[תשלומים
שנותרו]],הפחתה5[[#This Row],[תשלומים
שנותרו]],הפחתה7[[#This Row],[תשלומים
שנותרו]],הפחתה8[[#This Row],[תשלומים
שנותרו]])</f>
        <v>231</v>
      </c>
    </row>
    <row r="133" spans="1:10" ht="15" customHeight="1" x14ac:dyDescent="0.25">
      <c r="A133" s="8"/>
      <c r="B133" s="11">
        <f>MAX(הפחתה[[#This Row],[מס'']],הפחתה5[[#This Row],[מס'']],הפחתה7[[#This Row],[מס'']],הפחתה8[[#This Row],[מס'']])</f>
        <v>130</v>
      </c>
      <c r="C133" s="12">
        <f ca="1">IF(ValuesEntered,IF(הפחתה23[[#This Row],[מס'']]&lt;=תקופת_ההלוואה,IF(ROW()-ROW(הפחתה[[#Headers],[תאריך]])=1,LoanStart,IF(I132&gt;0,EDATE(C132,1),"")),""),"")</f>
        <v>49310</v>
      </c>
      <c r="D133" s="13">
        <f ca="1">SUM(הפחתה[[#This Row],[יתרת פתיחה]],הפחתה5[[#This Row],[יתרת פתיחה]],הפחתה7[[#This Row],[יתרת פתיחה]],הפחתה8[[#This Row],[יתרת פתיחה]])</f>
        <v>772888.59983123315</v>
      </c>
      <c r="E133" s="13">
        <f ca="1">SUM(הפחתה[[#This Row],[ריבית]],הפחתה5[[#This Row],[ריבית]],הפחתה7[[#This Row],[ריבית]],הפחתה8[[#This Row],[ריבית]])</f>
        <v>3100.2771118554228</v>
      </c>
      <c r="F133" s="13">
        <f ca="1">SUM(הפחתה[[#This Row],[קרן]],הפחתה5[[#This Row],[קרן]],הפחתה7[[#This Row],[קרן]],הפחתה8[[#This Row],[קרן]])</f>
        <v>2468.181292400126</v>
      </c>
      <c r="G133" s="13">
        <f ca="1">IF(הפחתה23[[#This Row],[תאריך]]="",0,PropertyTaxAmount)</f>
        <v>0</v>
      </c>
      <c r="H133" s="13">
        <f ca="1">IF(הפחתה23[[#This Row],[תאריך]]="",0,הפחתה23[[#This Row],[ריבית]]+הפחתה23[[#This Row],[קרן]]+הפחתה23[[#This Row],[מס
רכוש]])</f>
        <v>5568.4584042555489</v>
      </c>
      <c r="I133" s="13">
        <f ca="1">IF(הפחתה23[[#This Row],[תאריך]]="",0,הפחתה23[[#This Row],[יתרת פתיחה]]-הפחתה23[[#This Row],[קרן]])</f>
        <v>770420.41853883304</v>
      </c>
      <c r="J133" s="11">
        <f ca="1">MAX(הפחתה[[#This Row],[תשלומים
שנותרו]],הפחתה5[[#This Row],[תשלומים
שנותרו]],הפחתה7[[#This Row],[תשלומים
שנותרו]],הפחתה8[[#This Row],[תשלומים
שנותרו]])</f>
        <v>230</v>
      </c>
    </row>
    <row r="134" spans="1:10" ht="15" customHeight="1" x14ac:dyDescent="0.25">
      <c r="A134" s="8"/>
      <c r="B134" s="11">
        <f>MAX(הפחתה[[#This Row],[מס'']],הפחתה5[[#This Row],[מס'']],הפחתה7[[#This Row],[מס'']],הפחתה8[[#This Row],[מס'']])</f>
        <v>131</v>
      </c>
      <c r="C134" s="12">
        <f ca="1">IF(ValuesEntered,IF(הפחתה23[[#This Row],[מס'']]&lt;=תקופת_ההלוואה,IF(ROW()-ROW(הפחתה[[#Headers],[תאריך]])=1,LoanStart,IF(I133&gt;0,EDATE(C133,1),"")),""),"")</f>
        <v>49341</v>
      </c>
      <c r="D134" s="13">
        <f ca="1">SUM(הפחתה[[#This Row],[יתרת פתיחה]],הפחתה5[[#This Row],[יתרת פתיחה]],הפחתה7[[#This Row],[יתרת פתיחה]],הפחתה8[[#This Row],[יתרת פתיחה]])</f>
        <v>770552.53744975245</v>
      </c>
      <c r="E134" s="13">
        <f ca="1">SUM(הפחתה[[#This Row],[ריבית]],הפחתה5[[#This Row],[ריבית]],הפחתה7[[#This Row],[ריבית]],הפחתה8[[#This Row],[ריבית]])</f>
        <v>3091.0053589920713</v>
      </c>
      <c r="F134" s="13">
        <f ca="1">SUM(הפחתה[[#This Row],[קרן]],הפחתה5[[#This Row],[קרן]],הפחתה7[[#This Row],[קרן]],הפחתה8[[#This Row],[קרן]])</f>
        <v>2478.3240356936421</v>
      </c>
      <c r="G134" s="13">
        <f ca="1">IF(הפחתה23[[#This Row],[תאריך]]="",0,PropertyTaxAmount)</f>
        <v>0</v>
      </c>
      <c r="H134" s="13">
        <f ca="1">IF(הפחתה23[[#This Row],[תאריך]]="",0,הפחתה23[[#This Row],[ריבית]]+הפחתה23[[#This Row],[קרן]]+הפחתה23[[#This Row],[מס
רכוש]])</f>
        <v>5569.3293946857139</v>
      </c>
      <c r="I134" s="13">
        <f ca="1">IF(הפחתה23[[#This Row],[תאריך]]="",0,הפחתה23[[#This Row],[יתרת פתיחה]]-הפחתה23[[#This Row],[קרן]])</f>
        <v>768074.21341405879</v>
      </c>
      <c r="J134" s="11">
        <f ca="1">MAX(הפחתה[[#This Row],[תשלומים
שנותרו]],הפחתה5[[#This Row],[תשלומים
שנותרו]],הפחתה7[[#This Row],[תשלומים
שנותרו]],הפחתה8[[#This Row],[תשלומים
שנותרו]])</f>
        <v>229</v>
      </c>
    </row>
    <row r="135" spans="1:10" ht="15" customHeight="1" x14ac:dyDescent="0.25">
      <c r="A135" s="8"/>
      <c r="B135" s="11">
        <f>MAX(הפחתה[[#This Row],[מס'']],הפחתה5[[#This Row],[מס'']],הפחתה7[[#This Row],[מס'']],הפחתה8[[#This Row],[מס'']])</f>
        <v>132</v>
      </c>
      <c r="C135" s="12">
        <f ca="1">IF(ValuesEntered,IF(הפחתה23[[#This Row],[מס'']]&lt;=תקופת_ההלוואה,IF(ROW()-ROW(הפחתה[[#Headers],[תאריך]])=1,LoanStart,IF(I134&gt;0,EDATE(C134,1),"")),""),"")</f>
        <v>49369</v>
      </c>
      <c r="D135" s="13">
        <f ca="1">SUM(הפחתה[[#This Row],[יתרת פתיחה]],הפחתה5[[#This Row],[יתרת פתיחה]],הפחתה7[[#This Row],[יתרת פתיחה]],הפחתה8[[#This Row],[יתרת פתיחה]])</f>
        <v>768205.89887436072</v>
      </c>
      <c r="E135" s="13">
        <f ca="1">SUM(הפחתה[[#This Row],[ריבית]],הפחתה5[[#This Row],[ריבית]],הפחתה7[[#This Row],[ריבית]],הפחתה8[[#This Row],[ריבית]])</f>
        <v>3081.69303906409</v>
      </c>
      <c r="F135" s="13">
        <f ca="1">SUM(הפחתה[[#This Row],[קרן]],הפחתה5[[#This Row],[קרן]],הפחתה7[[#This Row],[קרן]],הפחתה8[[#This Row],[קרן]])</f>
        <v>2488.5087321279184</v>
      </c>
      <c r="G135" s="13">
        <f ca="1">IF(הפחתה23[[#This Row],[תאריך]]="",0,PropertyTaxAmount)</f>
        <v>0</v>
      </c>
      <c r="H135" s="13">
        <f ca="1">IF(הפחתה23[[#This Row],[תאריך]]="",0,הפחתה23[[#This Row],[ריבית]]+הפחתה23[[#This Row],[קרן]]+הפחתה23[[#This Row],[מס
רכוש]])</f>
        <v>5570.2017711920089</v>
      </c>
      <c r="I135" s="13">
        <f ca="1">IF(הפחתה23[[#This Row],[תאריך]]="",0,הפחתה23[[#This Row],[יתרת פתיחה]]-הפחתה23[[#This Row],[קרן]])</f>
        <v>765717.39014223276</v>
      </c>
      <c r="J135" s="11">
        <f ca="1">MAX(הפחתה[[#This Row],[תשלומים
שנותרו]],הפחתה5[[#This Row],[תשלומים
שנותרו]],הפחתה7[[#This Row],[תשלומים
שנותרו]],הפחתה8[[#This Row],[תשלומים
שנותרו]])</f>
        <v>228</v>
      </c>
    </row>
    <row r="136" spans="1:10" ht="15" customHeight="1" x14ac:dyDescent="0.25">
      <c r="A136" s="8"/>
      <c r="B136" s="11">
        <f>MAX(הפחתה[[#This Row],[מס'']],הפחתה5[[#This Row],[מס'']],הפחתה7[[#This Row],[מס'']],הפחתה8[[#This Row],[מס'']])</f>
        <v>133</v>
      </c>
      <c r="C136" s="12">
        <f ca="1">IF(ValuesEntered,IF(הפחתה23[[#This Row],[מס'']]&lt;=תקופת_ההלוואה,IF(ROW()-ROW(הפחתה[[#Headers],[תאריך]])=1,LoanStart,IF(I135&gt;0,EDATE(C135,1),"")),""),"")</f>
        <v>49400</v>
      </c>
      <c r="D136" s="13">
        <f ca="1">SUM(הפחתה[[#This Row],[יתרת פתיחה]],הפחתה5[[#This Row],[יתרת פתיחה]],הפחתה7[[#This Row],[יתרת פתיחה]],הפחתה8[[#This Row],[יתרת פתיחה]])</f>
        <v>765848.6390797433</v>
      </c>
      <c r="E136" s="13">
        <f ca="1">SUM(הפחתה[[#This Row],[ריבית]],הפחתה5[[#This Row],[ריבית]],הפחתה7[[#This Row],[ריבית]],הפחתה8[[#This Row],[ריבית]])</f>
        <v>3072.3399795814144</v>
      </c>
      <c r="F136" s="13">
        <f ca="1">SUM(הפחתה[[#This Row],[קרן]],הפחתה5[[#This Row],[קרן]],הפחתה7[[#This Row],[קרן]],הפחתה8[[#This Row],[קרן]])</f>
        <v>2498.7355565585767</v>
      </c>
      <c r="G136" s="13">
        <f ca="1">IF(הפחתה23[[#This Row],[תאריך]]="",0,PropertyTaxAmount)</f>
        <v>0</v>
      </c>
      <c r="H136" s="13">
        <f ca="1">IF(הפחתה23[[#This Row],[תאריך]]="",0,הפחתה23[[#This Row],[ריבית]]+הפחתה23[[#This Row],[קרן]]+הפחתה23[[#This Row],[מס
רכוש]])</f>
        <v>5571.0755361399915</v>
      </c>
      <c r="I136" s="13">
        <f ca="1">IF(הפחתה23[[#This Row],[תאריך]]="",0,הפחתה23[[#This Row],[יתרת פתיחה]]-הפחתה23[[#This Row],[קרן]])</f>
        <v>763349.90352318471</v>
      </c>
      <c r="J136" s="11">
        <f ca="1">MAX(הפחתה[[#This Row],[תשלומים
שנותרו]],הפחתה5[[#This Row],[תשלומים
שנותרו]],הפחתה7[[#This Row],[תשלומים
שנותרו]],הפחתה8[[#This Row],[תשלומים
שנותרו]])</f>
        <v>227</v>
      </c>
    </row>
    <row r="137" spans="1:10" ht="15" customHeight="1" x14ac:dyDescent="0.25">
      <c r="A137" s="8"/>
      <c r="B137" s="11">
        <f>MAX(הפחתה[[#This Row],[מס'']],הפחתה5[[#This Row],[מס'']],הפחתה7[[#This Row],[מס'']],הפחתה8[[#This Row],[מס'']])</f>
        <v>134</v>
      </c>
      <c r="C137" s="12">
        <f ca="1">IF(ValuesEntered,IF(הפחתה23[[#This Row],[מס'']]&lt;=תקופת_ההלוואה,IF(ROW()-ROW(הפחתה[[#Headers],[תאריך]])=1,LoanStart,IF(I136&gt;0,EDATE(C136,1),"")),""),"")</f>
        <v>49430</v>
      </c>
      <c r="D137" s="13">
        <f ca="1">SUM(הפחתה[[#This Row],[יתרת פתיחה]],הפחתה5[[#This Row],[יתרת פתיחה]],הפחתה7[[#This Row],[יתרת פתיחה]],הפחתה8[[#This Row],[יתרת פתיחה]])</f>
        <v>763480.71285212436</v>
      </c>
      <c r="E137" s="13">
        <f ca="1">SUM(הפחתה[[#This Row],[ריבית]],הפחתה5[[#This Row],[ריבית]],הפחתה7[[#This Row],[ריבית]],הפחתה8[[#This Row],[ריבית]])</f>
        <v>3062.9460073255887</v>
      </c>
      <c r="F137" s="13">
        <f ca="1">SUM(הפחתה[[#This Row],[קרן]],הפחתה5[[#This Row],[קרן]],הפחתה7[[#This Row],[קרן]],הפחתה8[[#This Row],[קרן]])</f>
        <v>2509.0046845806701</v>
      </c>
      <c r="G137" s="13">
        <f ca="1">IF(הפחתה23[[#This Row],[תאריך]]="",0,PropertyTaxAmount)</f>
        <v>0</v>
      </c>
      <c r="H137" s="13">
        <f ca="1">IF(הפחתה23[[#This Row],[תאריך]]="",0,הפחתה23[[#This Row],[ריבית]]+הפחתה23[[#This Row],[קרן]]+הפחתה23[[#This Row],[מס
רכוש]])</f>
        <v>5571.9506919062587</v>
      </c>
      <c r="I137" s="13">
        <f ca="1">IF(הפחתה23[[#This Row],[תאריך]]="",0,הפחתה23[[#This Row],[יתרת פתיחה]]-הפחתה23[[#This Row],[קרן]])</f>
        <v>760971.70816754363</v>
      </c>
      <c r="J137" s="11">
        <f ca="1">MAX(הפחתה[[#This Row],[תשלומים
שנותרו]],הפחתה5[[#This Row],[תשלומים
שנותרו]],הפחתה7[[#This Row],[תשלומים
שנותרו]],הפחתה8[[#This Row],[תשלומים
שנותרו]])</f>
        <v>226</v>
      </c>
    </row>
    <row r="138" spans="1:10" ht="15" customHeight="1" x14ac:dyDescent="0.25">
      <c r="A138" s="8"/>
      <c r="B138" s="11">
        <f>MAX(הפחתה[[#This Row],[מס'']],הפחתה5[[#This Row],[מס'']],הפחתה7[[#This Row],[מס'']],הפחתה8[[#This Row],[מס'']])</f>
        <v>135</v>
      </c>
      <c r="C138" s="12">
        <f ca="1">IF(ValuesEntered,IF(הפחתה23[[#This Row],[מס'']]&lt;=תקופת_ההלוואה,IF(ROW()-ROW(הפחתה[[#Headers],[תאריך]])=1,LoanStart,IF(I137&gt;0,EDATE(C137,1),"")),""),"")</f>
        <v>49461</v>
      </c>
      <c r="D138" s="13">
        <f ca="1">SUM(הפחתה[[#This Row],[יתרת פתיחה]],הפחתה5[[#This Row],[יתרת פתיחה]],הפחתה7[[#This Row],[יתרת פתיחה]],הפחתה8[[#This Row],[יתרת פתיחה]])</f>
        <v>761102.07478847436</v>
      </c>
      <c r="E138" s="13">
        <f ca="1">SUM(הפחתה[[#This Row],[ריבית]],הפחתה5[[#This Row],[ריבית]],הפחתה7[[#This Row],[ריבית]],הפחתה8[[#This Row],[ריבית]])</f>
        <v>3053.5109483466808</v>
      </c>
      <c r="F138" s="13">
        <f ca="1">SUM(הפחתה[[#This Row],[קרן]],הפחתה5[[#This Row],[קרן]],הפחתה7[[#This Row],[קרן]],הפחתה8[[#This Row],[קרן]])</f>
        <v>2519.3162925319943</v>
      </c>
      <c r="G138" s="13">
        <f ca="1">IF(הפחתה23[[#This Row],[תאריך]]="",0,PropertyTaxAmount)</f>
        <v>0</v>
      </c>
      <c r="H138" s="13">
        <f ca="1">IF(הפחתה23[[#This Row],[תאריך]]="",0,הפחתה23[[#This Row],[ריבית]]+הפחתה23[[#This Row],[קרן]]+הפחתה23[[#This Row],[מס
רכוש]])</f>
        <v>5572.8272408786752</v>
      </c>
      <c r="I138" s="13">
        <f ca="1">IF(הפחתה23[[#This Row],[תאריך]]="",0,הפחתה23[[#This Row],[יתרת פתיחה]]-הפחתה23[[#This Row],[קרן]])</f>
        <v>758582.75849594234</v>
      </c>
      <c r="J138" s="11">
        <f ca="1">MAX(הפחתה[[#This Row],[תשלומים
שנותרו]],הפחתה5[[#This Row],[תשלומים
שנותרו]],הפחתה7[[#This Row],[תשלומים
שנותרו]],הפחתה8[[#This Row],[תשלומים
שנותרו]])</f>
        <v>225</v>
      </c>
    </row>
    <row r="139" spans="1:10" ht="15" customHeight="1" x14ac:dyDescent="0.25">
      <c r="A139" s="8"/>
      <c r="B139" s="11">
        <f>MAX(הפחתה[[#This Row],[מס'']],הפחתה5[[#This Row],[מס'']],הפחתה7[[#This Row],[מס'']],הפחתה8[[#This Row],[מס'']])</f>
        <v>136</v>
      </c>
      <c r="C139" s="12">
        <f ca="1">IF(ValuesEntered,IF(הפחתה23[[#This Row],[מס'']]&lt;=תקופת_ההלוואה,IF(ROW()-ROW(הפחתה[[#Headers],[תאריך]])=1,LoanStart,IF(I138&gt;0,EDATE(C138,1),"")),""),"")</f>
        <v>49491</v>
      </c>
      <c r="D139" s="13">
        <f ca="1">SUM(הפחתה[[#This Row],[יתרת פתיחה]],הפחתה5[[#This Row],[יתרת פתיחה]],הפחתה7[[#This Row],[יתרת פתיחה]],הפחתה8[[#This Row],[יתרת פתיחה]])</f>
        <v>758712.67929571273</v>
      </c>
      <c r="E139" s="13">
        <f ca="1">SUM(הפחתה[[#This Row],[ריבית]],הפחתה5[[#This Row],[ריבית]],הפחתה7[[#This Row],[ריבית]],הפחתה8[[#This Row],[ריבית]])</f>
        <v>3044.0346279601754</v>
      </c>
      <c r="F139" s="13">
        <f ca="1">SUM(הפחתה[[#This Row],[קרן]],הפחתה5[[#This Row],[קרן]],הפחתה7[[#This Row],[קרן]],הפחתה8[[#This Row],[קרן]])</f>
        <v>2529.6705574964294</v>
      </c>
      <c r="G139" s="13">
        <f ca="1">IF(הפחתה23[[#This Row],[תאריך]]="",0,PropertyTaxAmount)</f>
        <v>0</v>
      </c>
      <c r="H139" s="13">
        <f ca="1">IF(הפחתה23[[#This Row],[תאריך]]="",0,הפחתה23[[#This Row],[ריבית]]+הפחתה23[[#This Row],[קרן]]+הפחתה23[[#This Row],[מס
רכוש]])</f>
        <v>5573.7051854566052</v>
      </c>
      <c r="I139" s="13">
        <f ca="1">IF(הפחתה23[[#This Row],[תאריך]]="",0,הפחתה23[[#This Row],[יתרת פתיחה]]-הפחתה23[[#This Row],[קרן]])</f>
        <v>756183.00873821625</v>
      </c>
      <c r="J139" s="11">
        <f ca="1">MAX(הפחתה[[#This Row],[תשלומים
שנותרו]],הפחתה5[[#This Row],[תשלומים
שנותרו]],הפחתה7[[#This Row],[תשלומים
שנותרו]],הפחתה8[[#This Row],[תשלומים
שנותרו]])</f>
        <v>224</v>
      </c>
    </row>
    <row r="140" spans="1:10" ht="15" customHeight="1" x14ac:dyDescent="0.25">
      <c r="A140" s="8"/>
      <c r="B140" s="11">
        <f>MAX(הפחתה[[#This Row],[מס'']],הפחתה5[[#This Row],[מס'']],הפחתה7[[#This Row],[מס'']],הפחתה8[[#This Row],[מס'']])</f>
        <v>137</v>
      </c>
      <c r="C140" s="12">
        <f ca="1">IF(ValuesEntered,IF(הפחתה23[[#This Row],[מס'']]&lt;=תקופת_ההלוואה,IF(ROW()-ROW(הפחתה[[#Headers],[תאריך]])=1,LoanStart,IF(I139&gt;0,EDATE(C139,1),"")),""),"")</f>
        <v>49522</v>
      </c>
      <c r="D140" s="13">
        <f ca="1">SUM(הפחתה[[#This Row],[יתרת פתיחה]],הפחתה5[[#This Row],[יתרת פתיחה]],הפחתה7[[#This Row],[יתרת פתיחה]],הפחתה8[[#This Row],[יתרת פתיחה]])</f>
        <v>756312.48058990762</v>
      </c>
      <c r="E140" s="13">
        <f ca="1">SUM(הפחתה[[#This Row],[ריבית]],הפחתה5[[#This Row],[ריבית]],הפחתה7[[#This Row],[ריבית]],הפחתה8[[#This Row],[ריבית]])</f>
        <v>3034.5168707438561</v>
      </c>
      <c r="F140" s="13">
        <f ca="1">SUM(הפחתה[[#This Row],[קרן]],הפחתה5[[#This Row],[קרן]],הפחתה7[[#This Row],[קרן]],הפחתה8[[#This Row],[קרן]])</f>
        <v>2540.0676573072969</v>
      </c>
      <c r="G140" s="13">
        <f ca="1">IF(הפחתה23[[#This Row],[תאריך]]="",0,PropertyTaxAmount)</f>
        <v>0</v>
      </c>
      <c r="H140" s="13">
        <f ca="1">IF(הפחתה23[[#This Row],[תאריך]]="",0,הפחתה23[[#This Row],[ריבית]]+הפחתה23[[#This Row],[קרן]]+הפחתה23[[#This Row],[מס
רכוש]])</f>
        <v>5574.584528051153</v>
      </c>
      <c r="I140" s="13">
        <f ca="1">IF(הפחתה23[[#This Row],[תאריך]]="",0,הפחתה23[[#This Row],[יתרת פתיחה]]-הפחתה23[[#This Row],[קרן]])</f>
        <v>753772.41293260036</v>
      </c>
      <c r="J140" s="11">
        <f ca="1">MAX(הפחתה[[#This Row],[תשלומים
שנותרו]],הפחתה5[[#This Row],[תשלומים
שנותרו]],הפחתה7[[#This Row],[תשלומים
שנותרו]],הפחתה8[[#This Row],[תשלומים
שנותרו]])</f>
        <v>223</v>
      </c>
    </row>
    <row r="141" spans="1:10" ht="15" customHeight="1" x14ac:dyDescent="0.25">
      <c r="A141" s="8"/>
      <c r="B141" s="11">
        <f>MAX(הפחתה[[#This Row],[מס'']],הפחתה5[[#This Row],[מס'']],הפחתה7[[#This Row],[מס'']],הפחתה8[[#This Row],[מס'']])</f>
        <v>138</v>
      </c>
      <c r="C141" s="12">
        <f ca="1">IF(ValuesEntered,IF(הפחתה23[[#This Row],[מס'']]&lt;=תקופת_ההלוואה,IF(ROW()-ROW(הפחתה[[#Headers],[תאריך]])=1,LoanStart,IF(I140&gt;0,EDATE(C140,1),"")),""),"")</f>
        <v>49553</v>
      </c>
      <c r="D141" s="13">
        <f ca="1">SUM(הפחתה[[#This Row],[יתרת פתיחה]],הפחתה5[[#This Row],[יתרת פתיחה]],הפחתה7[[#This Row],[יתרת פתיחה]],הפחתה8[[#This Row],[יתרת פתיחה]])</f>
        <v>753901.43269547215</v>
      </c>
      <c r="E141" s="13">
        <f ca="1">SUM(הפחתה[[#This Row],[ריבית]],הפחתה5[[#This Row],[ריבית]],הפחתה7[[#This Row],[ריבית]],הפחתה8[[#This Row],[ריבית]])</f>
        <v>3024.957500534681</v>
      </c>
      <c r="F141" s="13">
        <f ca="1">SUM(הפחתה[[#This Row],[קרן]],הפחתה5[[#This Row],[קרן]],הפחתה7[[#This Row],[קרן]],הפחתה8[[#This Row],[קרן]])</f>
        <v>2550.5077705507351</v>
      </c>
      <c r="G141" s="13">
        <f ca="1">IF(הפחתה23[[#This Row],[תאריך]]="",0,PropertyTaxAmount)</f>
        <v>0</v>
      </c>
      <c r="H141" s="13">
        <f ca="1">IF(הפחתה23[[#This Row],[תאריך]]="",0,הפחתה23[[#This Row],[ריבית]]+הפחתה23[[#This Row],[קרן]]+הפחתה23[[#This Row],[מס
רכוש]])</f>
        <v>5575.4652710854161</v>
      </c>
      <c r="I141" s="13">
        <f ca="1">IF(הפחתה23[[#This Row],[תאריך]]="",0,הפחתה23[[#This Row],[יתרת פתיחה]]-הפחתה23[[#This Row],[קרן]])</f>
        <v>751350.92492492136</v>
      </c>
      <c r="J141" s="11">
        <f ca="1">MAX(הפחתה[[#This Row],[תשלומים
שנותרו]],הפחתה5[[#This Row],[תשלומים
שנותרו]],הפחתה7[[#This Row],[תשלומים
שנותרו]],הפחתה8[[#This Row],[תשלומים
שנותרו]])</f>
        <v>222</v>
      </c>
    </row>
    <row r="142" spans="1:10" ht="15" customHeight="1" x14ac:dyDescent="0.25">
      <c r="A142" s="8"/>
      <c r="B142" s="11">
        <f>MAX(הפחתה[[#This Row],[מס'']],הפחתה5[[#This Row],[מס'']],הפחתה7[[#This Row],[מס'']],הפחתה8[[#This Row],[מס'']])</f>
        <v>139</v>
      </c>
      <c r="C142" s="12">
        <f ca="1">IF(ValuesEntered,IF(הפחתה23[[#This Row],[מס'']]&lt;=תקופת_ההלוואה,IF(ROW()-ROW(הפחתה[[#Headers],[תאריך]])=1,LoanStart,IF(I141&gt;0,EDATE(C141,1),"")),""),"")</f>
        <v>49583</v>
      </c>
      <c r="D142" s="13">
        <f ca="1">SUM(הפחתה[[#This Row],[יתרת פתיחה]],הפחתה5[[#This Row],[יתרת פתיחה]],הפחתה7[[#This Row],[יתרת פתיחה]],הפחתה8[[#This Row],[יתרת פתיחה]])</f>
        <v>751479.48944435618</v>
      </c>
      <c r="E142" s="13">
        <f ca="1">SUM(הפחתה[[#This Row],[ריבית]],הפחתה5[[#This Row],[ריבית]],הפחתה7[[#This Row],[ריבית]],הפחתה8[[#This Row],[ריבית]])</f>
        <v>3015.3563404256324</v>
      </c>
      <c r="F142" s="13">
        <f ca="1">SUM(הפחתה[[#This Row],[קרן]],הפחתה5[[#This Row],[קרן]],הפחתה7[[#This Row],[קרן]],הפחתה8[[#This Row],[קרן]])</f>
        <v>2560.9910765690993</v>
      </c>
      <c r="G142" s="13">
        <f ca="1">IF(הפחתה23[[#This Row],[תאריך]]="",0,PropertyTaxAmount)</f>
        <v>0</v>
      </c>
      <c r="H142" s="13">
        <f ca="1">IF(הפחתה23[[#This Row],[תאריך]]="",0,הפחתה23[[#This Row],[ריבית]]+הפחתה23[[#This Row],[קרן]]+הפחתה23[[#This Row],[מס
רכוש]])</f>
        <v>5576.3474169947312</v>
      </c>
      <c r="I142" s="13">
        <f ca="1">IF(הפחתה23[[#This Row],[תאריך]]="",0,הפחתה23[[#This Row],[יתרת פתיחה]]-הפחתה23[[#This Row],[קרן]])</f>
        <v>748918.49836778711</v>
      </c>
      <c r="J142" s="11">
        <f ca="1">MAX(הפחתה[[#This Row],[תשלומים
שנותרו]],הפחתה5[[#This Row],[תשלומים
שנותרו]],הפחתה7[[#This Row],[תשלומים
שנותרו]],הפחתה8[[#This Row],[תשלומים
שנותרו]])</f>
        <v>221</v>
      </c>
    </row>
    <row r="143" spans="1:10" ht="15" customHeight="1" x14ac:dyDescent="0.25">
      <c r="A143" s="8"/>
      <c r="B143" s="11">
        <f>MAX(הפחתה[[#This Row],[מס'']],הפחתה5[[#This Row],[מס'']],הפחתה7[[#This Row],[מס'']],הפחתה8[[#This Row],[מס'']])</f>
        <v>140</v>
      </c>
      <c r="C143" s="12">
        <f ca="1">IF(ValuesEntered,IF(הפחתה23[[#This Row],[מס'']]&lt;=תקופת_ההלוואה,IF(ROW()-ROW(הפחתה[[#Headers],[תאריך]])=1,LoanStart,IF(I142&gt;0,EDATE(C142,1),"")),""),"")</f>
        <v>49614</v>
      </c>
      <c r="D143" s="13">
        <f ca="1">SUM(הפחתה[[#This Row],[יתרת פתיחה]],הפחתה5[[#This Row],[יתרת פתיחה]],הפחתה7[[#This Row],[יתרת פתיחה]],הפחתה8[[#This Row],[יתרת פתיחה]])</f>
        <v>749046.60447523615</v>
      </c>
      <c r="E143" s="13">
        <f ca="1">SUM(הפחתה[[#This Row],[ריבית]],הפחתה5[[#This Row],[ריבית]],הפחתה7[[#This Row],[ריבית]],הפחתה8[[#This Row],[ריבית]])</f>
        <v>3005.7132127625609</v>
      </c>
      <c r="F143" s="13">
        <f ca="1">SUM(הפחתה[[#This Row],[קרן]],הפחתה5[[#This Row],[קרן]],הפחתה7[[#This Row],[קרן]],הפחתה8[[#This Row],[קרן]])</f>
        <v>2571.5177554643847</v>
      </c>
      <c r="G143" s="13">
        <f ca="1">IF(הפחתה23[[#This Row],[תאריך]]="",0,PropertyTaxAmount)</f>
        <v>0</v>
      </c>
      <c r="H143" s="13">
        <f ca="1">IF(הפחתה23[[#This Row],[תאריך]]="",0,הפחתה23[[#This Row],[ריבית]]+הפחתה23[[#This Row],[קרן]]+הפחתה23[[#This Row],[מס
רכוש]])</f>
        <v>5577.2309682269461</v>
      </c>
      <c r="I143" s="13">
        <f ca="1">IF(הפחתה23[[#This Row],[תאריך]]="",0,הפחתה23[[#This Row],[יתרת פתיחה]]-הפחתה23[[#This Row],[קרן]])</f>
        <v>746475.08671977173</v>
      </c>
      <c r="J143" s="11">
        <f ca="1">MAX(הפחתה[[#This Row],[תשלומים
שנותרו]],הפחתה5[[#This Row],[תשלומים
שנותרו]],הפחתה7[[#This Row],[תשלומים
שנותרו]],הפחתה8[[#This Row],[תשלומים
שנותרו]])</f>
        <v>220</v>
      </c>
    </row>
    <row r="144" spans="1:10" ht="15" customHeight="1" x14ac:dyDescent="0.25">
      <c r="A144" s="8"/>
      <c r="B144" s="11">
        <f>MAX(הפחתה[[#This Row],[מס'']],הפחתה5[[#This Row],[מס'']],הפחתה7[[#This Row],[מס'']],הפחתה8[[#This Row],[מס'']])</f>
        <v>141</v>
      </c>
      <c r="C144" s="12">
        <f ca="1">IF(ValuesEntered,IF(הפחתה23[[#This Row],[מס'']]&lt;=תקופת_ההלוואה,IF(ROW()-ROW(הפחתה[[#Headers],[תאריך]])=1,LoanStart,IF(I143&gt;0,EDATE(C143,1),"")),""),"")</f>
        <v>49644</v>
      </c>
      <c r="D144" s="13">
        <f ca="1">SUM(הפחתה[[#This Row],[יתרת פתיחה]],הפחתה5[[#This Row],[יתרת פתיחה]],הפחתה7[[#This Row],[יתרת פתיחה]],הפחתה8[[#This Row],[יתרת פתיחה]])</f>
        <v>746602.73123269901</v>
      </c>
      <c r="E144" s="13">
        <f ca="1">SUM(הפחתה[[#This Row],[ריבית]],הפחתה5[[#This Row],[ריבית]],הפחתה7[[#This Row],[ריבית]],הפחתה8[[#This Row],[ריבית]])</f>
        <v>2996.0279391410145</v>
      </c>
      <c r="F144" s="13">
        <f ca="1">SUM(הפחתה[[#This Row],[קרן]],הפחתה5[[#This Row],[קרן]],הפחתה7[[#This Row],[קרן]],הפחתה8[[#This Row],[קרן]])</f>
        <v>2582.0879881016704</v>
      </c>
      <c r="G144" s="13">
        <f ca="1">IF(הפחתה23[[#This Row],[תאריך]]="",0,PropertyTaxAmount)</f>
        <v>0</v>
      </c>
      <c r="H144" s="13">
        <f ca="1">IF(הפחתה23[[#This Row],[תאריך]]="",0,הפחתה23[[#This Row],[ריבית]]+הפחתה23[[#This Row],[קרן]]+הפחתה23[[#This Row],[מס
רכוש]])</f>
        <v>5578.1159272426848</v>
      </c>
      <c r="I144" s="13">
        <f ca="1">IF(הפחתה23[[#This Row],[תאריך]]="",0,הפחתה23[[#This Row],[יתרת פתיחה]]-הפחתה23[[#This Row],[קרן]])</f>
        <v>744020.64324459736</v>
      </c>
      <c r="J144" s="11">
        <f ca="1">MAX(הפחתה[[#This Row],[תשלומים
שנותרו]],הפחתה5[[#This Row],[תשלומים
שנותרו]],הפחתה7[[#This Row],[תשלומים
שנותרו]],הפחתה8[[#This Row],[תשלומים
שנותרו]])</f>
        <v>219</v>
      </c>
    </row>
    <row r="145" spans="1:10" ht="15" customHeight="1" x14ac:dyDescent="0.25">
      <c r="A145" s="8"/>
      <c r="B145" s="11">
        <f>MAX(הפחתה[[#This Row],[מס'']],הפחתה5[[#This Row],[מס'']],הפחתה7[[#This Row],[מס'']],הפחתה8[[#This Row],[מס'']])</f>
        <v>142</v>
      </c>
      <c r="C145" s="12">
        <f ca="1">IF(ValuesEntered,IF(הפחתה23[[#This Row],[מס'']]&lt;=תקופת_ההלוואה,IF(ROW()-ROW(הפחתה[[#Headers],[תאריך]])=1,LoanStart,IF(I144&gt;0,EDATE(C144,1),"")),""),"")</f>
        <v>49675</v>
      </c>
      <c r="D145" s="13">
        <f ca="1">SUM(הפחתה[[#This Row],[יתרת פתיחה]],הפחתה5[[#This Row],[יתרת פתיחה]],הפחתה7[[#This Row],[יתרת פתיחה]],הפחתה8[[#This Row],[יתרת פתיחה]])</f>
        <v>744147.82296642417</v>
      </c>
      <c r="E145" s="13">
        <f ca="1">SUM(הפחתה[[#This Row],[ריבית]],הפחתה5[[#This Row],[ריבית]],הפחתה7[[#This Row],[ריבית]],הפחתה8[[#This Row],[ריבית]])</f>
        <v>2986.3003404030524</v>
      </c>
      <c r="F145" s="13">
        <f ca="1">SUM(הפחתה[[#This Row],[קרן]],הפחתה5[[#This Row],[קרן]],הפחתה7[[#This Row],[קרן]],הפחתה8[[#This Row],[קרן]])</f>
        <v>2592.7019561125812</v>
      </c>
      <c r="G145" s="13">
        <f ca="1">IF(הפחתה23[[#This Row],[תאריך]]="",0,PropertyTaxAmount)</f>
        <v>0</v>
      </c>
      <c r="H145" s="13">
        <f ca="1">IF(הפחתה23[[#This Row],[תאריך]]="",0,הפחתה23[[#This Row],[ריבית]]+הפחתה23[[#This Row],[קרן]]+הפחתה23[[#This Row],[מס
רכוש]])</f>
        <v>5579.0022965156331</v>
      </c>
      <c r="I145" s="13">
        <f ca="1">IF(הפחתה23[[#This Row],[תאריך]]="",0,הפחתה23[[#This Row],[יתרת פתיחה]]-הפחתה23[[#This Row],[קרן]])</f>
        <v>741555.12101031153</v>
      </c>
      <c r="J145" s="11">
        <f ca="1">MAX(הפחתה[[#This Row],[תשלומים
שנותרו]],הפחתה5[[#This Row],[תשלומים
שנותרו]],הפחתה7[[#This Row],[תשלומים
שנותרו]],הפחתה8[[#This Row],[תשלומים
שנותרו]])</f>
        <v>218</v>
      </c>
    </row>
    <row r="146" spans="1:10" ht="15" customHeight="1" x14ac:dyDescent="0.25">
      <c r="A146" s="8"/>
      <c r="B146" s="11">
        <f>MAX(הפחתה[[#This Row],[מס'']],הפחתה5[[#This Row],[מס'']],הפחתה7[[#This Row],[מס'']],הפחתה8[[#This Row],[מס'']])</f>
        <v>143</v>
      </c>
      <c r="C146" s="12">
        <f ca="1">IF(ValuesEntered,IF(הפחתה23[[#This Row],[מס'']]&lt;=תקופת_ההלוואה,IF(ROW()-ROW(הפחתה[[#Headers],[תאריך]])=1,LoanStart,IF(I145&gt;0,EDATE(C145,1),"")),""),"")</f>
        <v>49706</v>
      </c>
      <c r="D146" s="13">
        <f ca="1">SUM(הפחתה[[#This Row],[יתרת פתיחה]],הפחתה5[[#This Row],[יתרת פתיחה]],הפחתה7[[#This Row],[יתרת פתיחה]],הפחתה8[[#This Row],[יתרת פתיחה]])</f>
        <v>741681.83273036196</v>
      </c>
      <c r="E146" s="13">
        <f ca="1">SUM(הפחתה[[#This Row],[ריבית]],הפחתה5[[#This Row],[ריבית]],הפחתה7[[#This Row],[ריבית]],הפחתה8[[#This Row],[ריבית]])</f>
        <v>2976.5302366340452</v>
      </c>
      <c r="F146" s="13">
        <f ca="1">SUM(הפחתה[[#This Row],[קרן]],הפחתה5[[#This Row],[קרן]],הפחתה7[[#This Row],[קרן]],הפחתה8[[#This Row],[קרן]])</f>
        <v>2603.3598418987831</v>
      </c>
      <c r="G146" s="13">
        <f ca="1">IF(הפחתה23[[#This Row],[תאריך]]="",0,PropertyTaxAmount)</f>
        <v>0</v>
      </c>
      <c r="H146" s="13">
        <f ca="1">IF(הפחתה23[[#This Row],[תאריך]]="",0,הפחתה23[[#This Row],[ריבית]]+הפחתה23[[#This Row],[קרן]]+הפחתה23[[#This Row],[מס
רכוש]])</f>
        <v>5579.8900785328278</v>
      </c>
      <c r="I146" s="13">
        <f ca="1">IF(הפחתה23[[#This Row],[תאריך]]="",0,הפחתה23[[#This Row],[יתרת פתיחה]]-הפחתה23[[#This Row],[קרן]])</f>
        <v>739078.47288846318</v>
      </c>
      <c r="J146" s="11">
        <f ca="1">MAX(הפחתה[[#This Row],[תשלומים
שנותרו]],הפחתה5[[#This Row],[תשלומים
שנותרו]],הפחתה7[[#This Row],[תשלומים
שנותרו]],הפחתה8[[#This Row],[תשלומים
שנותרו]])</f>
        <v>217</v>
      </c>
    </row>
    <row r="147" spans="1:10" ht="15" customHeight="1" x14ac:dyDescent="0.25">
      <c r="A147" s="8"/>
      <c r="B147" s="11">
        <f>MAX(הפחתה[[#This Row],[מס'']],הפחתה5[[#This Row],[מס'']],הפחתה7[[#This Row],[מס'']],הפחתה8[[#This Row],[מס'']])</f>
        <v>144</v>
      </c>
      <c r="C147" s="12">
        <f ca="1">IF(ValuesEntered,IF(הפחתה23[[#This Row],[מס'']]&lt;=תקופת_ההלוואה,IF(ROW()-ROW(הפחתה[[#Headers],[תאריך]])=1,LoanStart,IF(I146&gt;0,EDATE(C146,1),"")),""),"")</f>
        <v>49735</v>
      </c>
      <c r="D147" s="13">
        <f ca="1">SUM(הפחתה[[#This Row],[יתרת פתיחה]],הפחתה5[[#This Row],[יתרת פתיחה]],הפחתה7[[#This Row],[יתרת פתיחה]],הפחתה8[[#This Row],[יתרת פתיחה]])</f>
        <v>739204.71338190662</v>
      </c>
      <c r="E147" s="13">
        <f ca="1">SUM(הפחתה[[#This Row],[ריבית]],הפחתה5[[#This Row],[ריבית]],הפחתה7[[#This Row],[ריבית]],הפחתה8[[#This Row],[ריבית]])</f>
        <v>2966.717447159459</v>
      </c>
      <c r="F147" s="13">
        <f ca="1">SUM(הפחתה[[#This Row],[קרן]],הפחתה5[[#This Row],[קרן]],הפחתה7[[#This Row],[קרן]],הפחתה8[[#This Row],[קרן]])</f>
        <v>2614.0618286354911</v>
      </c>
      <c r="G147" s="13">
        <f ca="1">IF(הפחתה23[[#This Row],[תאריך]]="",0,PropertyTaxAmount)</f>
        <v>0</v>
      </c>
      <c r="H147" s="13">
        <f ca="1">IF(הפחתה23[[#This Row],[תאריך]]="",0,הפחתה23[[#This Row],[ריבית]]+הפחתה23[[#This Row],[קרן]]+הפחתה23[[#This Row],[מס
רכוש]])</f>
        <v>5580.7792757949501</v>
      </c>
      <c r="I147" s="13">
        <f ca="1">IF(הפחתה23[[#This Row],[תאריך]]="",0,הפחתה23[[#This Row],[יתרת פתיחה]]-הפחתה23[[#This Row],[קרן]])</f>
        <v>736590.65155327111</v>
      </c>
      <c r="J147" s="11">
        <f ca="1">MAX(הפחתה[[#This Row],[תשלומים
שנותרו]],הפחתה5[[#This Row],[תשלומים
שנותרו]],הפחתה7[[#This Row],[תשלומים
שנותרו]],הפחתה8[[#This Row],[תשלומים
שנותרו]])</f>
        <v>216</v>
      </c>
    </row>
    <row r="148" spans="1:10" ht="15" customHeight="1" x14ac:dyDescent="0.25">
      <c r="A148" s="8"/>
      <c r="B148" s="11">
        <f>MAX(הפחתה[[#This Row],[מס'']],הפחתה5[[#This Row],[מס'']],הפחתה7[[#This Row],[מס'']],הפחתה8[[#This Row],[מס'']])</f>
        <v>145</v>
      </c>
      <c r="C148" s="12">
        <f ca="1">IF(ValuesEntered,IF(הפחתה23[[#This Row],[מס'']]&lt;=תקופת_ההלוואה,IF(ROW()-ROW(הפחתה[[#Headers],[תאריך]])=1,LoanStart,IF(I147&gt;0,EDATE(C147,1),"")),""),"")</f>
        <v>49766</v>
      </c>
      <c r="D148" s="13">
        <f ca="1">SUM(הפחתה[[#This Row],[יתרת פתיחה]],הפחתה5[[#This Row],[יתרת פתיחה]],הפחתה7[[#This Row],[יתרת פתיחה]],הפחתה8[[#This Row],[יתרת פתיחה]])</f>
        <v>736716.41758106719</v>
      </c>
      <c r="E148" s="13">
        <f ca="1">SUM(הפחתה[[#This Row],[ריבית]],הפחתה5[[#This Row],[ריבית]],הפחתה7[[#This Row],[ריבית]],הפחתה8[[#This Row],[ריבית]])</f>
        <v>2956.8617905416327</v>
      </c>
      <c r="F148" s="13">
        <f ca="1">SUM(הפחתה[[#This Row],[קרן]],הפחתה5[[#This Row],[קרן]],הפחתה7[[#This Row],[קרן]],הפחתה8[[#This Row],[קרן]])</f>
        <v>2624.8081002750041</v>
      </c>
      <c r="G148" s="13">
        <f ca="1">IF(הפחתה23[[#This Row],[תאריך]]="",0,PropertyTaxAmount)</f>
        <v>0</v>
      </c>
      <c r="H148" s="13">
        <f ca="1">IF(הפחתה23[[#This Row],[תאריך]]="",0,הפחתה23[[#This Row],[ריבית]]+הפחתה23[[#This Row],[קרן]]+הפחתה23[[#This Row],[מס
רכוש]])</f>
        <v>5581.6698908166363</v>
      </c>
      <c r="I148" s="13">
        <f ca="1">IF(הפחתה23[[#This Row],[תאריך]]="",0,הפחתה23[[#This Row],[יתרת פתיחה]]-הפחתה23[[#This Row],[קרן]])</f>
        <v>734091.60948079219</v>
      </c>
      <c r="J148" s="11">
        <f ca="1">MAX(הפחתה[[#This Row],[תשלומים
שנותרו]],הפחתה5[[#This Row],[תשלומים
שנותרו]],הפחתה7[[#This Row],[תשלומים
שנותרו]],הפחתה8[[#This Row],[תשלומים
שנותרו]])</f>
        <v>215</v>
      </c>
    </row>
    <row r="149" spans="1:10" ht="15" customHeight="1" x14ac:dyDescent="0.25">
      <c r="A149" s="8"/>
      <c r="B149" s="11">
        <f>MAX(הפחתה[[#This Row],[מס'']],הפחתה5[[#This Row],[מס'']],הפחתה7[[#This Row],[מס'']],הפחתה8[[#This Row],[מס'']])</f>
        <v>146</v>
      </c>
      <c r="C149" s="12">
        <f ca="1">IF(ValuesEntered,IF(הפחתה23[[#This Row],[מס'']]&lt;=תקופת_ההלוואה,IF(ROW()-ROW(הפחתה[[#Headers],[תאריך]])=1,LoanStart,IF(I148&gt;0,EDATE(C148,1),"")),""),"")</f>
        <v>49796</v>
      </c>
      <c r="D149" s="13">
        <f ca="1">SUM(הפחתה[[#This Row],[יתרת פתיחה]],הפחתה5[[#This Row],[יתרת פתיחה]],הפחתה7[[#This Row],[יתרת פתיחה]],הפחתה8[[#This Row],[יתרת פתיחה]])</f>
        <v>734216.89778963395</v>
      </c>
      <c r="E149" s="13">
        <f ca="1">SUM(הפחתה[[#This Row],[ריבית]],הפחתה5[[#This Row],[ריבית]],הפחתה7[[#This Row],[ריבית]],הפחתה8[[#This Row],[ריבית]])</f>
        <v>2946.9630845765291</v>
      </c>
      <c r="F149" s="13">
        <f ca="1">SUM(הפחתה[[#This Row],[קרן]],הפחתה5[[#This Row],[קרן]],הפחתה7[[#This Row],[קרן]],הפחתה8[[#This Row],[קרן]])</f>
        <v>2635.5988415502698</v>
      </c>
      <c r="G149" s="13">
        <f ca="1">IF(הפחתה23[[#This Row],[תאריך]]="",0,PropertyTaxAmount)</f>
        <v>0</v>
      </c>
      <c r="H149" s="13">
        <f ca="1">IF(הפחתה23[[#This Row],[תאריך]]="",0,הפחתה23[[#This Row],[ריבית]]+הפחתה23[[#This Row],[קרן]]+הפחתה23[[#This Row],[מס
רכוש]])</f>
        <v>5582.5619261267984</v>
      </c>
      <c r="I149" s="13">
        <f ca="1">IF(הפחתה23[[#This Row],[תאריך]]="",0,הפחתה23[[#This Row],[יתרת פתיחה]]-הפחתה23[[#This Row],[קרן]])</f>
        <v>731581.29894808365</v>
      </c>
      <c r="J149" s="11">
        <f ca="1">MAX(הפחתה[[#This Row],[תשלומים
שנותרו]],הפחתה5[[#This Row],[תשלומים
שנותרו]],הפחתה7[[#This Row],[תשלומים
שנותרו]],הפחתה8[[#This Row],[תשלומים
שנותרו]])</f>
        <v>214</v>
      </c>
    </row>
    <row r="150" spans="1:10" ht="15" customHeight="1" x14ac:dyDescent="0.25">
      <c r="A150" s="8"/>
      <c r="B150" s="11">
        <f>MAX(הפחתה[[#This Row],[מס'']],הפחתה5[[#This Row],[מס'']],הפחתה7[[#This Row],[מס'']],הפחתה8[[#This Row],[מס'']])</f>
        <v>147</v>
      </c>
      <c r="C150" s="12">
        <f ca="1">IF(ValuesEntered,IF(הפחתה23[[#This Row],[מס'']]&lt;=תקופת_ההלוואה,IF(ROW()-ROW(הפחתה[[#Headers],[תאריך]])=1,LoanStart,IF(I149&gt;0,EDATE(C149,1),"")),""),"")</f>
        <v>49827</v>
      </c>
      <c r="D150" s="13">
        <f ca="1">SUM(הפחתה[[#This Row],[יתרת פתיחה]],הפחתה5[[#This Row],[יתרת פתיחה]],הפחתה7[[#This Row],[יתרת פתיחה]],הפחתה8[[#This Row],[יתרת פתיחה]])</f>
        <v>731706.10627034144</v>
      </c>
      <c r="E150" s="13">
        <f ca="1">SUM(הפחתה[[#This Row],[ריבית]],הפחתה5[[#This Row],[ריבית]],הפחתה7[[#This Row],[ריבית]],הפחתה8[[#This Row],[ריבית]])</f>
        <v>2937.0211462904822</v>
      </c>
      <c r="F150" s="13">
        <f ca="1">SUM(הפחתה[[#This Row],[קרן]],הפחתה5[[#This Row],[קרן]],הפחתה7[[#This Row],[קרן]],הפחתה8[[#This Row],[קרן]])</f>
        <v>2646.4342379784644</v>
      </c>
      <c r="G150" s="13">
        <f ca="1">IF(הפחתה23[[#This Row],[תאריך]]="",0,PropertyTaxAmount)</f>
        <v>0</v>
      </c>
      <c r="H150" s="13">
        <f ca="1">IF(הפחתה23[[#This Row],[תאריך]]="",0,הפחתה23[[#This Row],[ריבית]]+הפחתה23[[#This Row],[קרן]]+הפחתה23[[#This Row],[מס
רכוש]])</f>
        <v>5583.4553842689465</v>
      </c>
      <c r="I150" s="13">
        <f ca="1">IF(הפחתה23[[#This Row],[תאריך]]="",0,הפחתה23[[#This Row],[יתרת פתיחה]]-הפחתה23[[#This Row],[קרן]])</f>
        <v>729059.67203236301</v>
      </c>
      <c r="J150" s="11">
        <f ca="1">MAX(הפחתה[[#This Row],[תשלומים
שנותרו]],הפחתה5[[#This Row],[תשלומים
שנותרו]],הפחתה7[[#This Row],[תשלומים
שנותרו]],הפחתה8[[#This Row],[תשלומים
שנותרו]])</f>
        <v>213</v>
      </c>
    </row>
    <row r="151" spans="1:10" ht="15" customHeight="1" x14ac:dyDescent="0.25">
      <c r="A151" s="8"/>
      <c r="B151" s="11">
        <f>MAX(הפחתה[[#This Row],[מס'']],הפחתה5[[#This Row],[מס'']],הפחתה7[[#This Row],[מס'']],הפחתה8[[#This Row],[מס'']])</f>
        <v>148</v>
      </c>
      <c r="C151" s="12">
        <f ca="1">IF(ValuesEntered,IF(הפחתה23[[#This Row],[מס'']]&lt;=תקופת_ההלוואה,IF(ROW()-ROW(הפחתה[[#Headers],[תאריך]])=1,LoanStart,IF(I150&gt;0,EDATE(C150,1),"")),""),"")</f>
        <v>49857</v>
      </c>
      <c r="D151" s="13">
        <f ca="1">SUM(הפחתה[[#This Row],[יתרת פתיחה]],הפחתה5[[#This Row],[יתרת פתיחה]],הפחתה7[[#This Row],[יתרת פתיחה]],הפחתה8[[#This Row],[יתרת פתיחה]])</f>
        <v>729183.99508602696</v>
      </c>
      <c r="E151" s="13">
        <f ca="1">SUM(הפחתה[[#This Row],[ריבית]],הפחתה5[[#This Row],[ריבית]],הפחתה7[[#This Row],[ריבית]],הפחתה8[[#This Row],[ריבית]])</f>
        <v>2927.0357919369258</v>
      </c>
      <c r="F151" s="13">
        <f ca="1">SUM(הפחתה[[#This Row],[קרן]],הפחתה5[[#This Row],[קרן]],הפחתה7[[#This Row],[קרן]],הפחתה8[[#This Row],[קרן]])</f>
        <v>2657.3144758646076</v>
      </c>
      <c r="G151" s="13">
        <f ca="1">IF(הפחתה23[[#This Row],[תאריך]]="",0,PropertyTaxAmount)</f>
        <v>0</v>
      </c>
      <c r="H151" s="13">
        <f ca="1">IF(הפחתה23[[#This Row],[תאריך]]="",0,הפחתה23[[#This Row],[ריבית]]+הפחתה23[[#This Row],[קרן]]+הפחתה23[[#This Row],[מס
רכוש]])</f>
        <v>5584.3502678015338</v>
      </c>
      <c r="I151" s="13">
        <f ca="1">IF(הפחתה23[[#This Row],[תאריך]]="",0,הפחתה23[[#This Row],[יתרת פתיחה]]-הפחתה23[[#This Row],[קרן]])</f>
        <v>726526.68061016232</v>
      </c>
      <c r="J151" s="11">
        <f ca="1">MAX(הפחתה[[#This Row],[תשלומים
שנותרו]],הפחתה5[[#This Row],[תשלומים
שנותרו]],הפחתה7[[#This Row],[תשלומים
שנותרו]],הפחתה8[[#This Row],[תשלומים
שנותרו]])</f>
        <v>212</v>
      </c>
    </row>
    <row r="152" spans="1:10" ht="15" customHeight="1" x14ac:dyDescent="0.25">
      <c r="A152" s="8"/>
      <c r="B152" s="11">
        <f>MAX(הפחתה[[#This Row],[מס'']],הפחתה5[[#This Row],[מס'']],הפחתה7[[#This Row],[מס'']],הפחתה8[[#This Row],[מס'']])</f>
        <v>149</v>
      </c>
      <c r="C152" s="12">
        <f ca="1">IF(ValuesEntered,IF(הפחתה23[[#This Row],[מס'']]&lt;=תקופת_ההלוואה,IF(ROW()-ROW(הפחתה[[#Headers],[תאריך]])=1,LoanStart,IF(I151&gt;0,EDATE(C151,1),"")),""),"")</f>
        <v>49888</v>
      </c>
      <c r="D152" s="13">
        <f ca="1">SUM(הפחתה[[#This Row],[יתרת פתיחה]],הפחתה5[[#This Row],[יתרת פתיחה]],הפחתה7[[#This Row],[יתרת פתיחה]],הפחתה8[[#This Row],[יתרת פתיחה]])</f>
        <v>726650.51609878591</v>
      </c>
      <c r="E152" s="13">
        <f ca="1">SUM(הפחתה[[#This Row],[ריבית]],הפחתה5[[#This Row],[ריבית]],הפחתה7[[#This Row],[ריבית]],הפחתה8[[#This Row],[ריבית]])</f>
        <v>2917.0068369931087</v>
      </c>
      <c r="F152" s="13">
        <f ca="1">SUM(הפחתה[[#This Row],[קרן]],הפחתה5[[#This Row],[קרן]],הפחתה7[[#This Row],[קרן]],הפחתה8[[#This Row],[קרן]])</f>
        <v>2668.2397423051953</v>
      </c>
      <c r="G152" s="13">
        <f ca="1">IF(הפחתה23[[#This Row],[תאריך]]="",0,PropertyTaxAmount)</f>
        <v>0</v>
      </c>
      <c r="H152" s="13">
        <f ca="1">IF(הפחתה23[[#This Row],[תאריך]]="",0,הפחתה23[[#This Row],[ריבית]]+הפחתה23[[#This Row],[קרן]]+הפחתה23[[#This Row],[מס
רכוש]])</f>
        <v>5585.2465792983039</v>
      </c>
      <c r="I152" s="13">
        <f ca="1">IF(הפחתה23[[#This Row],[תאריך]]="",0,הפחתה23[[#This Row],[יתרת פתיחה]]-הפחתה23[[#This Row],[קרן]])</f>
        <v>723982.27635648067</v>
      </c>
      <c r="J152" s="11">
        <f ca="1">MAX(הפחתה[[#This Row],[תשלומים
שנותרו]],הפחתה5[[#This Row],[תשלומים
שנותרו]],הפחתה7[[#This Row],[תשלומים
שנותרו]],הפחתה8[[#This Row],[תשלומים
שנותרו]])</f>
        <v>211</v>
      </c>
    </row>
    <row r="153" spans="1:10" ht="15" customHeight="1" x14ac:dyDescent="0.25">
      <c r="A153" s="8"/>
      <c r="B153" s="11">
        <f>MAX(הפחתה[[#This Row],[מס'']],הפחתה5[[#This Row],[מס'']],הפחתה7[[#This Row],[מס'']],הפחתה8[[#This Row],[מס'']])</f>
        <v>150</v>
      </c>
      <c r="C153" s="12">
        <f ca="1">IF(ValuesEntered,IF(הפחתה23[[#This Row],[מס'']]&lt;=תקופת_ההלוואה,IF(ROW()-ROW(הפחתה[[#Headers],[תאריך]])=1,LoanStart,IF(I152&gt;0,EDATE(C152,1),"")),""),"")</f>
        <v>49919</v>
      </c>
      <c r="D153" s="13">
        <f ca="1">SUM(הפחתה[[#This Row],[יתרת פתיחה]],הפחתה5[[#This Row],[יתרת פתיחה]],הפחתה7[[#This Row],[יתרת פתיחה]],הפחתה8[[#This Row],[יתרת פתיחה]])</f>
        <v>724105.62096912321</v>
      </c>
      <c r="E153" s="13">
        <f ca="1">SUM(הפחתה[[#This Row],[ריבית]],הפחתה5[[#This Row],[ריבית]],הפחתה7[[#This Row],[ריבית]],הפחתה8[[#This Row],[ריבית]])</f>
        <v>2906.9340961567905</v>
      </c>
      <c r="F153" s="13">
        <f ca="1">SUM(הפחתה[[#This Row],[קרן]],הפחתה5[[#This Row],[קרן]],הפחתה7[[#This Row],[קרן]],הפחתה8[[#This Row],[קרן]])</f>
        <v>2679.2102251918614</v>
      </c>
      <c r="G153" s="13">
        <f ca="1">IF(הפחתה23[[#This Row],[תאריך]]="",0,PropertyTaxAmount)</f>
        <v>0</v>
      </c>
      <c r="H153" s="13">
        <f ca="1">IF(הפחתה23[[#This Row],[תאריך]]="",0,הפחתה23[[#This Row],[ריבית]]+הפחתה23[[#This Row],[קרן]]+הפחתה23[[#This Row],[מס
רכוש]])</f>
        <v>5586.1443213486518</v>
      </c>
      <c r="I153" s="13">
        <f ca="1">IF(הפחתה23[[#This Row],[תאריך]]="",0,הפחתה23[[#This Row],[יתרת פתיחה]]-הפחתה23[[#This Row],[קרן]])</f>
        <v>721426.41074393131</v>
      </c>
      <c r="J153" s="11">
        <f ca="1">MAX(הפחתה[[#This Row],[תשלומים
שנותרו]],הפחתה5[[#This Row],[תשלומים
שנותרו]],הפחתה7[[#This Row],[תשלומים
שנותרו]],הפחתה8[[#This Row],[תשלומים
שנותרו]])</f>
        <v>210</v>
      </c>
    </row>
    <row r="154" spans="1:10" ht="15" customHeight="1" x14ac:dyDescent="0.25">
      <c r="A154" s="8"/>
      <c r="B154" s="11">
        <f>MAX(הפחתה[[#This Row],[מס'']],הפחתה5[[#This Row],[מס'']],הפחתה7[[#This Row],[מס'']],הפחתה8[[#This Row],[מס'']])</f>
        <v>151</v>
      </c>
      <c r="C154" s="12">
        <f ca="1">IF(ValuesEntered,IF(הפחתה23[[#This Row],[מס'']]&lt;=תקופת_ההלוואה,IF(ROW()-ROW(הפחתה[[#Headers],[תאריך]])=1,LoanStart,IF(I153&gt;0,EDATE(C153,1),"")),""),"")</f>
        <v>49949</v>
      </c>
      <c r="D154" s="13">
        <f ca="1">SUM(הפחתה[[#This Row],[יתרת פתיחה]],הפחתה5[[#This Row],[יתרת פתיחה]],הפחתה7[[#This Row],[יתרת פתיחה]],הפחתה8[[#This Row],[יתרת פתיחה]])</f>
        <v>721549.26115510031</v>
      </c>
      <c r="E154" s="13">
        <f ca="1">SUM(הפחתה[[#This Row],[ריבית]],הפחתה5[[#This Row],[ריבית]],הפחתה7[[#This Row],[ריבית]],הפחתה8[[#This Row],[ריבית]])</f>
        <v>2896.8173833429328</v>
      </c>
      <c r="F154" s="13">
        <f ca="1">SUM(הפחתה[[#This Row],[קרן]],הפחתה5[[#This Row],[קרן]],הפחתה7[[#This Row],[קרן]],הפחתה8[[#This Row],[קרן]])</f>
        <v>2690.226113215067</v>
      </c>
      <c r="G154" s="13">
        <f ca="1">IF(הפחתה23[[#This Row],[תאריך]]="",0,PropertyTaxAmount)</f>
        <v>0</v>
      </c>
      <c r="H154" s="13">
        <f ca="1">IF(הפחתה23[[#This Row],[תאריך]]="",0,הפחתה23[[#This Row],[ריבית]]+הפחתה23[[#This Row],[קרן]]+הפחתה23[[#This Row],[מס
רכוש]])</f>
        <v>5587.0434965579998</v>
      </c>
      <c r="I154" s="13">
        <f ca="1">IF(הפחתה23[[#This Row],[תאריך]]="",0,הפחתה23[[#This Row],[יתרת פתיחה]]-הפחתה23[[#This Row],[קרן]])</f>
        <v>718859.03504188522</v>
      </c>
      <c r="J154" s="11">
        <f ca="1">MAX(הפחתה[[#This Row],[תשלומים
שנותרו]],הפחתה5[[#This Row],[תשלומים
שנותרו]],הפחתה7[[#This Row],[תשלומים
שנותרו]],הפחתה8[[#This Row],[תשלומים
שנותרו]])</f>
        <v>209</v>
      </c>
    </row>
    <row r="155" spans="1:10" ht="15" customHeight="1" x14ac:dyDescent="0.25">
      <c r="A155" s="8"/>
      <c r="B155" s="11">
        <f>MAX(הפחתה[[#This Row],[מס'']],הפחתה5[[#This Row],[מס'']],הפחתה7[[#This Row],[מס'']],הפחתה8[[#This Row],[מס'']])</f>
        <v>152</v>
      </c>
      <c r="C155" s="12">
        <f ca="1">IF(ValuesEntered,IF(הפחתה23[[#This Row],[מס'']]&lt;=תקופת_ההלוואה,IF(ROW()-ROW(הפחתה[[#Headers],[תאריך]])=1,LoanStart,IF(I154&gt;0,EDATE(C154,1),"")),""),"")</f>
        <v>49980</v>
      </c>
      <c r="D155" s="13">
        <f ca="1">SUM(הפחתה[[#This Row],[יתרת פתיחה]],הפחתה5[[#This Row],[יתרת פתיחה]],הפחתה7[[#This Row],[יתרת פתיחה]],הפחתה8[[#This Row],[יתרת פתיחה]])</f>
        <v>718981.38791147899</v>
      </c>
      <c r="E155" s="13">
        <f ca="1">SUM(הפחתה[[#This Row],[ריבית]],הפחתה5[[#This Row],[ריבית]],הפחתה7[[#This Row],[ריבית]],הפחתה8[[#This Row],[ריבית]])</f>
        <v>2886.6565116803645</v>
      </c>
      <c r="F155" s="13">
        <f ca="1">SUM(הפחתה[[#This Row],[קרן]],הפחתה5[[#This Row],[קרן]],הפחתה7[[#This Row],[קרן]],הפחתה8[[#This Row],[קרן]])</f>
        <v>2701.2875958678178</v>
      </c>
      <c r="G155" s="13">
        <f ca="1">IF(הפחתה23[[#This Row],[תאריך]]="",0,PropertyTaxAmount)</f>
        <v>0</v>
      </c>
      <c r="H155" s="13">
        <f ca="1">IF(הפחתה23[[#This Row],[תאריך]]="",0,הפחתה23[[#This Row],[ריבית]]+הפחתה23[[#This Row],[קרן]]+הפחתה23[[#This Row],[מס
רכוש]])</f>
        <v>5587.9441075481827</v>
      </c>
      <c r="I155" s="13">
        <f ca="1">IF(הפחתה23[[#This Row],[תאריך]]="",0,הפחתה23[[#This Row],[יתרת פתיחה]]-הפחתה23[[#This Row],[קרן]])</f>
        <v>716280.10031561123</v>
      </c>
      <c r="J155" s="11">
        <f ca="1">MAX(הפחתה[[#This Row],[תשלומים
שנותרו]],הפחתה5[[#This Row],[תשלומים
שנותרו]],הפחתה7[[#This Row],[תשלומים
שנותרו]],הפחתה8[[#This Row],[תשלומים
שנותרו]])</f>
        <v>208</v>
      </c>
    </row>
    <row r="156" spans="1:10" ht="15" customHeight="1" x14ac:dyDescent="0.25">
      <c r="A156" s="8"/>
      <c r="B156" s="11">
        <f>MAX(הפחתה[[#This Row],[מס'']],הפחתה5[[#This Row],[מס'']],הפחתה7[[#This Row],[מס'']],הפחתה8[[#This Row],[מס'']])</f>
        <v>153</v>
      </c>
      <c r="C156" s="12">
        <f ca="1">IF(ValuesEntered,IF(הפחתה23[[#This Row],[מס'']]&lt;=תקופת_ההלוואה,IF(ROW()-ROW(הפחתה[[#Headers],[תאריך]])=1,LoanStart,IF(I155&gt;0,EDATE(C155,1),"")),""),"")</f>
        <v>50010</v>
      </c>
      <c r="D156" s="13">
        <f ca="1">SUM(הפחתה[[#This Row],[יתרת פתיחה]],הפחתה5[[#This Row],[יתרת פתיחה]],הפחתה7[[#This Row],[יתרת פתיחה]],הפחתה8[[#This Row],[יתרת פתיחה]])</f>
        <v>716401.95228886034</v>
      </c>
      <c r="E156" s="13">
        <f ca="1">SUM(הפחתה[[#This Row],[ריבית]],הפחתה5[[#This Row],[ריבית]],הפחתה7[[#This Row],[ריבית]],הפחתה8[[#This Row],[ריבית]])</f>
        <v>2876.4512935084408</v>
      </c>
      <c r="F156" s="13">
        <f ca="1">SUM(הפחתה[[#This Row],[קרן]],הפחתה5[[#This Row],[קרן]],הפחתה7[[#This Row],[קרן]],הפחתה8[[#This Row],[קרן]])</f>
        <v>2712.3948634494041</v>
      </c>
      <c r="G156" s="13">
        <f ca="1">IF(הפחתה23[[#This Row],[תאריך]]="",0,PropertyTaxAmount)</f>
        <v>0</v>
      </c>
      <c r="H156" s="13">
        <f ca="1">IF(הפחתה23[[#This Row],[תאריך]]="",0,הפחתה23[[#This Row],[ריבית]]+הפחתה23[[#This Row],[קרן]]+הפחתה23[[#This Row],[מס
רכוש]])</f>
        <v>5588.8461569578449</v>
      </c>
      <c r="I156" s="13">
        <f ca="1">IF(הפחתה23[[#This Row],[תאריך]]="",0,הפחתה23[[#This Row],[יתרת פתיחה]]-הפחתה23[[#This Row],[קרן]])</f>
        <v>713689.55742541095</v>
      </c>
      <c r="J156" s="11">
        <f ca="1">MAX(הפחתה[[#This Row],[תשלומים
שנותרו]],הפחתה5[[#This Row],[תשלומים
שנותרו]],הפחתה7[[#This Row],[תשלומים
שנותרו]],הפחתה8[[#This Row],[תשלומים
שנותרו]])</f>
        <v>207</v>
      </c>
    </row>
    <row r="157" spans="1:10" ht="15" customHeight="1" x14ac:dyDescent="0.25">
      <c r="A157" s="8"/>
      <c r="B157" s="11">
        <f>MAX(הפחתה[[#This Row],[מס'']],הפחתה5[[#This Row],[מס'']],הפחתה7[[#This Row],[מס'']],הפחתה8[[#This Row],[מס'']])</f>
        <v>154</v>
      </c>
      <c r="C157" s="12">
        <f ca="1">IF(ValuesEntered,IF(הפחתה23[[#This Row],[מס'']]&lt;=תקופת_ההלוואה,IF(ROW()-ROW(הפחתה[[#Headers],[תאריך]])=1,LoanStart,IF(I156&gt;0,EDATE(C156,1),"")),""),"")</f>
        <v>50041</v>
      </c>
      <c r="D157" s="13">
        <f ca="1">SUM(הפחתה[[#This Row],[יתרת פתיחה]],הפחתה5[[#This Row],[יתרת פתיחה]],הפחתה7[[#This Row],[יתרת פתיחה]],הפחתה8[[#This Row],[יתרת פתיחה]])</f>
        <v>713810.90513282048</v>
      </c>
      <c r="E157" s="13">
        <f ca="1">SUM(הפחתה[[#This Row],[ריבית]],הפחתה5[[#This Row],[ריבית]],הפחתה7[[#This Row],[ריבית]],הפחתה8[[#This Row],[ריבית]])</f>
        <v>2866.2015403736818</v>
      </c>
      <c r="F157" s="13">
        <f ca="1">SUM(הפחתה[[#This Row],[קרן]],הפחתה5[[#This Row],[קרן]],הפחתה7[[#This Row],[קרן]],הפחתה8[[#This Row],[קרן]])</f>
        <v>2723.5481070691767</v>
      </c>
      <c r="G157" s="13">
        <f ca="1">IF(הפחתה23[[#This Row],[תאריך]]="",0,PropertyTaxAmount)</f>
        <v>0</v>
      </c>
      <c r="H157" s="13">
        <f ca="1">IF(הפחתה23[[#This Row],[תאריך]]="",0,הפחתה23[[#This Row],[ריבית]]+הפחתה23[[#This Row],[קרן]]+הפחתה23[[#This Row],[מס
רכוש]])</f>
        <v>5589.749647442859</v>
      </c>
      <c r="I157" s="13">
        <f ca="1">IF(הפחתה23[[#This Row],[תאריך]]="",0,הפחתה23[[#This Row],[יתרת פתיחה]]-הפחתה23[[#This Row],[קרן]])</f>
        <v>711087.35702575126</v>
      </c>
      <c r="J157" s="11">
        <f ca="1">MAX(הפחתה[[#This Row],[תשלומים
שנותרו]],הפחתה5[[#This Row],[תשלומים
שנותרו]],הפחתה7[[#This Row],[תשלומים
שנותרו]],הפחתה8[[#This Row],[תשלומים
שנותרו]])</f>
        <v>206</v>
      </c>
    </row>
    <row r="158" spans="1:10" ht="15" customHeight="1" x14ac:dyDescent="0.25">
      <c r="A158" s="8"/>
      <c r="B158" s="11">
        <f>MAX(הפחתה[[#This Row],[מס'']],הפחתה5[[#This Row],[מס'']],הפחתה7[[#This Row],[מס'']],הפחתה8[[#This Row],[מס'']])</f>
        <v>155</v>
      </c>
      <c r="C158" s="12">
        <f ca="1">IF(ValuesEntered,IF(הפחתה23[[#This Row],[מס'']]&lt;=תקופת_ההלוואה,IF(ROW()-ROW(הפחתה[[#Headers],[תאריך]])=1,LoanStart,IF(I157&gt;0,EDATE(C157,1),"")),""),"")</f>
        <v>50072</v>
      </c>
      <c r="D158" s="13">
        <f ca="1">SUM(הפחתה[[#This Row],[יתרת פתיחה]],הפחתה5[[#This Row],[יתרת פתיחה]],הפחתה7[[#This Row],[יתרת פתיחה]],הפחתה8[[#This Row],[יתרת פתיחה]])</f>
        <v>711208.197083042</v>
      </c>
      <c r="E158" s="13">
        <f ca="1">SUM(הפחתה[[#This Row],[ריבית]],הפחתה5[[#This Row],[ריבית]],הפחתה7[[#This Row],[ריבית]],הפחתה8[[#This Row],[ריבית]])</f>
        <v>2855.9070630263996</v>
      </c>
      <c r="F158" s="13">
        <f ca="1">SUM(הפחתה[[#This Row],[קרן]],הפחתה5[[#This Row],[קרן]],הפחתה7[[#This Row],[קרן]],הפחתה8[[#This Row],[קרן]])</f>
        <v>2734.7475186503489</v>
      </c>
      <c r="G158" s="13">
        <f ca="1">IF(הפחתה23[[#This Row],[תאריך]]="",0,PropertyTaxAmount)</f>
        <v>0</v>
      </c>
      <c r="H158" s="13">
        <f ca="1">IF(הפחתה23[[#This Row],[תאריך]]="",0,הפחתה23[[#This Row],[ריבית]]+הפחתה23[[#This Row],[קרן]]+הפחתה23[[#This Row],[מס
רכוש]])</f>
        <v>5590.6545816767484</v>
      </c>
      <c r="I158" s="13">
        <f ca="1">IF(הפחתה23[[#This Row],[תאריך]]="",0,הפחתה23[[#This Row],[יתרת פתיחה]]-הפחתה23[[#This Row],[קרן]])</f>
        <v>708473.44956439163</v>
      </c>
      <c r="J158" s="11">
        <f ca="1">MAX(הפחתה[[#This Row],[תשלומים
שנותרו]],הפחתה5[[#This Row],[תשלומים
שנותרו]],הפחתה7[[#This Row],[תשלומים
שנותרו]],הפחתה8[[#This Row],[תשלומים
שנותרו]])</f>
        <v>205</v>
      </c>
    </row>
    <row r="159" spans="1:10" ht="15" customHeight="1" x14ac:dyDescent="0.25">
      <c r="A159" s="8"/>
      <c r="B159" s="11">
        <f>MAX(הפחתה[[#This Row],[מס'']],הפחתה5[[#This Row],[מס'']],הפחתה7[[#This Row],[מס'']],הפחתה8[[#This Row],[מס'']])</f>
        <v>156</v>
      </c>
      <c r="C159" s="12">
        <f ca="1">IF(ValuesEntered,IF(הפחתה23[[#This Row],[מס'']]&lt;=תקופת_ההלוואה,IF(ROW()-ROW(הפחתה[[#Headers],[תאריך]])=1,LoanStart,IF(I158&gt;0,EDATE(C158,1),"")),""),"")</f>
        <v>50100</v>
      </c>
      <c r="D159" s="13">
        <f ca="1">SUM(הפחתה[[#This Row],[יתרת פתיחה]],הפחתה5[[#This Row],[יתרת פתיחה]],הפחתה7[[#This Row],[יתרת פתיחה]],הפחתה8[[#This Row],[יתרת פתיחה]])</f>
        <v>708593.77857244178</v>
      </c>
      <c r="E159" s="13">
        <f ca="1">SUM(הפחתה[[#This Row],[ריבית]],הפחתה5[[#This Row],[ריבית]],הפחתה7[[#This Row],[ריבית]],הפחתה8[[#This Row],[ריבית]])</f>
        <v>2845.5676714173082</v>
      </c>
      <c r="F159" s="13">
        <f ca="1">SUM(הפחתה[[#This Row],[קרן]],הפחתה5[[#This Row],[קרן]],הפחתה7[[#This Row],[קרן]],הפחתה8[[#This Row],[קרן]])</f>
        <v>2745.9932909338222</v>
      </c>
      <c r="G159" s="13">
        <f ca="1">IF(הפחתה23[[#This Row],[תאריך]]="",0,PropertyTaxAmount)</f>
        <v>0</v>
      </c>
      <c r="H159" s="13">
        <f ca="1">IF(הפחתה23[[#This Row],[תאריך]]="",0,הפחתה23[[#This Row],[ריבית]]+הפחתה23[[#This Row],[קרן]]+הפחתה23[[#This Row],[מס
רכוש]])</f>
        <v>5591.56096235113</v>
      </c>
      <c r="I159" s="13">
        <f ca="1">IF(הפחתה23[[#This Row],[תאריך]]="",0,הפחתה23[[#This Row],[יתרת פתיחה]]-הפחתה23[[#This Row],[קרן]])</f>
        <v>705847.785281508</v>
      </c>
      <c r="J159" s="11">
        <f ca="1">MAX(הפחתה[[#This Row],[תשלומים
שנותרו]],הפחתה5[[#This Row],[תשלומים
שנותרו]],הפחתה7[[#This Row],[תשלומים
שנותרו]],הפחתה8[[#This Row],[תשלומים
שנותרו]])</f>
        <v>204</v>
      </c>
    </row>
    <row r="160" spans="1:10" ht="15" customHeight="1" x14ac:dyDescent="0.25">
      <c r="A160" s="8"/>
      <c r="B160" s="11">
        <f>MAX(הפחתה[[#This Row],[מס'']],הפחתה5[[#This Row],[מס'']],הפחתה7[[#This Row],[מס'']],הפחתה8[[#This Row],[מס'']])</f>
        <v>157</v>
      </c>
      <c r="C160" s="12">
        <f ca="1">IF(ValuesEntered,IF(הפחתה23[[#This Row],[מס'']]&lt;=תקופת_ההלוואה,IF(ROW()-ROW(הפחתה[[#Headers],[תאריך]])=1,LoanStart,IF(I159&gt;0,EDATE(C159,1),"")),""),"")</f>
        <v>50131</v>
      </c>
      <c r="D160" s="13">
        <f ca="1">SUM(הפחתה[[#This Row],[יתרת פתיחה]],הפחתה5[[#This Row],[יתרת פתיחה]],הפחתה7[[#This Row],[יתרת פתיחה]],הפחתה8[[#This Row],[יתרת פתיחה]])</f>
        <v>705967.59982629342</v>
      </c>
      <c r="E160" s="13">
        <f ca="1">SUM(הפחתה[[#This Row],[ריבית]],הפחתה5[[#This Row],[ריבית]],הפחתה7[[#This Row],[ריבית]],הפחתה8[[#This Row],[ריבית]])</f>
        <v>2835.1831746941184</v>
      </c>
      <c r="F160" s="13">
        <f ca="1">SUM(הפחתה[[#This Row],[קרן]],הפחתה5[[#This Row],[קרן]],הפחתה7[[#This Row],[קרן]],הפחתה8[[#This Row],[קרן]])</f>
        <v>2757.2856174820545</v>
      </c>
      <c r="G160" s="13">
        <f ca="1">IF(הפחתה23[[#This Row],[תאריך]]="",0,PropertyTaxAmount)</f>
        <v>0</v>
      </c>
      <c r="H160" s="13">
        <f ca="1">IF(הפחתה23[[#This Row],[תאריך]]="",0,הפחתה23[[#This Row],[ריבית]]+הפחתה23[[#This Row],[קרן]]+הפחתה23[[#This Row],[מס
רכוש]])</f>
        <v>5592.4687921761724</v>
      </c>
      <c r="I160" s="13">
        <f ca="1">IF(הפחתה23[[#This Row],[תאריך]]="",0,הפחתה23[[#This Row],[יתרת פתיחה]]-הפחתה23[[#This Row],[קרן]])</f>
        <v>703210.31420881138</v>
      </c>
      <c r="J160" s="11">
        <f ca="1">MAX(הפחתה[[#This Row],[תשלומים
שנותרו]],הפחתה5[[#This Row],[תשלומים
שנותרו]],הפחתה7[[#This Row],[תשלומים
שנותרו]],הפחתה8[[#This Row],[תשלומים
שנותרו]])</f>
        <v>203</v>
      </c>
    </row>
    <row r="161" spans="1:10" ht="15" customHeight="1" x14ac:dyDescent="0.25">
      <c r="A161" s="8"/>
      <c r="B161" s="11">
        <f>MAX(הפחתה[[#This Row],[מס'']],הפחתה5[[#This Row],[מס'']],הפחתה7[[#This Row],[מס'']],הפחתה8[[#This Row],[מס'']])</f>
        <v>158</v>
      </c>
      <c r="C161" s="12">
        <f ca="1">IF(ValuesEntered,IF(הפחתה23[[#This Row],[מס'']]&lt;=תקופת_ההלוואה,IF(ROW()-ROW(הפחתה[[#Headers],[תאריך]])=1,LoanStart,IF(I160&gt;0,EDATE(C160,1),"")),""),"")</f>
        <v>50161</v>
      </c>
      <c r="D161" s="13">
        <f ca="1">SUM(הפחתה[[#This Row],[יתרת פתיחה]],הפחתה5[[#This Row],[יתרת פתיחה]],הפחתה7[[#This Row],[יתרת פתיחה]],הפחתה8[[#This Row],[יתרת פתיחה]])</f>
        <v>703329.61086134752</v>
      </c>
      <c r="E161" s="13">
        <f ca="1">SUM(הפחתה[[#This Row],[ריבית]],הפחתה5[[#This Row],[ריבית]],הפחתה7[[#This Row],[ריבית]],הפחתה8[[#This Row],[ריבית]])</f>
        <v>2824.7533811981202</v>
      </c>
      <c r="F161" s="13">
        <f ca="1">SUM(הפחתה[[#This Row],[קרן]],הפחתה5[[#This Row],[קרן]],הפחתה7[[#This Row],[קרן]],הפחתה8[[#This Row],[קרן]])</f>
        <v>2768.6246926829481</v>
      </c>
      <c r="G161" s="13">
        <f ca="1">IF(הפחתה23[[#This Row],[תאריך]]="",0,PropertyTaxAmount)</f>
        <v>0</v>
      </c>
      <c r="H161" s="13">
        <f ca="1">IF(הפחתה23[[#This Row],[תאריך]]="",0,הפחתה23[[#This Row],[ריבית]]+הפחתה23[[#This Row],[קרן]]+הפחתה23[[#This Row],[מס
רכוש]])</f>
        <v>5593.3780738810683</v>
      </c>
      <c r="I161" s="13">
        <f ca="1">IF(הפחתה23[[#This Row],[תאריך]]="",0,הפחתה23[[#This Row],[יתרת פתיחה]]-הפחתה23[[#This Row],[קרן]])</f>
        <v>700560.98616866453</v>
      </c>
      <c r="J161" s="11">
        <f ca="1">MAX(הפחתה[[#This Row],[תשלומים
שנותרו]],הפחתה5[[#This Row],[תשלומים
שנותרו]],הפחתה7[[#This Row],[תשלומים
שנותרו]],הפחתה8[[#This Row],[תשלומים
שנותרו]])</f>
        <v>202</v>
      </c>
    </row>
    <row r="162" spans="1:10" ht="15" customHeight="1" x14ac:dyDescent="0.25">
      <c r="A162" s="8"/>
      <c r="B162" s="11">
        <f>MAX(הפחתה[[#This Row],[מס'']],הפחתה5[[#This Row],[מס'']],הפחתה7[[#This Row],[מס'']],הפחתה8[[#This Row],[מס'']])</f>
        <v>159</v>
      </c>
      <c r="C162" s="12">
        <f ca="1">IF(ValuesEntered,IF(הפחתה23[[#This Row],[מס'']]&lt;=תקופת_ההלוואה,IF(ROW()-ROW(הפחתה[[#Headers],[תאריך]])=1,LoanStart,IF(I161&gt;0,EDATE(C161,1),"")),""),"")</f>
        <v>50192</v>
      </c>
      <c r="D162" s="13">
        <f ca="1">SUM(הפחתה[[#This Row],[יתרת פתיחה]],הפחתה5[[#This Row],[יתרת פתיחה]],הפחתה7[[#This Row],[יתרת פתיחה]],הפחתה8[[#This Row],[יתרת פתיחה]])</f>
        <v>700679.76148494554</v>
      </c>
      <c r="E162" s="13">
        <f ca="1">SUM(הפחתה[[#This Row],[ריבית]],הפחתה5[[#This Row],[ריבית]],הפחתה7[[#This Row],[ריבית]],הפחתה8[[#This Row],[ריבית]])</f>
        <v>2814.2780984607434</v>
      </c>
      <c r="F162" s="13">
        <f ca="1">SUM(הפחתה[[#This Row],[קרן]],הפחתה5[[#This Row],[קרן]],הפחתה7[[#This Row],[קרן]],הפחתה8[[#This Row],[קרן]])</f>
        <v>2780.01071175378</v>
      </c>
      <c r="G162" s="13">
        <f ca="1">IF(הפחתה23[[#This Row],[תאריך]]="",0,PropertyTaxAmount)</f>
        <v>0</v>
      </c>
      <c r="H162" s="13">
        <f ca="1">IF(הפחתה23[[#This Row],[תאריך]]="",0,הפחתה23[[#This Row],[ריבית]]+הפחתה23[[#This Row],[קרן]]+הפחתה23[[#This Row],[מס
רכוש]])</f>
        <v>5594.2888102145234</v>
      </c>
      <c r="I162" s="13">
        <f ca="1">IF(הפחתה23[[#This Row],[תאריך]]="",0,הפחתה23[[#This Row],[יתרת פתיחה]]-הפחתה23[[#This Row],[קרן]])</f>
        <v>697899.7507731918</v>
      </c>
      <c r="J162" s="11">
        <f ca="1">MAX(הפחתה[[#This Row],[תשלומים
שנותרו]],הפחתה5[[#This Row],[תשלומים
שנותרו]],הפחתה7[[#This Row],[תשלומים
שנותרו]],הפחתה8[[#This Row],[תשלומים
שנותרו]])</f>
        <v>201</v>
      </c>
    </row>
    <row r="163" spans="1:10" ht="15" customHeight="1" x14ac:dyDescent="0.25">
      <c r="A163" s="8"/>
      <c r="B163" s="11">
        <f>MAX(הפחתה[[#This Row],[מס'']],הפחתה5[[#This Row],[מס'']],הפחתה7[[#This Row],[מס'']],הפחתה8[[#This Row],[מס'']])</f>
        <v>160</v>
      </c>
      <c r="C163" s="12">
        <f ca="1">IF(ValuesEntered,IF(הפחתה23[[#This Row],[מס'']]&lt;=תקופת_ההלוואה,IF(ROW()-ROW(הפחתה[[#Headers],[תאריך]])=1,LoanStart,IF(I162&gt;0,EDATE(C162,1),"")),""),"")</f>
        <v>50222</v>
      </c>
      <c r="D163" s="13">
        <f ca="1">SUM(הפחתה[[#This Row],[יתרת פתיחה]],הפחתה5[[#This Row],[יתרת פתיחה]],הפחתה7[[#This Row],[יתרת פתיחה]],הפחתה8[[#This Row],[יתרת פתיחה]])</f>
        <v>698018.00129413221</v>
      </c>
      <c r="E163" s="13">
        <f ca="1">SUM(הפחתה[[#This Row],[ריבית]],הפחתה5[[#This Row],[ריבית]],הפחתה7[[#This Row],[ריבית]],הפחתה8[[#This Row],[ריבית]])</f>
        <v>2803.7571332001116</v>
      </c>
      <c r="F163" s="13">
        <f ca="1">SUM(הפחתה[[#This Row],[קרן]],הפחתה5[[#This Row],[קרן]],הפחתה7[[#This Row],[קרן]],הפחתה8[[#This Row],[קרן]])</f>
        <v>2791.4438707451527</v>
      </c>
      <c r="G163" s="13">
        <f ca="1">IF(הפחתה23[[#This Row],[תאריך]]="",0,PropertyTaxAmount)</f>
        <v>0</v>
      </c>
      <c r="H163" s="13">
        <f ca="1">IF(הפחתה23[[#This Row],[תאריך]]="",0,הפחתה23[[#This Row],[ריבית]]+הפחתה23[[#This Row],[קרן]]+הפחתה23[[#This Row],[מס
רכוש]])</f>
        <v>5595.2010039452643</v>
      </c>
      <c r="I163" s="13">
        <f ca="1">IF(הפחתה23[[#This Row],[תאריך]]="",0,הפחתה23[[#This Row],[יתרת פתיחה]]-הפחתה23[[#This Row],[קרן]])</f>
        <v>695226.55742338707</v>
      </c>
      <c r="J163" s="11">
        <f ca="1">MAX(הפחתה[[#This Row],[תשלומים
שנותרו]],הפחתה5[[#This Row],[תשלומים
שנותרו]],הפחתה7[[#This Row],[תשלומים
שנותרו]],הפחתה8[[#This Row],[תשלומים
שנותרו]])</f>
        <v>200</v>
      </c>
    </row>
    <row r="164" spans="1:10" ht="15" customHeight="1" x14ac:dyDescent="0.25">
      <c r="A164" s="8"/>
      <c r="B164" s="11">
        <f>MAX(הפחתה[[#This Row],[מס'']],הפחתה5[[#This Row],[מס'']],הפחתה7[[#This Row],[מס'']],הפחתה8[[#This Row],[מס'']])</f>
        <v>161</v>
      </c>
      <c r="C164" s="12">
        <f ca="1">IF(ValuesEntered,IF(הפחתה23[[#This Row],[מס'']]&lt;=תקופת_ההלוואה,IF(ROW()-ROW(הפחתה[[#Headers],[תאריך]])=1,LoanStart,IF(I163&gt;0,EDATE(C163,1),"")),""),"")</f>
        <v>50253</v>
      </c>
      <c r="D164" s="13">
        <f ca="1">SUM(הפחתה[[#This Row],[יתרת פתיחה]],הפחתה5[[#This Row],[יתרת פתיחה]],הפחתה7[[#This Row],[יתרת פתיחה]],הפחתה8[[#This Row],[יתרת פתיחה]])</f>
        <v>695344.27967476076</v>
      </c>
      <c r="E164" s="13">
        <f ca="1">SUM(הפחתה[[#This Row],[ריבית]],הפחתה5[[#This Row],[ריבית]],הפחתה7[[#This Row],[ריבית]],הפחתה8[[#This Row],[ריבית]])</f>
        <v>2793.1902913175713</v>
      </c>
      <c r="F164" s="13">
        <f ca="1">SUM(הפחתה[[#This Row],[קרן]],הפחתה5[[#This Row],[קרן]],הפחתה7[[#This Row],[קרן]],הפחתה8[[#This Row],[קרן]])</f>
        <v>2802.9243665449953</v>
      </c>
      <c r="G164" s="13">
        <f ca="1">IF(הפחתה23[[#This Row],[תאריך]]="",0,PropertyTaxAmount)</f>
        <v>0</v>
      </c>
      <c r="H164" s="13">
        <f ca="1">IF(הפחתה23[[#This Row],[תאריך]]="",0,הפחתה23[[#This Row],[ריבית]]+הפחתה23[[#This Row],[קרן]]+הפחתה23[[#This Row],[מס
רכוש]])</f>
        <v>5596.1146578625667</v>
      </c>
      <c r="I164" s="13">
        <f ca="1">IF(הפחתה23[[#This Row],[תאריך]]="",0,הפחתה23[[#This Row],[יתרת פתיחה]]-הפחתה23[[#This Row],[קרן]])</f>
        <v>692541.35530821572</v>
      </c>
      <c r="J164" s="11">
        <f ca="1">MAX(הפחתה[[#This Row],[תשלומים
שנותרו]],הפחתה5[[#This Row],[תשלומים
שנותרו]],הפחתה7[[#This Row],[תשלומים
שנותרו]],הפחתה8[[#This Row],[תשלומים
שנותרו]])</f>
        <v>199</v>
      </c>
    </row>
    <row r="165" spans="1:10" ht="15" customHeight="1" x14ac:dyDescent="0.25">
      <c r="A165" s="8"/>
      <c r="B165" s="11">
        <f>MAX(הפחתה[[#This Row],[מס'']],הפחתה5[[#This Row],[מס'']],הפחתה7[[#This Row],[מס'']],הפחתה8[[#This Row],[מס'']])</f>
        <v>162</v>
      </c>
      <c r="C165" s="12">
        <f ca="1">IF(ValuesEntered,IF(הפחתה23[[#This Row],[מס'']]&lt;=תקופת_ההלוואה,IF(ROW()-ROW(הפחתה[[#Headers],[תאריך]])=1,LoanStart,IF(I164&gt;0,EDATE(C164,1),"")),""),"")</f>
        <v>50284</v>
      </c>
      <c r="D165" s="13">
        <f ca="1">SUM(הפחתה[[#This Row],[יתרת פתיחה]],הפחתה5[[#This Row],[יתרת פתיחה]],הפחתה7[[#This Row],[יתרת פתיחה]],הפחתה8[[#This Row],[יתרת פתיחה]])</f>
        <v>692658.54580059671</v>
      </c>
      <c r="E165" s="13">
        <f ca="1">SUM(הפחתה[[#This Row],[ריבית]],הפחתה5[[#This Row],[ריבית]],הפחתה7[[#This Row],[ריבית]],הפחתה8[[#This Row],[ריבית]])</f>
        <v>2782.5773778942139</v>
      </c>
      <c r="F165" s="13">
        <f ca="1">SUM(הפחתה[[#This Row],[קרן]],הפחתה5[[#This Row],[קרן]],הפחתה7[[#This Row],[קרן]],הפחתה8[[#This Row],[קרן]])</f>
        <v>2814.4523968825797</v>
      </c>
      <c r="G165" s="13">
        <f ca="1">IF(הפחתה23[[#This Row],[תאריך]]="",0,PropertyTaxAmount)</f>
        <v>0</v>
      </c>
      <c r="H165" s="13">
        <f ca="1">IF(הפחתה23[[#This Row],[תאריך]]="",0,הפחתה23[[#This Row],[ריבית]]+הפחתה23[[#This Row],[קרן]]+הפחתה23[[#This Row],[מס
רכוש]])</f>
        <v>5597.0297747767936</v>
      </c>
      <c r="I165" s="13">
        <f ca="1">IF(הפחתה23[[#This Row],[תאריך]]="",0,הפחתה23[[#This Row],[יתרת פתיחה]]-הפחתה23[[#This Row],[קרן]])</f>
        <v>689844.09340371413</v>
      </c>
      <c r="J165" s="11">
        <f ca="1">MAX(הפחתה[[#This Row],[תשלומים
שנותרו]],הפחתה5[[#This Row],[תשלומים
שנותרו]],הפחתה7[[#This Row],[תשלומים
שנותרו]],הפחתה8[[#This Row],[תשלומים
שנותרו]])</f>
        <v>198</v>
      </c>
    </row>
    <row r="166" spans="1:10" ht="15" customHeight="1" x14ac:dyDescent="0.25">
      <c r="A166" s="8"/>
      <c r="B166" s="11">
        <f>MAX(הפחתה[[#This Row],[מס'']],הפחתה5[[#This Row],[מס'']],הפחתה7[[#This Row],[מס'']],הפחתה8[[#This Row],[מס'']])</f>
        <v>163</v>
      </c>
      <c r="C166" s="12">
        <f ca="1">IF(ValuesEntered,IF(הפחתה23[[#This Row],[מס'']]&lt;=תקופת_ההלוואה,IF(ROW()-ROW(הפחתה[[#Headers],[תאריך]])=1,LoanStart,IF(I165&gt;0,EDATE(C165,1),"")),""),"")</f>
        <v>50314</v>
      </c>
      <c r="D166" s="13">
        <f ca="1">SUM(הפחתה[[#This Row],[יתרת פתיחה]],הפחתה5[[#This Row],[יתרת פתיחה]],הפחתה7[[#This Row],[יתרת פתיחה]],הפחתה8[[#This Row],[יתרת פתיחה]])</f>
        <v>689960.74863241462</v>
      </c>
      <c r="E166" s="13">
        <f ca="1">SUM(הפחתה[[#This Row],[ריבית]],הפחתה5[[#This Row],[ריבית]],הפחתה7[[#This Row],[ריבית]],הפחתה8[[#This Row],[ריבית]])</f>
        <v>2771.918197187375</v>
      </c>
      <c r="F166" s="13">
        <f ca="1">SUM(הפחתה[[#This Row],[קרן]],הפחתה5[[#This Row],[קרן]],הפחתה7[[#This Row],[קרן]],הפחתה8[[#This Row],[קרן]])</f>
        <v>2826.0281603325875</v>
      </c>
      <c r="G166" s="13">
        <f ca="1">IF(הפחתה23[[#This Row],[תאריך]]="",0,PropertyTaxAmount)</f>
        <v>0</v>
      </c>
      <c r="H166" s="13">
        <f ca="1">IF(הפחתה23[[#This Row],[תאריך]]="",0,הפחתה23[[#This Row],[ריבית]]+הפחתה23[[#This Row],[קרן]]+הפחתה23[[#This Row],[מס
רכוש]])</f>
        <v>5597.9463575199625</v>
      </c>
      <c r="I166" s="13">
        <f ca="1">IF(הפחתה23[[#This Row],[תאריך]]="",0,הפחתה23[[#This Row],[יתרת פתיחה]]-הפחתה23[[#This Row],[קרן]])</f>
        <v>687134.72047208203</v>
      </c>
      <c r="J166" s="11">
        <f ca="1">MAX(הפחתה[[#This Row],[תשלומים
שנותרו]],הפחתה5[[#This Row],[תשלומים
שנותרו]],הפחתה7[[#This Row],[תשלומים
שנותרו]],הפחתה8[[#This Row],[תשלומים
שנותרו]])</f>
        <v>197</v>
      </c>
    </row>
    <row r="167" spans="1:10" ht="15" customHeight="1" x14ac:dyDescent="0.25">
      <c r="A167" s="8"/>
      <c r="B167" s="11">
        <f>MAX(הפחתה[[#This Row],[מס'']],הפחתה5[[#This Row],[מס'']],הפחתה7[[#This Row],[מס'']],הפחתה8[[#This Row],[מס'']])</f>
        <v>164</v>
      </c>
      <c r="C167" s="12">
        <f ca="1">IF(ValuesEntered,IF(הפחתה23[[#This Row],[מס'']]&lt;=תקופת_ההלוואה,IF(ROW()-ROW(הפחתה[[#Headers],[תאריך]])=1,LoanStart,IF(I166&gt;0,EDATE(C166,1),"")),""),"")</f>
        <v>50345</v>
      </c>
      <c r="D167" s="13">
        <f ca="1">SUM(הפחתה[[#This Row],[יתרת פתיחה]],הפחתה5[[#This Row],[יתרת פתיחה]],הפחתה7[[#This Row],[יתרת פתיחה]],הפחתה8[[#This Row],[יתרת פתיחה]])</f>
        <v>687250.83691709349</v>
      </c>
      <c r="E167" s="13">
        <f ca="1">SUM(הפחתה[[#This Row],[ריבית]],הפחתה5[[#This Row],[ריבית]],הפחתה7[[#This Row],[ריבית]],הפחתה8[[#This Row],[ריבית]])</f>
        <v>2761.2125526271202</v>
      </c>
      <c r="F167" s="13">
        <f ca="1">SUM(הפחתה[[#This Row],[קרן]],הפחתה5[[#This Row],[קרן]],הפחתה7[[#This Row],[קרן]],הפחתה8[[#This Row],[קרן]])</f>
        <v>2837.6518563192076</v>
      </c>
      <c r="G167" s="13">
        <f ca="1">IF(הפחתה23[[#This Row],[תאריך]]="",0,PropertyTaxAmount)</f>
        <v>0</v>
      </c>
      <c r="H167" s="13">
        <f ca="1">IF(הפחתה23[[#This Row],[תאריך]]="",0,הפחתה23[[#This Row],[ריבית]]+הפחתה23[[#This Row],[קרן]]+הפחתה23[[#This Row],[מס
רכוש]])</f>
        <v>5598.8644089463278</v>
      </c>
      <c r="I167" s="13">
        <f ca="1">IF(הפחתה23[[#This Row],[תאריך]]="",0,הפחתה23[[#This Row],[יתרת פתיחה]]-הפחתה23[[#This Row],[קרן]])</f>
        <v>684413.18506077433</v>
      </c>
      <c r="J167" s="11">
        <f ca="1">MAX(הפחתה[[#This Row],[תשלומים
שנותרו]],הפחתה5[[#This Row],[תשלומים
שנותרו]],הפחתה7[[#This Row],[תשלומים
שנותרו]],הפחתה8[[#This Row],[תשלומים
שנותרו]])</f>
        <v>196</v>
      </c>
    </row>
    <row r="168" spans="1:10" ht="15" customHeight="1" x14ac:dyDescent="0.25">
      <c r="A168" s="8"/>
      <c r="B168" s="11">
        <f>MAX(הפחתה[[#This Row],[מס'']],הפחתה5[[#This Row],[מס'']],הפחתה7[[#This Row],[מס'']],הפחתה8[[#This Row],[מס'']])</f>
        <v>165</v>
      </c>
      <c r="C168" s="12">
        <f ca="1">IF(ValuesEntered,IF(הפחתה23[[#This Row],[מס'']]&lt;=תקופת_ההלוואה,IF(ROW()-ROW(הפחתה[[#Headers],[תאריך]])=1,LoanStart,IF(I167&gt;0,EDATE(C167,1),"")),""),"")</f>
        <v>50375</v>
      </c>
      <c r="D168" s="13">
        <f ca="1">SUM(הפחתה[[#This Row],[יתרת פתיחה]],הפחתה5[[#This Row],[יתרת פתיחה]],הפחתה7[[#This Row],[יתרת פתיחה]],הפחתה8[[#This Row],[יתרת פתיחה]])</f>
        <v>684528.75918670476</v>
      </c>
      <c r="E168" s="13">
        <f ca="1">SUM(הפחתה[[#This Row],[ריבית]],הפחתה5[[#This Row],[ריבית]],הפחתה7[[#This Row],[ריבית]],הפחתה8[[#This Row],[ריבית]])</f>
        <v>2750.4602468127196</v>
      </c>
      <c r="F168" s="13">
        <f ca="1">SUM(הפחתה[[#This Row],[קרן]],הפחתה5[[#This Row],[קרן]],הפחתה7[[#This Row],[קרן]],הפחתה8[[#This Row],[קרן]])</f>
        <v>2849.3236851202714</v>
      </c>
      <c r="G168" s="13">
        <f ca="1">IF(הפחתה23[[#This Row],[תאריך]]="",0,PropertyTaxAmount)</f>
        <v>0</v>
      </c>
      <c r="H168" s="13">
        <f ca="1">IF(הפחתה23[[#This Row],[תאריך]]="",0,הפחתה23[[#This Row],[ריבית]]+הפחתה23[[#This Row],[קרן]]+הפחתה23[[#This Row],[מס
רכוש]])</f>
        <v>5599.7839319329905</v>
      </c>
      <c r="I168" s="13">
        <f ca="1">IF(הפחתה23[[#This Row],[תאריך]]="",0,הפחתה23[[#This Row],[יתרת פתיחה]]-הפחתה23[[#This Row],[קרן]])</f>
        <v>681679.43550158443</v>
      </c>
      <c r="J168" s="11">
        <f ca="1">MAX(הפחתה[[#This Row],[תשלומים
שנותרו]],הפחתה5[[#This Row],[תשלומים
שנותרו]],הפחתה7[[#This Row],[תשלומים
שנותרו]],הפחתה8[[#This Row],[תשלומים
שנותרו]])</f>
        <v>195</v>
      </c>
    </row>
    <row r="169" spans="1:10" ht="15" customHeight="1" x14ac:dyDescent="0.25">
      <c r="A169" s="8"/>
      <c r="B169" s="11">
        <f>MAX(הפחתה[[#This Row],[מס'']],הפחתה5[[#This Row],[מס'']],הפחתה7[[#This Row],[מס'']],הפחתה8[[#This Row],[מס'']])</f>
        <v>166</v>
      </c>
      <c r="C169" s="12">
        <f ca="1">IF(ValuesEntered,IF(הפחתה23[[#This Row],[מס'']]&lt;=תקופת_ההלוואה,IF(ROW()-ROW(הפחתה[[#Headers],[תאריך]])=1,LoanStart,IF(I168&gt;0,EDATE(C168,1),"")),""),"")</f>
        <v>50406</v>
      </c>
      <c r="D169" s="13">
        <f ca="1">SUM(הפחתה[[#This Row],[יתרת פתיחה]],הפחתה5[[#This Row],[יתרת פתיחה]],הפחתה7[[#This Row],[יתרת פתיחה]],הפחתה8[[#This Row],[יתרת פתיחה]])</f>
        <v>681794.46375759901</v>
      </c>
      <c r="E169" s="13">
        <f ca="1">SUM(הפחתה[[#This Row],[ריבית]],הפחתה5[[#This Row],[ריבית]],הפחתה7[[#This Row],[ריבית]],הפחתה8[[#This Row],[ריבית]])</f>
        <v>2739.6610815090958</v>
      </c>
      <c r="F169" s="13">
        <f ca="1">SUM(הפחתה[[#This Row],[קרן]],הפחתה5[[#This Row],[קרן]],הפחתה7[[#This Row],[קרן]],הפחתה8[[#This Row],[קרן]])</f>
        <v>2861.0438478714241</v>
      </c>
      <c r="G169" s="13">
        <f ca="1">IF(הפחתה23[[#This Row],[תאריך]]="",0,PropertyTaxAmount)</f>
        <v>0</v>
      </c>
      <c r="H169" s="13">
        <f ca="1">IF(הפחתה23[[#This Row],[תאריך]]="",0,הפחתה23[[#This Row],[ריבית]]+הפחתה23[[#This Row],[קרן]]+הפחתה23[[#This Row],[מס
רכוש]])</f>
        <v>5600.7049293805194</v>
      </c>
      <c r="I169" s="13">
        <f ca="1">IF(הפחתה23[[#This Row],[תאריך]]="",0,הפחתה23[[#This Row],[יתרת פתיחה]]-הפחתה23[[#This Row],[קרן]])</f>
        <v>678933.41990972753</v>
      </c>
      <c r="J169" s="11">
        <f ca="1">MAX(הפחתה[[#This Row],[תשלומים
שנותרו]],הפחתה5[[#This Row],[תשלומים
שנותרו]],הפחתה7[[#This Row],[תשלומים
שנותרו]],הפחתה8[[#This Row],[תשלומים
שנותרו]])</f>
        <v>194</v>
      </c>
    </row>
    <row r="170" spans="1:10" ht="15" customHeight="1" x14ac:dyDescent="0.25">
      <c r="A170" s="8"/>
      <c r="B170" s="11">
        <f>MAX(הפחתה[[#This Row],[מס'']],הפחתה5[[#This Row],[מס'']],הפחתה7[[#This Row],[מס'']],הפחתה8[[#This Row],[מס'']])</f>
        <v>167</v>
      </c>
      <c r="C170" s="12">
        <f ca="1">IF(ValuesEntered,IF(הפחתה23[[#This Row],[מס'']]&lt;=תקופת_ההלוואה,IF(ROW()-ROW(הפחתה[[#Headers],[תאריך]])=1,LoanStart,IF(I169&gt;0,EDATE(C169,1),"")),""),"")</f>
        <v>50437</v>
      </c>
      <c r="D170" s="13">
        <f ca="1">SUM(הפחתה[[#This Row],[יתרת פתיחה]],הפחתה5[[#This Row],[יתרת פתיחה]],הפחתה7[[#This Row],[יתרת פתיחה]],הפחתה8[[#This Row],[יתרת פתיחה]])</f>
        <v>679047.89872948441</v>
      </c>
      <c r="E170" s="13">
        <f ca="1">SUM(הפחתה[[#This Row],[ריבית]],הפחתה5[[#This Row],[ריבית]],הפחתה7[[#This Row],[ריבית]],הפחתה8[[#This Row],[ריבית]])</f>
        <v>2728.8148576432673</v>
      </c>
      <c r="F170" s="13">
        <f ca="1">SUM(הפחתה[[#This Row],[קרן]],הפחתה5[[#This Row],[קרן]],הפחתה7[[#This Row],[קרן]],הפחתה8[[#This Row],[קרן]])</f>
        <v>2872.8125465703451</v>
      </c>
      <c r="G170" s="13">
        <f ca="1">IF(הפחתה23[[#This Row],[תאריך]]="",0,PropertyTaxAmount)</f>
        <v>0</v>
      </c>
      <c r="H170" s="13">
        <f ca="1">IF(הפחתה23[[#This Row],[תאריך]]="",0,הפחתה23[[#This Row],[ריבית]]+הפחתה23[[#This Row],[קרן]]+הפחתה23[[#This Row],[מס
רכוש]])</f>
        <v>5601.627404213612</v>
      </c>
      <c r="I170" s="13">
        <f ca="1">IF(הפחתה23[[#This Row],[תאריך]]="",0,הפחתה23[[#This Row],[יתרת פתיחה]]-הפחתה23[[#This Row],[קרן]])</f>
        <v>676175.08618291409</v>
      </c>
      <c r="J170" s="11">
        <f ca="1">MAX(הפחתה[[#This Row],[תשלומים
שנותרו]],הפחתה5[[#This Row],[תשלומים
שנותרו]],הפחתה7[[#This Row],[תשלומים
שנותרו]],הפחתה8[[#This Row],[תשלומים
שנותרו]])</f>
        <v>193</v>
      </c>
    </row>
    <row r="171" spans="1:10" ht="15" customHeight="1" x14ac:dyDescent="0.25">
      <c r="A171" s="8"/>
      <c r="B171" s="11">
        <f>MAX(הפחתה[[#This Row],[מס'']],הפחתה5[[#This Row],[מס'']],הפחתה7[[#This Row],[מס'']],הפחתה8[[#This Row],[מס'']])</f>
        <v>168</v>
      </c>
      <c r="C171" s="12">
        <f ca="1">IF(ValuesEntered,IF(הפחתה23[[#This Row],[מס'']]&lt;=תקופת_ההלוואה,IF(ROW()-ROW(הפחתה[[#Headers],[תאריך]])=1,LoanStart,IF(I170&gt;0,EDATE(C170,1),"")),""),"")</f>
        <v>50465</v>
      </c>
      <c r="D171" s="13">
        <f ca="1">SUM(הפחתה[[#This Row],[יתרת פתיחה]],הפחתה5[[#This Row],[יתרת פתיחה]],הפחתה7[[#This Row],[יתרת פתיחה]],הפחתה8[[#This Row],[יתרת פתיחה]])</f>
        <v>676289.01198450581</v>
      </c>
      <c r="E171" s="13">
        <f ca="1">SUM(הפחתה[[#This Row],[ריבית]],הפחתה5[[#This Row],[ריבית]],הפחתה7[[#This Row],[ריבית]],הפחתה8[[#This Row],[ריבית]])</f>
        <v>2717.9213753007666</v>
      </c>
      <c r="F171" s="13">
        <f ca="1">SUM(הפחתה[[#This Row],[קרן]],הפחתה5[[#This Row],[קרן]],הפחתה7[[#This Row],[קרן]],הפחתה8[[#This Row],[קרן]])</f>
        <v>2884.629984080992</v>
      </c>
      <c r="G171" s="13">
        <f ca="1">IF(הפחתה23[[#This Row],[תאריך]]="",0,PropertyTaxAmount)</f>
        <v>0</v>
      </c>
      <c r="H171" s="13">
        <f ca="1">IF(הפחתה23[[#This Row],[תאריך]]="",0,הפחתה23[[#This Row],[ריבית]]+הפחתה23[[#This Row],[קרן]]+הפחתה23[[#This Row],[מס
רכוש]])</f>
        <v>5602.5513593817586</v>
      </c>
      <c r="I171" s="13">
        <f ca="1">IF(הפחתה23[[#This Row],[תאריך]]="",0,הפחתה23[[#This Row],[יתרת פתיחה]]-הפחתה23[[#This Row],[קרן]])</f>
        <v>673404.38200042478</v>
      </c>
      <c r="J171" s="11">
        <f ca="1">MAX(הפחתה[[#This Row],[תשלומים
שנותרו]],הפחתה5[[#This Row],[תשלומים
שנותרו]],הפחתה7[[#This Row],[תשלומים
שנותרו]],הפחתה8[[#This Row],[תשלומים
שנותרו]])</f>
        <v>192</v>
      </c>
    </row>
    <row r="172" spans="1:10" ht="15" customHeight="1" x14ac:dyDescent="0.25">
      <c r="A172" s="8"/>
      <c r="B172" s="11">
        <f>MAX(הפחתה[[#This Row],[מס'']],הפחתה5[[#This Row],[מס'']],הפחתה7[[#This Row],[מס'']],הפחתה8[[#This Row],[מס'']])</f>
        <v>169</v>
      </c>
      <c r="C172" s="12">
        <f ca="1">IF(ValuesEntered,IF(הפחתה23[[#This Row],[מס'']]&lt;=תקופת_ההלוואה,IF(ROW()-ROW(הפחתה[[#Headers],[תאריך]])=1,LoanStart,IF(I171&gt;0,EDATE(C171,1),"")),""),"")</f>
        <v>50496</v>
      </c>
      <c r="D172" s="13">
        <f ca="1">SUM(הפחתה[[#This Row],[יתרת פתיחה]],הפחתה5[[#This Row],[יתרת פתיחה]],הפחתה7[[#This Row],[יתרת פתיחה]],הפחתה8[[#This Row],[יתרת פתיחה]])</f>
        <v>673517.75118631357</v>
      </c>
      <c r="E172" s="13">
        <f ca="1">SUM(הפחתה[[#This Row],[ריבית]],הפחתה5[[#This Row],[ריבית]],הפחתה7[[#This Row],[ריבית]],הפחתה8[[#This Row],[ריבית]])</f>
        <v>2706.9804337220462</v>
      </c>
      <c r="F172" s="13">
        <f ca="1">SUM(הפחתה[[#This Row],[קרן]],הפחתה5[[#This Row],[קרן]],הפחתה7[[#This Row],[קרן]],הפחתה8[[#This Row],[קרן]])</f>
        <v>2896.4963641379059</v>
      </c>
      <c r="G172" s="13">
        <f ca="1">IF(הפחתה23[[#This Row],[תאריך]]="",0,PropertyTaxAmount)</f>
        <v>0</v>
      </c>
      <c r="H172" s="13">
        <f ca="1">IF(הפחתה23[[#This Row],[תאריך]]="",0,הפחתה23[[#This Row],[ריבית]]+הפחתה23[[#This Row],[קרן]]+הפחתה23[[#This Row],[מס
רכוש]])</f>
        <v>5603.4767978599521</v>
      </c>
      <c r="I172" s="13">
        <f ca="1">IF(הפחתה23[[#This Row],[תאריך]]="",0,הפחתה23[[#This Row],[יתרת פתיחה]]-הפחתה23[[#This Row],[קרן]])</f>
        <v>670621.25482217572</v>
      </c>
      <c r="J172" s="11">
        <f ca="1">MAX(הפחתה[[#This Row],[תשלומים
שנותרו]],הפחתה5[[#This Row],[תשלומים
שנותרו]],הפחתה7[[#This Row],[תשלומים
שנותרו]],הפחתה8[[#This Row],[תשלומים
שנותרו]])</f>
        <v>191</v>
      </c>
    </row>
    <row r="173" spans="1:10" ht="15" customHeight="1" x14ac:dyDescent="0.25">
      <c r="A173" s="8"/>
      <c r="B173" s="11">
        <f>MAX(הפחתה[[#This Row],[מס'']],הפחתה5[[#This Row],[מס'']],הפחתה7[[#This Row],[מס'']],הפחתה8[[#This Row],[מס'']])</f>
        <v>170</v>
      </c>
      <c r="C173" s="12">
        <f ca="1">IF(ValuesEntered,IF(הפחתה23[[#This Row],[מס'']]&lt;=תקופת_ההלוואה,IF(ROW()-ROW(הפחתה[[#Headers],[תאריך]])=1,LoanStart,IF(I172&gt;0,EDATE(C172,1),"")),""),"")</f>
        <v>50526</v>
      </c>
      <c r="D173" s="13">
        <f ca="1">SUM(הפחתה[[#This Row],[יתרת פתיחה]],הפחתה5[[#This Row],[יתרת פתיחה]],הפחתה7[[#This Row],[יתרת פתיחה]],הפחתה8[[#This Row],[יתרת פתיחה]])</f>
        <v>670734.06377913279</v>
      </c>
      <c r="E173" s="13">
        <f ca="1">SUM(הפחתה[[#This Row],[ריבית]],הפחתה5[[#This Row],[ריבית]],הפחתה7[[#This Row],[ריבית]],הפחתה8[[#This Row],[ריבית]])</f>
        <v>2695.9918312988675</v>
      </c>
      <c r="F173" s="13">
        <f ca="1">SUM(הפחתה[[#This Row],[קרן]],הפחתה5[[#This Row],[קרן]],הפחתה7[[#This Row],[קרן]],הפחתה8[[#This Row],[קרן]])</f>
        <v>2908.4118913505445</v>
      </c>
      <c r="G173" s="13">
        <f ca="1">IF(הפחתה23[[#This Row],[תאריך]]="",0,PropertyTaxAmount)</f>
        <v>0</v>
      </c>
      <c r="H173" s="13">
        <f ca="1">IF(הפחתה23[[#This Row],[תאריך]]="",0,הפחתה23[[#This Row],[ריבית]]+הפחתה23[[#This Row],[קרן]]+הפחתה23[[#This Row],[מס
רכוש]])</f>
        <v>5604.403722649412</v>
      </c>
      <c r="I173" s="13">
        <f ca="1">IF(הפחתה23[[#This Row],[תאריך]]="",0,הפחתה23[[#This Row],[יתרת פתיחה]]-הפחתה23[[#This Row],[קרן]])</f>
        <v>667825.65188778227</v>
      </c>
      <c r="J173" s="11">
        <f ca="1">MAX(הפחתה[[#This Row],[תשלומים
שנותרו]],הפחתה5[[#This Row],[תשלומים
שנותרו]],הפחתה7[[#This Row],[תשלומים
שנותרו]],הפחתה8[[#This Row],[תשלומים
שנותרו]])</f>
        <v>190</v>
      </c>
    </row>
    <row r="174" spans="1:10" ht="15" customHeight="1" x14ac:dyDescent="0.25">
      <c r="A174" s="8"/>
      <c r="B174" s="11">
        <f>MAX(הפחתה[[#This Row],[מס'']],הפחתה5[[#This Row],[מס'']],הפחתה7[[#This Row],[מס'']],הפחתה8[[#This Row],[מס'']])</f>
        <v>171</v>
      </c>
      <c r="C174" s="12">
        <f ca="1">IF(ValuesEntered,IF(הפחתה23[[#This Row],[מס'']]&lt;=תקופת_ההלוואה,IF(ROW()-ROW(הפחתה[[#Headers],[תאריך]])=1,LoanStart,IF(I173&gt;0,EDATE(C173,1),"")),""),"")</f>
        <v>50557</v>
      </c>
      <c r="D174" s="13">
        <f ca="1">SUM(הפחתה[[#This Row],[יתרת פתיחה]],הפחתה5[[#This Row],[יתרת פתיחה]],הפחתה7[[#This Row],[יתרת פתיחה]],הפחתה8[[#This Row],[יתרת פתיחה]])</f>
        <v>667937.89698682423</v>
      </c>
      <c r="E174" s="13">
        <f ca="1">SUM(הפחתה[[#This Row],[ריבית]],הפחתה5[[#This Row],[ריבית]],הפחתה7[[#This Row],[ריבית]],הפחתה8[[#This Row],[ריבית]])</f>
        <v>2684.9553655706732</v>
      </c>
      <c r="F174" s="13">
        <f ca="1">SUM(הפחתה[[#This Row],[קרן]],הפחתה5[[#This Row],[קרן]],הפחתה7[[#This Row],[קרן]],הפחתה8[[#This Row],[קרן]])</f>
        <v>2920.3767712076724</v>
      </c>
      <c r="G174" s="13">
        <f ca="1">IF(הפחתה23[[#This Row],[תאריך]]="",0,PropertyTaxAmount)</f>
        <v>0</v>
      </c>
      <c r="H174" s="13">
        <f ca="1">IF(הפחתה23[[#This Row],[תאריך]]="",0,הפחתה23[[#This Row],[ריבית]]+הפחתה23[[#This Row],[קרן]]+הפחתה23[[#This Row],[מס
רכוש]])</f>
        <v>5605.3321367783456</v>
      </c>
      <c r="I174" s="13">
        <f ca="1">IF(הפחתה23[[#This Row],[תאריך]]="",0,הפחתה23[[#This Row],[יתרת פתיחה]]-הפחתה23[[#This Row],[קרן]])</f>
        <v>665017.52021561656</v>
      </c>
      <c r="J174" s="11">
        <f ca="1">MAX(הפחתה[[#This Row],[תשלומים
שנותרו]],הפחתה5[[#This Row],[תשלומים
שנותרו]],הפחתה7[[#This Row],[תשלומים
שנותרו]],הפחתה8[[#This Row],[תשלומים
שנותרו]])</f>
        <v>189</v>
      </c>
    </row>
    <row r="175" spans="1:10" ht="15" customHeight="1" x14ac:dyDescent="0.25">
      <c r="A175" s="8"/>
      <c r="B175" s="11">
        <f>MAX(הפחתה[[#This Row],[מס'']],הפחתה5[[#This Row],[מס'']],הפחתה7[[#This Row],[מס'']],הפחתה8[[#This Row],[מס'']])</f>
        <v>172</v>
      </c>
      <c r="C175" s="12">
        <f ca="1">IF(ValuesEntered,IF(הפחתה23[[#This Row],[מס'']]&lt;=תקופת_ההלוואה,IF(ROW()-ROW(הפחתה[[#Headers],[תאריך]])=1,LoanStart,IF(I174&gt;0,EDATE(C174,1),"")),""),"")</f>
        <v>50587</v>
      </c>
      <c r="D175" s="13">
        <f ca="1">SUM(הפחתה[[#This Row],[יתרת פתיחה]],הפחתה5[[#This Row],[יתרת פתיחה]],הפחתה7[[#This Row],[יתרת פתיחה]],הפחתה8[[#This Row],[יתרת פתיחה]])</f>
        <v>665129.19781194336</v>
      </c>
      <c r="E175" s="13">
        <f ca="1">SUM(הפחתה[[#This Row],[ריבית]],הפחתה5[[#This Row],[ריבית]],הפחתה7[[#This Row],[ריבית]],הפחתה8[[#This Row],[ריבית]])</f>
        <v>2673.8708332209389</v>
      </c>
      <c r="F175" s="13">
        <f ca="1">SUM(הפחתה[[#This Row],[קרן]],הפחתה5[[#This Row],[קרן]],הפחתה7[[#This Row],[קרן]],הפחתה8[[#This Row],[קרן]])</f>
        <v>2932.3912100817865</v>
      </c>
      <c r="G175" s="13">
        <f ca="1">IF(הפחתה23[[#This Row],[תאריך]]="",0,PropertyTaxAmount)</f>
        <v>0</v>
      </c>
      <c r="H175" s="13">
        <f ca="1">IF(הפחתה23[[#This Row],[תאריך]]="",0,הפחתה23[[#This Row],[ריבית]]+הפחתה23[[#This Row],[קרן]]+הפחתה23[[#This Row],[מס
רכוש]])</f>
        <v>5606.2620433027259</v>
      </c>
      <c r="I175" s="13">
        <f ca="1">IF(הפחתה23[[#This Row],[תאריך]]="",0,הפחתה23[[#This Row],[יתרת פתיחה]]-הפחתה23[[#This Row],[קרן]])</f>
        <v>662196.80660186161</v>
      </c>
      <c r="J175" s="11">
        <f ca="1">MAX(הפחתה[[#This Row],[תשלומים
שנותרו]],הפחתה5[[#This Row],[תשלומים
שנותרו]],הפחתה7[[#This Row],[תשלומים
שנותרו]],הפחתה8[[#This Row],[תשלומים
שנותרו]])</f>
        <v>188</v>
      </c>
    </row>
    <row r="176" spans="1:10" ht="15" customHeight="1" x14ac:dyDescent="0.25">
      <c r="A176" s="8"/>
      <c r="B176" s="11">
        <f>MAX(הפחתה[[#This Row],[מס'']],הפחתה5[[#This Row],[מס'']],הפחתה7[[#This Row],[מס'']],הפחתה8[[#This Row],[מס'']])</f>
        <v>173</v>
      </c>
      <c r="C176" s="12">
        <f ca="1">IF(ValuesEntered,IF(הפחתה23[[#This Row],[מס'']]&lt;=תקופת_ההלוואה,IF(ROW()-ROW(הפחתה[[#Headers],[תאריך]])=1,LoanStart,IF(I175&gt;0,EDATE(C175,1),"")),""),"")</f>
        <v>50618</v>
      </c>
      <c r="D176" s="13">
        <f ca="1">SUM(הפחתה[[#This Row],[יתרת פתיחה]],הפחתה5[[#This Row],[יתרת פתיחה]],הפחתה7[[#This Row],[יתרת פתיחה]],הפחתה8[[#This Row],[יתרת פתיחה]])</f>
        <v>662307.91303479264</v>
      </c>
      <c r="E176" s="13">
        <f ca="1">SUM(הפחתה[[#This Row],[ריבית]],הפחתה5[[#This Row],[ריבית]],הפחתה7[[#This Row],[ריבית]],הפחתה8[[#This Row],[ריבית]])</f>
        <v>2662.7380300735163</v>
      </c>
      <c r="F176" s="13">
        <f ca="1">SUM(הפחתה[[#This Row],[קרן]],הפחתה5[[#This Row],[קרן]],הפחתה7[[#This Row],[קרן]],הפחתה8[[#This Row],[קרן]])</f>
        <v>2944.4554152335927</v>
      </c>
      <c r="G176" s="13">
        <f ca="1">IF(הפחתה23[[#This Row],[תאריך]]="",0,PropertyTaxAmount)</f>
        <v>0</v>
      </c>
      <c r="H176" s="13">
        <f ca="1">IF(הפחתה23[[#This Row],[תאריך]]="",0,הפחתה23[[#This Row],[ריבית]]+הפחתה23[[#This Row],[קרן]]+הפחתה23[[#This Row],[מס
רכוש]])</f>
        <v>5607.193445307109</v>
      </c>
      <c r="I176" s="13">
        <f ca="1">IF(הפחתה23[[#This Row],[תאריך]]="",0,הפחתה23[[#This Row],[יתרת פתיחה]]-הפחתה23[[#This Row],[קרן]])</f>
        <v>659363.45761955902</v>
      </c>
      <c r="J176" s="11">
        <f ca="1">MAX(הפחתה[[#This Row],[תשלומים
שנותרו]],הפחתה5[[#This Row],[תשלומים
שנותרו]],הפחתה7[[#This Row],[תשלומים
שנותרו]],הפחתה8[[#This Row],[תשלומים
שנותרו]])</f>
        <v>187</v>
      </c>
    </row>
    <row r="177" spans="1:10" ht="15" customHeight="1" x14ac:dyDescent="0.25">
      <c r="A177" s="8"/>
      <c r="B177" s="11">
        <f>MAX(הפחתה[[#This Row],[מס'']],הפחתה5[[#This Row],[מס'']],הפחתה7[[#This Row],[מס'']],הפחתה8[[#This Row],[מס'']])</f>
        <v>174</v>
      </c>
      <c r="C177" s="12">
        <f ca="1">IF(ValuesEntered,IF(הפחתה23[[#This Row],[מס'']]&lt;=תקופת_ההלוואה,IF(ROW()-ROW(הפחתה[[#Headers],[תאריך]])=1,LoanStart,IF(I176&gt;0,EDATE(C176,1),"")),""),"")</f>
        <v>50649</v>
      </c>
      <c r="D177" s="13">
        <f ca="1">SUM(הפחתה[[#This Row],[יתרת פתיחה]],הפחתה5[[#This Row],[יתרת פתיחה]],הפחתה7[[#This Row],[יתרת פתיחה]],הפחתה8[[#This Row],[יתרת פתיחה]])</f>
        <v>659473.98921247013</v>
      </c>
      <c r="E177" s="13">
        <f ca="1">SUM(הפחתה[[#This Row],[ריבית]],הפחתה5[[#This Row],[ריבית]],הפחתה7[[#This Row],[ריבית]],הפחתה8[[#This Row],[ריבית]])</f>
        <v>2651.5567510889491</v>
      </c>
      <c r="F177" s="13">
        <f ca="1">SUM(הפחתה[[#This Row],[קרן]],הפחתה5[[#This Row],[קרן]],הפחתה7[[#This Row],[קרן]],הפחתה8[[#This Row],[קרן]])</f>
        <v>2956.5695948165367</v>
      </c>
      <c r="G177" s="13">
        <f ca="1">IF(הפחתה23[[#This Row],[תאריך]]="",0,PropertyTaxAmount)</f>
        <v>0</v>
      </c>
      <c r="H177" s="13">
        <f ca="1">IF(הפחתה23[[#This Row],[תאריך]]="",0,הפחתה23[[#This Row],[ריבית]]+הפחתה23[[#This Row],[קרן]]+הפחתה23[[#This Row],[מס
רכוש]])</f>
        <v>5608.1263459054862</v>
      </c>
      <c r="I177" s="13">
        <f ca="1">IF(הפחתה23[[#This Row],[תאריך]]="",0,הפחתה23[[#This Row],[יתרת פתיחה]]-הפחתה23[[#This Row],[קרן]])</f>
        <v>656517.41961765359</v>
      </c>
      <c r="J177" s="11">
        <f ca="1">MAX(הפחתה[[#This Row],[תשלומים
שנותרו]],הפחתה5[[#This Row],[תשלומים
שנותרו]],הפחתה7[[#This Row],[תשלומים
שנותרו]],הפחתה8[[#This Row],[תשלומים
שנותרו]])</f>
        <v>186</v>
      </c>
    </row>
    <row r="178" spans="1:10" ht="15" customHeight="1" x14ac:dyDescent="0.25">
      <c r="A178" s="8"/>
      <c r="B178" s="11">
        <f>MAX(הפחתה[[#This Row],[מס'']],הפחתה5[[#This Row],[מס'']],הפחתה7[[#This Row],[מס'']],הפחתה8[[#This Row],[מס'']])</f>
        <v>175</v>
      </c>
      <c r="C178" s="12">
        <f ca="1">IF(ValuesEntered,IF(הפחתה23[[#This Row],[מס'']]&lt;=תקופת_ההלוואה,IF(ROW()-ROW(הפחתה[[#Headers],[תאריך]])=1,LoanStart,IF(I177&gt;0,EDATE(C177,1),"")),""),"")</f>
        <v>50679</v>
      </c>
      <c r="D178" s="13">
        <f ca="1">SUM(הפחתה[[#This Row],[יתרת פתיחה]],הפחתה5[[#This Row],[יתרת פתיחה]],הפחתה7[[#This Row],[יתרת פתיחה]],הפחתה8[[#This Row],[יתרת פתיחה]])</f>
        <v>656627.37267791375</v>
      </c>
      <c r="E178" s="13">
        <f ca="1">SUM(הפחתה[[#This Row],[ריבית]],הפחתה5[[#This Row],[ריבית]],הפחתה7[[#This Row],[ריבית]],הפחתה8[[#This Row],[ריבית]])</f>
        <v>2640.3267903607812</v>
      </c>
      <c r="F178" s="13">
        <f ca="1">SUM(הפחתה[[#This Row],[קרן]],הפחתה5[[#This Row],[קרן]],הפחתה7[[#This Row],[קרן]],הפחתה8[[#This Row],[קרן]])</f>
        <v>2968.7339578813785</v>
      </c>
      <c r="G178" s="13">
        <f ca="1">IF(הפחתה23[[#This Row],[תאריך]]="",0,PropertyTaxAmount)</f>
        <v>0</v>
      </c>
      <c r="H178" s="13">
        <f ca="1">IF(הפחתה23[[#This Row],[תאריך]]="",0,הפחתה23[[#This Row],[ריבית]]+הפחתה23[[#This Row],[קרן]]+הפחתה23[[#This Row],[מס
רכוש]])</f>
        <v>5609.0607482421601</v>
      </c>
      <c r="I178" s="13">
        <f ca="1">IF(הפחתה23[[#This Row],[תאריך]]="",0,הפחתה23[[#This Row],[יתרת פתיחה]]-הפחתה23[[#This Row],[קרן]])</f>
        <v>653658.63872003241</v>
      </c>
      <c r="J178" s="11">
        <f ca="1">MAX(הפחתה[[#This Row],[תשלומים
שנותרו]],הפחתה5[[#This Row],[תשלומים
שנותרו]],הפחתה7[[#This Row],[תשלומים
שנותרו]],הפחתה8[[#This Row],[תשלומים
שנותרו]])</f>
        <v>185</v>
      </c>
    </row>
    <row r="179" spans="1:10" ht="15" customHeight="1" x14ac:dyDescent="0.25">
      <c r="A179" s="8"/>
      <c r="B179" s="11">
        <f>MAX(הפחתה[[#This Row],[מס'']],הפחתה5[[#This Row],[מס'']],הפחתה7[[#This Row],[מס'']],הפחתה8[[#This Row],[מס'']])</f>
        <v>176</v>
      </c>
      <c r="C179" s="12">
        <f ca="1">IF(ValuesEntered,IF(הפחתה23[[#This Row],[מס'']]&lt;=תקופת_ההלוואה,IF(ROW()-ROW(הפחתה[[#Headers],[תאריך]])=1,LoanStart,IF(I178&gt;0,EDATE(C178,1),"")),""),"")</f>
        <v>50710</v>
      </c>
      <c r="D179" s="13">
        <f ca="1">SUM(הפחתה[[#This Row],[יתרת פתיחה]],הפחתה5[[#This Row],[יתרת פתיחה]],הפחתה7[[#This Row],[יתרת פתיחה]],הפחתה8[[#This Row],[יתרת פתיחה]])</f>
        <v>653768.00953893852</v>
      </c>
      <c r="E179" s="13">
        <f ca="1">SUM(הפחתה[[#This Row],[ריבית]],הפחתה5[[#This Row],[ריבית]],הפחתה7[[#This Row],[ריבית]],הפחתה8[[#This Row],[ריבית]])</f>
        <v>2629.0479411118372</v>
      </c>
      <c r="F179" s="13">
        <f ca="1">SUM(הפחתה[[#This Row],[קרן]],הפחתה5[[#This Row],[קרן]],הפחתה7[[#This Row],[קרן]],הפחתה8[[#This Row],[קרן]])</f>
        <v>2980.948714380826</v>
      </c>
      <c r="G179" s="13">
        <f ca="1">IF(הפחתה23[[#This Row],[תאריך]]="",0,PropertyTaxAmount)</f>
        <v>0</v>
      </c>
      <c r="H179" s="13">
        <f ca="1">IF(הפחתה23[[#This Row],[תאריך]]="",0,הפחתה23[[#This Row],[ריבית]]+הפחתה23[[#This Row],[קרן]]+הפחתה23[[#This Row],[מס
רכוש]])</f>
        <v>5609.9966554926632</v>
      </c>
      <c r="I179" s="13">
        <f ca="1">IF(הפחתה23[[#This Row],[תאריך]]="",0,הפחתה23[[#This Row],[יתרת פתיחה]]-הפחתה23[[#This Row],[קרן]])</f>
        <v>650787.06082455767</v>
      </c>
      <c r="J179" s="11">
        <f ca="1">MAX(הפחתה[[#This Row],[תשלומים
שנותרו]],הפחתה5[[#This Row],[תשלומים
שנותרו]],הפחתה7[[#This Row],[תשלומים
שנותרו]],הפחתה8[[#This Row],[תשלומים
שנותרו]])</f>
        <v>184</v>
      </c>
    </row>
    <row r="180" spans="1:10" ht="15" customHeight="1" x14ac:dyDescent="0.25">
      <c r="A180" s="8"/>
      <c r="B180" s="11">
        <f>MAX(הפחתה[[#This Row],[מס'']],הפחתה5[[#This Row],[מס'']],הפחתה7[[#This Row],[מס'']],הפחתה8[[#This Row],[מס'']])</f>
        <v>177</v>
      </c>
      <c r="C180" s="12">
        <f ca="1">IF(ValuesEntered,IF(הפחתה23[[#This Row],[מס'']]&lt;=תקופת_ההלוואה,IF(ROW()-ROW(הפחתה[[#Headers],[תאריך]])=1,LoanStart,IF(I179&gt;0,EDATE(C179,1),"")),""),"")</f>
        <v>50740</v>
      </c>
      <c r="D180" s="13">
        <f ca="1">SUM(הפחתה[[#This Row],[יתרת פתיחה]],הפחתה5[[#This Row],[יתרת פתיחה]],הפחתה7[[#This Row],[יתרת פתיחה]],הפחתה8[[#This Row],[יתרת פתיחה]])</f>
        <v>650895.84567727149</v>
      </c>
      <c r="E180" s="13">
        <f ca="1">SUM(הפחתה[[#This Row],[ריבית]],הפחתה5[[#This Row],[ריבית]],הפחתה7[[#This Row],[ריבית]],הפחתה8[[#This Row],[ריבית]])</f>
        <v>2617.7199956904983</v>
      </c>
      <c r="F180" s="13">
        <f ca="1">SUM(הפחתה[[#This Row],[קרן]],הפחתה5[[#This Row],[קרן]],הפחתה7[[#This Row],[קרן]],הפחתה8[[#This Row],[קרן]])</f>
        <v>2993.2140751742122</v>
      </c>
      <c r="G180" s="13">
        <f ca="1">IF(הפחתה23[[#This Row],[תאריך]]="",0,PropertyTaxAmount)</f>
        <v>0</v>
      </c>
      <c r="H180" s="13">
        <f ca="1">IF(הפחתה23[[#This Row],[תאריך]]="",0,הפחתה23[[#This Row],[ריבית]]+הפחתה23[[#This Row],[קרן]]+הפחתה23[[#This Row],[מס
רכוש]])</f>
        <v>5610.9340708647105</v>
      </c>
      <c r="I180" s="13">
        <f ca="1">IF(הפחתה23[[#This Row],[תאריך]]="",0,הפחתה23[[#This Row],[יתרת פתיחה]]-הפחתה23[[#This Row],[קרן]])</f>
        <v>647902.6316020973</v>
      </c>
      <c r="J180" s="11">
        <f ca="1">MAX(הפחתה[[#This Row],[תשלומים
שנותרו]],הפחתה5[[#This Row],[תשלומים
שנותרו]],הפחתה7[[#This Row],[תשלומים
שנותרו]],הפחתה8[[#This Row],[תשלומים
שנותרו]])</f>
        <v>183</v>
      </c>
    </row>
    <row r="181" spans="1:10" ht="15" customHeight="1" x14ac:dyDescent="0.25">
      <c r="A181" s="8"/>
      <c r="B181" s="11">
        <f>MAX(הפחתה[[#This Row],[מס'']],הפחתה5[[#This Row],[מס'']],הפחתה7[[#This Row],[מס'']],הפחתה8[[#This Row],[מס'']])</f>
        <v>178</v>
      </c>
      <c r="C181" s="12">
        <f ca="1">IF(ValuesEntered,IF(הפחתה23[[#This Row],[מס'']]&lt;=תקופת_ההלוואה,IF(ROW()-ROW(הפחתה[[#Headers],[תאריך]])=1,LoanStart,IF(I180&gt;0,EDATE(C180,1),"")),""),"")</f>
        <v>50771</v>
      </c>
      <c r="D181" s="13">
        <f ca="1">SUM(הפחתה[[#This Row],[יתרת פתיחה]],הפחתה5[[#This Row],[יתרת פתיחה]],הפחתה7[[#This Row],[יתרת פתיחה]],הפחתה8[[#This Row],[יתרת פתיחה]])</f>
        <v>648010.82674758043</v>
      </c>
      <c r="E181" s="13">
        <f ca="1">SUM(הפחתה[[#This Row],[ריבית]],הפחתה5[[#This Row],[ריבית]],הפחתה7[[#This Row],[ריבית]],הפחתה8[[#This Row],[ריבית]])</f>
        <v>2606.342745566948</v>
      </c>
      <c r="F181" s="13">
        <f ca="1">SUM(הפחתה[[#This Row],[קרן]],הפחתה5[[#This Row],[קרן]],הפחתה7[[#This Row],[קרן]],הפחתה8[[#This Row],[קרן]])</f>
        <v>3005.5302520322434</v>
      </c>
      <c r="G181" s="13">
        <f ca="1">IF(הפחתה23[[#This Row],[תאריך]]="",0,PropertyTaxAmount)</f>
        <v>0</v>
      </c>
      <c r="H181" s="13">
        <f ca="1">IF(הפחתה23[[#This Row],[תאריך]]="",0,הפחתה23[[#This Row],[ריבית]]+הפחתה23[[#This Row],[קרן]]+הפחתה23[[#This Row],[מס
רכוש]])</f>
        <v>5611.8729975991919</v>
      </c>
      <c r="I181" s="13">
        <f ca="1">IF(הפחתה23[[#This Row],[תאריך]]="",0,הפחתה23[[#This Row],[יתרת פתיחה]]-הפחתה23[[#This Row],[קרן]])</f>
        <v>645005.29649554822</v>
      </c>
      <c r="J181" s="11">
        <f ca="1">MAX(הפחתה[[#This Row],[תשלומים
שנותרו]],הפחתה5[[#This Row],[תשלומים
שנותרו]],הפחתה7[[#This Row],[תשלומים
שנותרו]],הפחתה8[[#This Row],[תשלומים
שנותרו]])</f>
        <v>182</v>
      </c>
    </row>
    <row r="182" spans="1:10" ht="15" customHeight="1" x14ac:dyDescent="0.25">
      <c r="A182" s="8"/>
      <c r="B182" s="11">
        <f>MAX(הפחתה[[#This Row],[מס'']],הפחתה5[[#This Row],[מס'']],הפחתה7[[#This Row],[מס'']],הפחתה8[[#This Row],[מס'']])</f>
        <v>179</v>
      </c>
      <c r="C182" s="12">
        <f ca="1">IF(ValuesEntered,IF(הפחתה23[[#This Row],[מס'']]&lt;=תקופת_ההלוואה,IF(ROW()-ROW(הפחתה[[#Headers],[תאריך]])=1,LoanStart,IF(I181&gt;0,EDATE(C181,1),"")),""),"")</f>
        <v>50802</v>
      </c>
      <c r="D182" s="13">
        <f ca="1">SUM(הפחתה[[#This Row],[יתרת פתיחה]],הפחתה5[[#This Row],[יתרת פתיחה]],הפחתה7[[#This Row],[יתרת פתיחה]],הפחתה8[[#This Row],[יתרת פתיחה]])</f>
        <v>645112.89817649708</v>
      </c>
      <c r="E182" s="13">
        <f ca="1">SUM(הפחתה[[#This Row],[ריבית]],הפחתה5[[#This Row],[ריבית]],הפחתה7[[#This Row],[ריבית]],הפחתה8[[#This Row],[ריבית]])</f>
        <v>2594.9159813294063</v>
      </c>
      <c r="F182" s="13">
        <f ca="1">SUM(הפחתה[[#This Row],[קרן]],הפחתה5[[#This Row],[קרן]],הפחתה7[[#This Row],[קרן]],הפחתה8[[#This Row],[קרן]])</f>
        <v>3017.8974576417909</v>
      </c>
      <c r="G182" s="13">
        <f ca="1">IF(הפחתה23[[#This Row],[תאריך]]="",0,PropertyTaxAmount)</f>
        <v>0</v>
      </c>
      <c r="H182" s="13">
        <f ca="1">IF(הפחתה23[[#This Row],[תאריך]]="",0,הפחתה23[[#This Row],[ריבית]]+הפחתה23[[#This Row],[קרן]]+הפחתה23[[#This Row],[מס
רכוש]])</f>
        <v>5612.8134389711977</v>
      </c>
      <c r="I182" s="13">
        <f ca="1">IF(הפחתה23[[#This Row],[תאריך]]="",0,הפחתה23[[#This Row],[יתרת פתיחה]]-הפחתה23[[#This Row],[קרן]])</f>
        <v>642095.0007188553</v>
      </c>
      <c r="J182" s="11">
        <f ca="1">MAX(הפחתה[[#This Row],[תשלומים
שנותרו]],הפחתה5[[#This Row],[תשלומים
שנותרו]],הפחתה7[[#This Row],[תשלומים
שנותרו]],הפחתה8[[#This Row],[תשלומים
שנותרו]])</f>
        <v>181</v>
      </c>
    </row>
    <row r="183" spans="1:10" ht="15" customHeight="1" x14ac:dyDescent="0.25">
      <c r="A183" s="8"/>
      <c r="B183" s="11">
        <f>MAX(הפחתה[[#This Row],[מס'']],הפחתה5[[#This Row],[מס'']],הפחתה7[[#This Row],[מס'']],הפחתה8[[#This Row],[מס'']])</f>
        <v>180</v>
      </c>
      <c r="C183" s="12">
        <f ca="1">IF(ValuesEntered,IF(הפחתה23[[#This Row],[מס'']]&lt;=תקופת_ההלוואה,IF(ROW()-ROW(הפחתה[[#Headers],[תאריך]])=1,LoanStart,IF(I182&gt;0,EDATE(C182,1),"")),""),"")</f>
        <v>50830</v>
      </c>
      <c r="D183" s="13">
        <f ca="1">SUM(הפחתה[[#This Row],[יתרת פתיחה]],הפחתה5[[#This Row],[יתרת פתיחה]],הפחתה7[[#This Row],[יתרת פתיחה]],הפחתה8[[#This Row],[יתרת פתיחה]])</f>
        <v>642202.00516163639</v>
      </c>
      <c r="E183" s="13">
        <f ca="1">SUM(הפחתה[[#This Row],[ריבית]],הפחתה5[[#This Row],[ריבית]],הפחתה7[[#This Row],[ריבית]],הפחתה8[[#This Row],[ריבית]])</f>
        <v>2583.4394926803479</v>
      </c>
      <c r="F183" s="13">
        <f ca="1">SUM(הפחתה[[#This Row],[קרן]],הפחתה5[[#This Row],[קרן]],הפחתה7[[#This Row],[קרן]],הפחתה8[[#This Row],[קרן]])</f>
        <v>3030.3159056107561</v>
      </c>
      <c r="G183" s="13">
        <f ca="1">IF(הפחתה23[[#This Row],[תאריך]]="",0,PropertyTaxAmount)</f>
        <v>0</v>
      </c>
      <c r="H183" s="13">
        <f ca="1">IF(הפחתה23[[#This Row],[תאריך]]="",0,הפחתה23[[#This Row],[ריבית]]+הפחתה23[[#This Row],[קרן]]+הפחתה23[[#This Row],[מס
רכוש]])</f>
        <v>5613.755398291104</v>
      </c>
      <c r="I183" s="13">
        <f ca="1">IF(הפחתה23[[#This Row],[תאריך]]="",0,הפחתה23[[#This Row],[יתרת פתיחה]]-הפחתה23[[#This Row],[קרן]])</f>
        <v>639171.68925602559</v>
      </c>
      <c r="J183" s="11">
        <f ca="1">MAX(הפחתה[[#This Row],[תשלומים
שנותרו]],הפחתה5[[#This Row],[תשלומים
שנותרו]],הפחתה7[[#This Row],[תשלומים
שנותרו]],הפחתה8[[#This Row],[תשלומים
שנותרו]])</f>
        <v>180</v>
      </c>
    </row>
    <row r="184" spans="1:10" ht="15" customHeight="1" x14ac:dyDescent="0.25">
      <c r="A184" s="8"/>
      <c r="B184" s="11">
        <f>MAX(הפחתה[[#This Row],[מס'']],הפחתה5[[#This Row],[מס'']],הפחתה7[[#This Row],[מס'']],הפחתה8[[#This Row],[מס'']])</f>
        <v>181</v>
      </c>
      <c r="C184" s="12">
        <f ca="1">IF(ValuesEntered,IF(הפחתה23[[#This Row],[מס'']]&lt;=תקופת_ההלוואה,IF(ROW()-ROW(הפחתה[[#Headers],[תאריך]])=1,LoanStart,IF(I183&gt;0,EDATE(C183,1),"")),""),"")</f>
        <v>50861</v>
      </c>
      <c r="D184" s="13">
        <f ca="1">SUM(הפחתה[[#This Row],[יתרת פתיחה]],הפחתה5[[#This Row],[יתרת פתיחה]],הפחתה7[[#This Row],[יתרת פתיחה]],הפחתה8[[#This Row],[יתרת פתיחה]])</f>
        <v>639278.09267060971</v>
      </c>
      <c r="E184" s="13">
        <f ca="1">SUM(הפחתה[[#This Row],[ריבית]],הפחתה5[[#This Row],[ריבית]],הפחתה7[[#This Row],[ריבית]],הפחתה8[[#This Row],[ריבית]])</f>
        <v>2571.913068432696</v>
      </c>
      <c r="F184" s="13">
        <f ca="1">SUM(הפחתה[[#This Row],[קרן]],הפחתה5[[#This Row],[קרן]],הפחתה7[[#This Row],[קרן]],הפחתה8[[#This Row],[קרן]])</f>
        <v>3042.7858104729894</v>
      </c>
      <c r="G184" s="13">
        <f ca="1">IF(הפחתה23[[#This Row],[תאריך]]="",0,PropertyTaxAmount)</f>
        <v>0</v>
      </c>
      <c r="H184" s="13">
        <f ca="1">IF(הפחתה23[[#This Row],[תאריך]]="",0,הפחתה23[[#This Row],[ריבית]]+הפחתה23[[#This Row],[קרן]]+הפחתה23[[#This Row],[מס
רכוש]])</f>
        <v>5614.698878905685</v>
      </c>
      <c r="I184" s="13">
        <f ca="1">IF(הפחתה23[[#This Row],[תאריך]]="",0,הפחתה23[[#This Row],[יתרת פתיחה]]-הפחתה23[[#This Row],[קרן]])</f>
        <v>636235.30686013668</v>
      </c>
      <c r="J184" s="11">
        <f ca="1">MAX(הפחתה[[#This Row],[תשלומים
שנותרו]],הפחתה5[[#This Row],[תשלומים
שנותרו]],הפחתה7[[#This Row],[תשלומים
שנותרו]],הפחתה8[[#This Row],[תשלומים
שנותרו]])</f>
        <v>179</v>
      </c>
    </row>
    <row r="185" spans="1:10" ht="15" customHeight="1" x14ac:dyDescent="0.25">
      <c r="A185" s="8"/>
      <c r="B185" s="11">
        <f>MAX(הפחתה[[#This Row],[מס'']],הפחתה5[[#This Row],[מס'']],הפחתה7[[#This Row],[מס'']],הפחתה8[[#This Row],[מס'']])</f>
        <v>182</v>
      </c>
      <c r="C185" s="12">
        <f ca="1">IF(ValuesEntered,IF(הפחתה23[[#This Row],[מס'']]&lt;=תקופת_ההלוואה,IF(ROW()-ROW(הפחתה[[#Headers],[תאריך]])=1,LoanStart,IF(I184&gt;0,EDATE(C184,1),"")),""),"")</f>
        <v>50891</v>
      </c>
      <c r="D185" s="13">
        <f ca="1">SUM(הפחתה[[#This Row],[יתרת פתיחה]],הפחתה5[[#This Row],[יתרת פתיחה]],הפחתה7[[#This Row],[יתרת פתיחה]],הפחתה8[[#This Row],[יתרת פתיחה]])</f>
        <v>636341.1054400329</v>
      </c>
      <c r="E185" s="13">
        <f ca="1">SUM(הפחתה[[#This Row],[ריבית]],הפחתה5[[#This Row],[ריבית]],הפחתה7[[#This Row],[ריבית]],הפחתה8[[#This Row],[ריבית]])</f>
        <v>2560.3364965060036</v>
      </c>
      <c r="F185" s="13">
        <f ca="1">SUM(הפחתה[[#This Row],[קרן]],הפחתה5[[#This Row],[קרן]],הפחתה7[[#This Row],[קרן]],הפחתה8[[#This Row],[קרן]])</f>
        <v>3055.3073876932735</v>
      </c>
      <c r="G185" s="13">
        <f ca="1">IF(הפחתה23[[#This Row],[תאריך]]="",0,PropertyTaxAmount)</f>
        <v>0</v>
      </c>
      <c r="H185" s="13">
        <f ca="1">IF(הפחתה23[[#This Row],[תאריך]]="",0,הפחתה23[[#This Row],[ריבית]]+הפחתה23[[#This Row],[קרן]]+הפחתה23[[#This Row],[מס
רכוש]])</f>
        <v>5615.6438841992767</v>
      </c>
      <c r="I185" s="13">
        <f ca="1">IF(הפחתה23[[#This Row],[תאריך]]="",0,הפחתה23[[#This Row],[יתרת פתיחה]]-הפחתה23[[#This Row],[קרן]])</f>
        <v>633285.79805233958</v>
      </c>
      <c r="J185" s="11">
        <f ca="1">MAX(הפחתה[[#This Row],[תשלומים
שנותרו]],הפחתה5[[#This Row],[תשלומים
שנותרו]],הפחתה7[[#This Row],[תשלומים
שנותרו]],הפחתה8[[#This Row],[תשלומים
שנותרו]])</f>
        <v>178</v>
      </c>
    </row>
    <row r="186" spans="1:10" ht="15" customHeight="1" x14ac:dyDescent="0.25">
      <c r="A186" s="8"/>
      <c r="B186" s="11">
        <f>MAX(הפחתה[[#This Row],[מס'']],הפחתה5[[#This Row],[מס'']],הפחתה7[[#This Row],[מס'']],הפחתה8[[#This Row],[מס'']])</f>
        <v>183</v>
      </c>
      <c r="C186" s="12">
        <f ca="1">IF(ValuesEntered,IF(הפחתה23[[#This Row],[מס'']]&lt;=תקופת_ההלוואה,IF(ROW()-ROW(הפחתה[[#Headers],[תאריך]])=1,LoanStart,IF(I185&gt;0,EDATE(C185,1),"")),""),"")</f>
        <v>50922</v>
      </c>
      <c r="D186" s="13">
        <f ca="1">SUM(הפחתה[[#This Row],[יתרת פתיחה]],הפחתה5[[#This Row],[יתרת פתיחה]],הפחתה7[[#This Row],[יתרת פתיחה]],הפחתה8[[#This Row],[יתרת פתיחה]])</f>
        <v>633390.9879745302</v>
      </c>
      <c r="E186" s="13">
        <f ca="1">SUM(הפחתה[[#This Row],[ריבית]],הפחתה5[[#This Row],[ריבית]],הפחתה7[[#This Row],[ריבית]],הפחתה8[[#This Row],[ריבית]])</f>
        <v>2548.7095639226122</v>
      </c>
      <c r="F186" s="13">
        <f ca="1">SUM(הפחתה[[#This Row],[קרן]],הפחתה5[[#This Row],[קרן]],הפחתה7[[#This Row],[קרן]],הפחתה8[[#This Row],[קרן]])</f>
        <v>3067.8808536723873</v>
      </c>
      <c r="G186" s="13">
        <f ca="1">IF(הפחתה23[[#This Row],[תאריך]]="",0,PropertyTaxAmount)</f>
        <v>0</v>
      </c>
      <c r="H186" s="13">
        <f ca="1">IF(הפחתה23[[#This Row],[תאריך]]="",0,הפחתה23[[#This Row],[ריבית]]+הפחתה23[[#This Row],[קרן]]+הפחתה23[[#This Row],[מס
רכוש]])</f>
        <v>5616.590417595</v>
      </c>
      <c r="I186" s="13">
        <f ca="1">IF(הפחתה23[[#This Row],[תאריך]]="",0,הפחתה23[[#This Row],[יתרת פתיחה]]-הפחתה23[[#This Row],[קרן]])</f>
        <v>630323.10712085781</v>
      </c>
      <c r="J186" s="11">
        <f ca="1">MAX(הפחתה[[#This Row],[תשלומים
שנותרו]],הפחתה5[[#This Row],[תשלומים
שנותרו]],הפחתה7[[#This Row],[תשלומים
שנותרו]],הפחתה8[[#This Row],[תשלומים
שנותרו]])</f>
        <v>177</v>
      </c>
    </row>
    <row r="187" spans="1:10" ht="15" customHeight="1" x14ac:dyDescent="0.25">
      <c r="A187" s="8"/>
      <c r="B187" s="11">
        <f>MAX(הפחתה[[#This Row],[מס'']],הפחתה5[[#This Row],[מס'']],הפחתה7[[#This Row],[מס'']],הפחתה8[[#This Row],[מס'']])</f>
        <v>184</v>
      </c>
      <c r="C187" s="12">
        <f ca="1">IF(ValuesEntered,IF(הפחתה23[[#This Row],[מס'']]&lt;=תקופת_ההלוואה,IF(ROW()-ROW(הפחתה[[#Headers],[תאריך]])=1,LoanStart,IF(I186&gt;0,EDATE(C186,1),"")),""),"")</f>
        <v>50952</v>
      </c>
      <c r="D187" s="13">
        <f ca="1">SUM(הפחתה[[#This Row],[יתרת פתיחה]],הפחתה5[[#This Row],[יתרת פתיחה]],הפחתה7[[#This Row],[יתרת פתיחה]],הפחתה8[[#This Row],[יתרת פתיחה]])</f>
        <v>630427.68454573117</v>
      </c>
      <c r="E187" s="13">
        <f ca="1">SUM(הפחתה[[#This Row],[ריבית]],הפחתה5[[#This Row],[ריבית]],הפחתה7[[#This Row],[ריבית]],הפחתה8[[#This Row],[ריבית]])</f>
        <v>2537.0320568037941</v>
      </c>
      <c r="F187" s="13">
        <f ca="1">SUM(הפחתה[[#This Row],[קרן]],הפחתה5[[#This Row],[קרן]],הפחתה7[[#This Row],[קרן]],הפחתה8[[#This Row],[קרן]])</f>
        <v>3080.5064257522208</v>
      </c>
      <c r="G187" s="13">
        <f ca="1">IF(הפחתה23[[#This Row],[תאריך]]="",0,PropertyTaxAmount)</f>
        <v>0</v>
      </c>
      <c r="H187" s="13">
        <f ca="1">IF(הפחתה23[[#This Row],[תאריך]]="",0,הפחתה23[[#This Row],[ריבית]]+הפחתה23[[#This Row],[קרן]]+הפחתה23[[#This Row],[מס
רכוש]])</f>
        <v>5617.538482556015</v>
      </c>
      <c r="I187" s="13">
        <f ca="1">IF(הפחתה23[[#This Row],[תאריך]]="",0,הפחתה23[[#This Row],[יתרת פתיחה]]-הפחתה23[[#This Row],[קרן]])</f>
        <v>627347.17811997898</v>
      </c>
      <c r="J187" s="11">
        <f ca="1">MAX(הפחתה[[#This Row],[תשלומים
שנותרו]],הפחתה5[[#This Row],[תשלומים
שנותרו]],הפחתה7[[#This Row],[תשלומים
שנותרו]],הפחתה8[[#This Row],[תשלומים
שנותרו]])</f>
        <v>176</v>
      </c>
    </row>
    <row r="188" spans="1:10" ht="15" customHeight="1" x14ac:dyDescent="0.25">
      <c r="A188" s="8"/>
      <c r="B188" s="11">
        <f>MAX(הפחתה[[#This Row],[מס'']],הפחתה5[[#This Row],[מס'']],הפחתה7[[#This Row],[מס'']],הפחתה8[[#This Row],[מס'']])</f>
        <v>185</v>
      </c>
      <c r="C188" s="12">
        <f ca="1">IF(ValuesEntered,IF(הפחתה23[[#This Row],[מס'']]&lt;=תקופת_ההלוואה,IF(ROW()-ROW(הפחתה[[#Headers],[תאריך]])=1,LoanStart,IF(I187&gt;0,EDATE(C187,1),"")),""),"")</f>
        <v>50983</v>
      </c>
      <c r="D188" s="13">
        <f ca="1">SUM(הפחתה[[#This Row],[יתרת פתיחה]],הפחתה5[[#This Row],[יתרת פתיחה]],הפחתה7[[#This Row],[יתרת פתיחה]],הפחתה8[[#This Row],[יתרת פתיחה]])</f>
        <v>627451.13919126266</v>
      </c>
      <c r="E188" s="13">
        <f ca="1">SUM(הפחתה[[#This Row],[ריבית]],הפחתה5[[#This Row],[ריבית]],הפחתה7[[#This Row],[ריבית]],הפחתה8[[#This Row],[ריבית]])</f>
        <v>2525.3037603658777</v>
      </c>
      <c r="F188" s="13">
        <f ca="1">SUM(הפחתה[[#This Row],[קרן]],הפחתה5[[#This Row],[קרן]],הפחתה7[[#This Row],[קרן]],הפחתה8[[#This Row],[קרן]])</f>
        <v>3093.1843222209786</v>
      </c>
      <c r="G188" s="13">
        <f ca="1">IF(הפחתה23[[#This Row],[תאריך]]="",0,PropertyTaxAmount)</f>
        <v>0</v>
      </c>
      <c r="H188" s="13">
        <f ca="1">IF(הפחתה23[[#This Row],[תאריך]]="",0,הפחתה23[[#This Row],[ריבית]]+הפחתה23[[#This Row],[קרן]]+הפחתה23[[#This Row],[מס
רכוש]])</f>
        <v>5618.4880825868568</v>
      </c>
      <c r="I188" s="13">
        <f ca="1">IF(הפחתה23[[#This Row],[תאריך]]="",0,הפחתה23[[#This Row],[יתרת פתיחה]]-הפחתה23[[#This Row],[קרן]])</f>
        <v>624357.95486904169</v>
      </c>
      <c r="J188" s="11">
        <f ca="1">MAX(הפחתה[[#This Row],[תשלומים
שנותרו]],הפחתה5[[#This Row],[תשלומים
שנותרו]],הפחתה7[[#This Row],[תשלומים
שנותרו]],הפחתה8[[#This Row],[תשלומים
שנותרו]])</f>
        <v>175</v>
      </c>
    </row>
    <row r="189" spans="1:10" ht="15" customHeight="1" x14ac:dyDescent="0.25">
      <c r="A189" s="8"/>
      <c r="B189" s="11">
        <f>MAX(הפחתה[[#This Row],[מס'']],הפחתה5[[#This Row],[מס'']],הפחתה7[[#This Row],[מס'']],הפחתה8[[#This Row],[מס'']])</f>
        <v>186</v>
      </c>
      <c r="C189" s="12">
        <f ca="1">IF(ValuesEntered,IF(הפחתה23[[#This Row],[מס'']]&lt;=תקופת_ההלוואה,IF(ROW()-ROW(הפחתה[[#Headers],[תאריך]])=1,LoanStart,IF(I188&gt;0,EDATE(C188,1),"")),""),"")</f>
        <v>51014</v>
      </c>
      <c r="D189" s="13">
        <f ca="1">SUM(הפחתה[[#This Row],[יתרת פתיחה]],הפחתה5[[#This Row],[יתרת פתיחה]],הפחתה7[[#This Row],[יתרת פתיחה]],הפחתה8[[#This Row],[יתרת פתיחה]])</f>
        <v>624461.29571373621</v>
      </c>
      <c r="E189" s="13">
        <f ca="1">SUM(הפחתה[[#This Row],[ריבית]],הפחתה5[[#This Row],[ריבית]],הפחתה7[[#This Row],[ריבית]],הפחתה8[[#This Row],[ריבית]])</f>
        <v>2513.5244589163476</v>
      </c>
      <c r="F189" s="13">
        <f ca="1">SUM(הפחתה[[#This Row],[קרן]],הפחתה5[[#This Row],[קרן]],הפחתה7[[#This Row],[קרן]],הפחתה8[[#This Row],[קרן]])</f>
        <v>3105.9147623184508</v>
      </c>
      <c r="G189" s="13">
        <f ca="1">IF(הפחתה23[[#This Row],[תאריך]]="",0,PropertyTaxAmount)</f>
        <v>0</v>
      </c>
      <c r="H189" s="13">
        <f ca="1">IF(הפחתה23[[#This Row],[תאריך]]="",0,הפחתה23[[#This Row],[ריבית]]+הפחתה23[[#This Row],[קרן]]+הפחתה23[[#This Row],[מס
רכוש]])</f>
        <v>5619.4392212347984</v>
      </c>
      <c r="I189" s="13">
        <f ca="1">IF(הפחתה23[[#This Row],[תאריך]]="",0,הפחתה23[[#This Row],[יתרת פתיחה]]-הפחתה23[[#This Row],[קרן]])</f>
        <v>621355.38095141773</v>
      </c>
      <c r="J189" s="11">
        <f ca="1">MAX(הפחתה[[#This Row],[תשלומים
שנותרו]],הפחתה5[[#This Row],[תשלומים
שנותרו]],הפחתה7[[#This Row],[תשלומים
שנותרו]],הפחתה8[[#This Row],[תשלומים
שנותרו]])</f>
        <v>174</v>
      </c>
    </row>
    <row r="190" spans="1:10" ht="15" customHeight="1" x14ac:dyDescent="0.25">
      <c r="A190" s="8"/>
      <c r="B190" s="11">
        <f>MAX(הפחתה[[#This Row],[מס'']],הפחתה5[[#This Row],[מס'']],הפחתה7[[#This Row],[מס'']],הפחתה8[[#This Row],[מס'']])</f>
        <v>187</v>
      </c>
      <c r="C190" s="12">
        <f ca="1">IF(ValuesEntered,IF(הפחתה23[[#This Row],[מס'']]&lt;=תקופת_ההלוואה,IF(ROW()-ROW(הפחתה[[#Headers],[תאריך]])=1,LoanStart,IF(I189&gt;0,EDATE(C189,1),"")),""),"")</f>
        <v>51044</v>
      </c>
      <c r="D190" s="13">
        <f ca="1">SUM(הפחתה[[#This Row],[יתרת פתיחה]],הפחתה5[[#This Row],[יתרת פתיחה]],הפחתה7[[#This Row],[יתרת פתיחה]],הפחתה8[[#This Row],[יתרת פתיחה]])</f>
        <v>621458.09767972911</v>
      </c>
      <c r="E190" s="13">
        <f ca="1">SUM(הפחתה[[#This Row],[ריבית]],הפחתה5[[#This Row],[ריבית]],הפחתה7[[#This Row],[ריבית]],הפחתה8[[#This Row],[ריבית]])</f>
        <v>2501.6939358499317</v>
      </c>
      <c r="F190" s="13">
        <f ca="1">SUM(הפחתה[[#This Row],[קרן]],הפחתה5[[#This Row],[קרן]],הפחתה7[[#This Row],[קרן]],הפחתה8[[#This Row],[קרן]])</f>
        <v>3118.6979662413692</v>
      </c>
      <c r="G190" s="13">
        <f ca="1">IF(הפחתה23[[#This Row],[תאריך]]="",0,PropertyTaxAmount)</f>
        <v>0</v>
      </c>
      <c r="H190" s="13">
        <f ca="1">IF(הפחתה23[[#This Row],[תאריך]]="",0,הפחתה23[[#This Row],[ריבית]]+הפחתה23[[#This Row],[קרן]]+הפחתה23[[#This Row],[מס
רכוש]])</f>
        <v>5620.3919020913008</v>
      </c>
      <c r="I190" s="13">
        <f ca="1">IF(הפחתה23[[#This Row],[תאריך]]="",0,הפחתה23[[#This Row],[יתרת פתיחה]]-הפחתה23[[#This Row],[קרן]])</f>
        <v>618339.39971348771</v>
      </c>
      <c r="J190" s="11">
        <f ca="1">MAX(הפחתה[[#This Row],[תשלומים
שנותרו]],הפחתה5[[#This Row],[תשלומים
שנותרו]],הפחתה7[[#This Row],[תשלומים
שנותרו]],הפחתה8[[#This Row],[תשלומים
שנותרו]])</f>
        <v>173</v>
      </c>
    </row>
    <row r="191" spans="1:10" ht="15" customHeight="1" x14ac:dyDescent="0.25">
      <c r="A191" s="8"/>
      <c r="B191" s="11">
        <f>MAX(הפחתה[[#This Row],[מס'']],הפחתה5[[#This Row],[מס'']],הפחתה7[[#This Row],[מס'']],הפחתה8[[#This Row],[מס'']])</f>
        <v>188</v>
      </c>
      <c r="C191" s="12">
        <f ca="1">IF(ValuesEntered,IF(הפחתה23[[#This Row],[מס'']]&lt;=תקופת_ההלוואה,IF(ROW()-ROW(הפחתה[[#Headers],[תאריך]])=1,LoanStart,IF(I190&gt;0,EDATE(C190,1),"")),""),"")</f>
        <v>51075</v>
      </c>
      <c r="D191" s="13">
        <f ca="1">SUM(הפחתה[[#This Row],[יתרת פתיחה]],הפחתה5[[#This Row],[יתרת פתיחה]],הפחתה7[[#This Row],[יתרת פתיחה]],הפחתה8[[#This Row],[יתרת פתיחה]])</f>
        <v>618441.48841875931</v>
      </c>
      <c r="E191" s="13">
        <f ca="1">SUM(הפחתה[[#This Row],[ריבית]],הפחתה5[[#This Row],[ריבית]],הפחתה7[[#This Row],[ריבית]],הפחתה8[[#This Row],[ריבית]])</f>
        <v>2489.811973644667</v>
      </c>
      <c r="F191" s="13">
        <f ca="1">SUM(הפחתה[[#This Row],[קרן]],הפחתה5[[#This Row],[קרן]],הפחתה7[[#This Row],[קרן]],הפחתה8[[#This Row],[קרן]])</f>
        <v>3131.5341551488436</v>
      </c>
      <c r="G191" s="13">
        <f ca="1">IF(הפחתה23[[#This Row],[תאריך]]="",0,PropertyTaxAmount)</f>
        <v>0</v>
      </c>
      <c r="H191" s="13">
        <f ca="1">IF(הפחתה23[[#This Row],[תאריך]]="",0,הפחתה23[[#This Row],[ריבית]]+הפחתה23[[#This Row],[קרן]]+הפחתה23[[#This Row],[מס
רכוש]])</f>
        <v>5621.3461287935106</v>
      </c>
      <c r="I191" s="13">
        <f ca="1">IF(הפחתה23[[#This Row],[תאריך]]="",0,הפחתה23[[#This Row],[יתרת פתיחה]]-הפחתה23[[#This Row],[קרן]])</f>
        <v>615309.95426361042</v>
      </c>
      <c r="J191" s="11">
        <f ca="1">MAX(הפחתה[[#This Row],[תשלומים
שנותרו]],הפחתה5[[#This Row],[תשלומים
שנותרו]],הפחתה7[[#This Row],[תשלומים
שנותרו]],הפחתה8[[#This Row],[תשלומים
שנותרו]])</f>
        <v>172</v>
      </c>
    </row>
    <row r="192" spans="1:10" ht="15" customHeight="1" x14ac:dyDescent="0.25">
      <c r="A192" s="8"/>
      <c r="B192" s="11">
        <f>MAX(הפחתה[[#This Row],[מס'']],הפחתה5[[#This Row],[מס'']],הפחתה7[[#This Row],[מס'']],הפחתה8[[#This Row],[מס'']])</f>
        <v>189</v>
      </c>
      <c r="C192" s="12">
        <f ca="1">IF(ValuesEntered,IF(הפחתה23[[#This Row],[מס'']]&lt;=תקופת_ההלוואה,IF(ROW()-ROW(הפחתה[[#Headers],[תאריך]])=1,LoanStart,IF(I191&gt;0,EDATE(C191,1),"")),""),"")</f>
        <v>51105</v>
      </c>
      <c r="D192" s="13">
        <f ca="1">SUM(הפחתה[[#This Row],[יתרת פתיחה]],הפחתה5[[#This Row],[יתרת פתיחה]],הפחתה7[[#This Row],[יתרת פתיחה]],הפחתה8[[#This Row],[יתרת פתיחה]])</f>
        <v>615411.41102225566</v>
      </c>
      <c r="E192" s="13">
        <f ca="1">SUM(הפחתה[[#This Row],[ריבית]],הפחתה5[[#This Row],[ריבית]],הפחתה7[[#This Row],[ריבית]],הפחתה8[[#This Row],[ריבית]])</f>
        <v>2477.8783538579437</v>
      </c>
      <c r="F192" s="13">
        <f ca="1">SUM(הפחתה[[#This Row],[קרן]],הפחתה5[[#This Row],[קרן]],הפחתה7[[#This Row],[קרן]],הפחתה8[[#This Row],[קרן]])</f>
        <v>3144.423551167878</v>
      </c>
      <c r="G192" s="13">
        <f ca="1">IF(הפחתה23[[#This Row],[תאריך]]="",0,PropertyTaxAmount)</f>
        <v>0</v>
      </c>
      <c r="H192" s="13">
        <f ca="1">IF(הפחתה23[[#This Row],[תאריך]]="",0,הפחתה23[[#This Row],[ריבית]]+הפחתה23[[#This Row],[קרן]]+הפחתה23[[#This Row],[מס
רכוש]])</f>
        <v>5622.3019050258217</v>
      </c>
      <c r="I192" s="13">
        <f ca="1">IF(הפחתה23[[#This Row],[תאריך]]="",0,הפחתה23[[#This Row],[יתרת פתיחה]]-הפחתה23[[#This Row],[קרן]])</f>
        <v>612266.98747108784</v>
      </c>
      <c r="J192" s="11">
        <f ca="1">MAX(הפחתה[[#This Row],[תשלומים
שנותרו]],הפחתה5[[#This Row],[תשלומים
שנותרו]],הפחתה7[[#This Row],[תשלומים
שנותרו]],הפחתה8[[#This Row],[תשלומים
שנותרו]])</f>
        <v>171</v>
      </c>
    </row>
    <row r="193" spans="1:10" ht="15" customHeight="1" x14ac:dyDescent="0.25">
      <c r="A193" s="8"/>
      <c r="B193" s="11">
        <f>MAX(הפחתה[[#This Row],[מס'']],הפחתה5[[#This Row],[מס'']],הפחתה7[[#This Row],[מס'']],הפחתה8[[#This Row],[מס'']])</f>
        <v>190</v>
      </c>
      <c r="C193" s="12">
        <f ca="1">IF(ValuesEntered,IF(הפחתה23[[#This Row],[מס'']]&lt;=תקופת_ההלוואה,IF(ROW()-ROW(הפחתה[[#Headers],[תאריך]])=1,LoanStart,IF(I192&gt;0,EDATE(C192,1),"")),""),"")</f>
        <v>51136</v>
      </c>
      <c r="D193" s="13">
        <f ca="1">SUM(הפחתה[[#This Row],[יתרת פתיחה]],הפחתה5[[#This Row],[יתרת פתיחה]],הפחתה7[[#This Row],[יתרת פתיחה]],הפחתה8[[#This Row],[יתרת פתיחה]])</f>
        <v>612367.80834252143</v>
      </c>
      <c r="E193" s="13">
        <f ca="1">SUM(הפחתה[[#This Row],[ריבית]],הפחתה5[[#This Row],[ריבית]],הפחתה7[[#This Row],[ריבית]],הפחתה8[[#This Row],[ריבית]])</f>
        <v>2465.8928571225329</v>
      </c>
      <c r="F193" s="13">
        <f ca="1">SUM(הפחתה[[#This Row],[קרן]],הפחתה5[[#This Row],[קרן]],הפחתה7[[#This Row],[קרן]],הפחתה8[[#This Row],[קרן]])</f>
        <v>3157.3663773989924</v>
      </c>
      <c r="G193" s="13">
        <f ca="1">IF(הפחתה23[[#This Row],[תאריך]]="",0,PropertyTaxAmount)</f>
        <v>0</v>
      </c>
      <c r="H193" s="13">
        <f ca="1">IF(הפחתה23[[#This Row],[תאריך]]="",0,הפחתה23[[#This Row],[ריבית]]+הפחתה23[[#This Row],[קרן]]+הפחתה23[[#This Row],[מס
רכוש]])</f>
        <v>5623.2592345215253</v>
      </c>
      <c r="I193" s="13">
        <f ca="1">IF(הפחתה23[[#This Row],[תאריך]]="",0,הפחתה23[[#This Row],[יתרת פתיחה]]-הפחתה23[[#This Row],[קרן]])</f>
        <v>609210.44196512247</v>
      </c>
      <c r="J193" s="11">
        <f ca="1">MAX(הפחתה[[#This Row],[תשלומים
שנותרו]],הפחתה5[[#This Row],[תשלומים
שנותרו]],הפחתה7[[#This Row],[תשלומים
שנותרו]],הפחתה8[[#This Row],[תשלומים
שנותרו]])</f>
        <v>170</v>
      </c>
    </row>
    <row r="194" spans="1:10" ht="15" customHeight="1" x14ac:dyDescent="0.25">
      <c r="A194" s="8"/>
      <c r="B194" s="11">
        <f>MAX(הפחתה[[#This Row],[מס'']],הפחתה5[[#This Row],[מס'']],הפחתה7[[#This Row],[מס'']],הפחתה8[[#This Row],[מס'']])</f>
        <v>191</v>
      </c>
      <c r="C194" s="12">
        <f ca="1">IF(ValuesEntered,IF(הפחתה23[[#This Row],[מס'']]&lt;=תקופת_ההלוואה,IF(ROW()-ROW(הפחתה[[#Headers],[תאריך]])=1,LoanStart,IF(I193&gt;0,EDATE(C193,1),"")),""),"")</f>
        <v>51167</v>
      </c>
      <c r="D194" s="13">
        <f ca="1">SUM(הפחתה[[#This Row],[יתרת פתיחה]],הפחתה5[[#This Row],[יתרת פתיחה]],הפחתה7[[#This Row],[יתרת פתיחה]],הפחתה8[[#This Row],[יתרת פתיחה]])</f>
        <v>609310.62299169216</v>
      </c>
      <c r="E194" s="13">
        <f ca="1">SUM(הפחתה[[#This Row],[ריבית]],הפחתה5[[#This Row],[ריבית]],הפחתה7[[#This Row],[ריבית]],הפחתה8[[#This Row],[ריבית]])</f>
        <v>2453.8552631425905</v>
      </c>
      <c r="F194" s="13">
        <f ca="1">SUM(הפחתה[[#This Row],[קרן]],הפחתה5[[#This Row],[קרן]],הפחתה7[[#This Row],[קרן]],הפחתה8[[#This Row],[קרן]])</f>
        <v>3170.3628579219217</v>
      </c>
      <c r="G194" s="13">
        <f ca="1">IF(הפחתה23[[#This Row],[תאריך]]="",0,PropertyTaxAmount)</f>
        <v>0</v>
      </c>
      <c r="H194" s="13">
        <f ca="1">IF(הפחתה23[[#This Row],[תאריך]]="",0,הפחתה23[[#This Row],[ריבית]]+הפחתה23[[#This Row],[קרן]]+הפחתה23[[#This Row],[מס
רכוש]])</f>
        <v>5624.2181210645122</v>
      </c>
      <c r="I194" s="13">
        <f ca="1">IF(הפחתה23[[#This Row],[תאריך]]="",0,הפחתה23[[#This Row],[יתרת פתיחה]]-הפחתה23[[#This Row],[קרן]])</f>
        <v>606140.26013377029</v>
      </c>
      <c r="J194" s="11">
        <f ca="1">MAX(הפחתה[[#This Row],[תשלומים
שנותרו]],הפחתה5[[#This Row],[תשלומים
שנותרו]],הפחתה7[[#This Row],[תשלומים
שנותרו]],הפחתה8[[#This Row],[תשלומים
שנותרו]])</f>
        <v>169</v>
      </c>
    </row>
    <row r="195" spans="1:10" ht="15" customHeight="1" x14ac:dyDescent="0.25">
      <c r="A195" s="8"/>
      <c r="B195" s="11">
        <f>MAX(הפחתה[[#This Row],[מס'']],הפחתה5[[#This Row],[מס'']],הפחתה7[[#This Row],[מס'']],הפחתה8[[#This Row],[מס'']])</f>
        <v>192</v>
      </c>
      <c r="C195" s="12">
        <f ca="1">IF(ValuesEntered,IF(הפחתה23[[#This Row],[מס'']]&lt;=תקופת_ההלוואה,IF(ROW()-ROW(הפחתה[[#Headers],[תאריך]])=1,LoanStart,IF(I194&gt;0,EDATE(C194,1),"")),""),"")</f>
        <v>51196</v>
      </c>
      <c r="D195" s="13">
        <f ca="1">SUM(הפחתה[[#This Row],[יתרת פתיחה]],הפחתה5[[#This Row],[יתרת פתיחה]],הפחתה7[[#This Row],[יתרת פתיחה]],הפחתה8[[#This Row],[יתרת פתיחה]])</f>
        <v>606239.79734068818</v>
      </c>
      <c r="E195" s="13">
        <f ca="1">SUM(הפחתה[[#This Row],[ריבית]],הפחתה5[[#This Row],[ריבית]],הפחתה7[[#This Row],[ריבית]],הפחתה8[[#This Row],[ריבית]])</f>
        <v>2441.7653506896449</v>
      </c>
      <c r="F195" s="13">
        <f ca="1">SUM(הפחתה[[#This Row],[קרן]],הפחתה5[[#This Row],[קרן]],הפחתה7[[#This Row],[קרן]],הפחתה8[[#This Row],[קרן]])</f>
        <v>3183.4132178014229</v>
      </c>
      <c r="G195" s="13">
        <f ca="1">IF(הפחתה23[[#This Row],[תאריך]]="",0,PropertyTaxAmount)</f>
        <v>0</v>
      </c>
      <c r="H195" s="13">
        <f ca="1">IF(הפחתה23[[#This Row],[תאריך]]="",0,הפחתה23[[#This Row],[ריבית]]+הפחתה23[[#This Row],[קרן]]+הפחתה23[[#This Row],[מס
רכוש]])</f>
        <v>5625.1785684910683</v>
      </c>
      <c r="I195" s="13">
        <f ca="1">IF(הפחתה23[[#This Row],[תאריך]]="",0,הפחתה23[[#This Row],[יתרת פתיחה]]-הפחתה23[[#This Row],[קרן]])</f>
        <v>603056.38412288681</v>
      </c>
      <c r="J195" s="11">
        <f ca="1">MAX(הפחתה[[#This Row],[תשלומים
שנותרו]],הפחתה5[[#This Row],[תשלומים
שנותרו]],הפחתה7[[#This Row],[תשלומים
שנותרו]],הפחתה8[[#This Row],[תשלומים
שנותרו]])</f>
        <v>168</v>
      </c>
    </row>
    <row r="196" spans="1:10" ht="15" customHeight="1" x14ac:dyDescent="0.25">
      <c r="A196" s="8"/>
      <c r="B196" s="11">
        <f>MAX(הפחתה[[#This Row],[מס'']],הפחתה5[[#This Row],[מס'']],הפחתה7[[#This Row],[מס'']],הפחתה8[[#This Row],[מס'']])</f>
        <v>193</v>
      </c>
      <c r="C196" s="12">
        <f ca="1">IF(ValuesEntered,IF(הפחתה23[[#This Row],[מס'']]&lt;=תקופת_ההלוואה,IF(ROW()-ROW(הפחתה[[#Headers],[תאריך]])=1,LoanStart,IF(I195&gt;0,EDATE(C195,1),"")),""),"")</f>
        <v>51227</v>
      </c>
      <c r="D196" s="13">
        <f ca="1">SUM(הפחתה[[#This Row],[יתרת פתיחה]],הפחתה5[[#This Row],[יתרת פתיחה]],הפחתה7[[#This Row],[יתרת פתיחה]],הפחתה8[[#This Row],[יתרת פתיחה]])</f>
        <v>603155.2735181594</v>
      </c>
      <c r="E196" s="13">
        <f ca="1">SUM(הפחתה[[#This Row],[ריבית]],הפחתה5[[#This Row],[ריבית]],הפחתה7[[#This Row],[ריבית]],הפחתה8[[#This Row],[ריבית]])</f>
        <v>2429.6228975985614</v>
      </c>
      <c r="F196" s="13">
        <f ca="1">SUM(הפחתה[[#This Row],[קרן]],הפחתה5[[#This Row],[קרן]],הפחתה7[[#This Row],[קרן]],הפחתה8[[#This Row],[קרן]])</f>
        <v>3196.5176830931864</v>
      </c>
      <c r="G196" s="13">
        <f ca="1">IF(הפחתה23[[#This Row],[תאריך]]="",0,PropertyTaxAmount)</f>
        <v>0</v>
      </c>
      <c r="H196" s="13">
        <f ca="1">IF(הפחתה23[[#This Row],[תאריך]]="",0,הפחתה23[[#This Row],[ריבית]]+הפחתה23[[#This Row],[קרן]]+הפחתה23[[#This Row],[מס
רכוש]])</f>
        <v>5626.1405806917483</v>
      </c>
      <c r="I196" s="13">
        <f ca="1">IF(הפחתה23[[#This Row],[תאריך]]="",0,הפחתה23[[#This Row],[יתרת פתיחה]]-הפחתה23[[#This Row],[קרן]])</f>
        <v>599958.7558350662</v>
      </c>
      <c r="J196" s="11">
        <f ca="1">MAX(הפחתה[[#This Row],[תשלומים
שנותרו]],הפחתה5[[#This Row],[תשלומים
שנותרו]],הפחתה7[[#This Row],[תשלומים
שנותרו]],הפחתה8[[#This Row],[תשלומים
שנותרו]])</f>
        <v>167</v>
      </c>
    </row>
    <row r="197" spans="1:10" ht="15" customHeight="1" x14ac:dyDescent="0.25">
      <c r="A197" s="8"/>
      <c r="B197" s="11">
        <f>MAX(הפחתה[[#This Row],[מס'']],הפחתה5[[#This Row],[מס'']],הפחתה7[[#This Row],[מס'']],הפחתה8[[#This Row],[מס'']])</f>
        <v>194</v>
      </c>
      <c r="C197" s="12">
        <f ca="1">IF(ValuesEntered,IF(הפחתה23[[#This Row],[מס'']]&lt;=תקופת_ההלוואה,IF(ROW()-ROW(הפחתה[[#Headers],[תאריך]])=1,LoanStart,IF(I196&gt;0,EDATE(C196,1),"")),""),"")</f>
        <v>51257</v>
      </c>
      <c r="D197" s="13">
        <f ca="1">SUM(הפחתה[[#This Row],[יתרת פתיחה]],הפחתה5[[#This Row],[יתרת פתיחה]],הפחתה7[[#This Row],[יתרת פתיחה]],הפחתה8[[#This Row],[יתרת פתיחה]])</f>
        <v>600056.99340942525</v>
      </c>
      <c r="E197" s="13">
        <f ca="1">SUM(הפחתה[[#This Row],[ריבית]],הפחתה5[[#This Row],[ריבית]],הפחתה7[[#This Row],[ריבית]],הפחתה8[[#This Row],[ריבית]])</f>
        <v>2417.4276807634851</v>
      </c>
      <c r="F197" s="13">
        <f ca="1">SUM(הפחתה[[#This Row],[קרן]],הפחתה5[[#This Row],[קרן]],הפחתה7[[#This Row],[קרן]],הפחתה8[[#This Row],[קרן]])</f>
        <v>3209.6764808498456</v>
      </c>
      <c r="G197" s="13">
        <f ca="1">IF(הפחתה23[[#This Row],[תאריך]]="",0,PropertyTaxAmount)</f>
        <v>0</v>
      </c>
      <c r="H197" s="13">
        <f ca="1">IF(הפחתה23[[#This Row],[תאריך]]="",0,הפחתה23[[#This Row],[ריבית]]+הפחתה23[[#This Row],[קרן]]+הפחתה23[[#This Row],[מס
רכוש]])</f>
        <v>5627.1041616133307</v>
      </c>
      <c r="I197" s="13">
        <f ca="1">IF(הפחתה23[[#This Row],[תאריך]]="",0,הפחתה23[[#This Row],[יתרת פתיחה]]-הפחתה23[[#This Row],[קרן]])</f>
        <v>596847.3169285754</v>
      </c>
      <c r="J197" s="11">
        <f ca="1">MAX(הפחתה[[#This Row],[תשלומים
שנותרו]],הפחתה5[[#This Row],[תשלומים
שנותרו]],הפחתה7[[#This Row],[תשלומים
שנותרו]],הפחתה8[[#This Row],[תשלומים
שנותרו]])</f>
        <v>166</v>
      </c>
    </row>
    <row r="198" spans="1:10" ht="15" customHeight="1" x14ac:dyDescent="0.25">
      <c r="A198" s="8"/>
      <c r="B198" s="11">
        <f>MAX(הפחתה[[#This Row],[מס'']],הפחתה5[[#This Row],[מס'']],הפחתה7[[#This Row],[מס'']],הפחתה8[[#This Row],[מס'']])</f>
        <v>195</v>
      </c>
      <c r="C198" s="12">
        <f ca="1">IF(ValuesEntered,IF(הפחתה23[[#This Row],[מס'']]&lt;=תקופת_ההלוואה,IF(ROW()-ROW(הפחתה[[#Headers],[תאריך]])=1,LoanStart,IF(I197&gt;0,EDATE(C197,1),"")),""),"")</f>
        <v>51288</v>
      </c>
      <c r="D198" s="13">
        <f ca="1">SUM(הפחתה[[#This Row],[יתרת פתיחה]],הפחתה5[[#This Row],[יתרת פתיחה]],הפחתה7[[#This Row],[יתרת פתיחה]],הפחתה8[[#This Row],[יתרת פתיחה]])</f>
        <v>596944.89865540795</v>
      </c>
      <c r="E198" s="13">
        <f ca="1">SUM(הפחתה[[#This Row],[ריבית]],הפחתה5[[#This Row],[ריבית]],הפחתה7[[#This Row],[ריבית]],הפחתה8[[#This Row],[ריבית]])</f>
        <v>2405.1794761337655</v>
      </c>
      <c r="F198" s="13">
        <f ca="1">SUM(הפחתה[[#This Row],[קרן]],הפחתה5[[#This Row],[קרן]],הפחתה7[[#This Row],[קרן]],הפחתה8[[#This Row],[קרן]])</f>
        <v>3222.8898391271096</v>
      </c>
      <c r="G198" s="13">
        <f ca="1">IF(הפחתה23[[#This Row],[תאריך]]="",0,PropertyTaxAmount)</f>
        <v>0</v>
      </c>
      <c r="H198" s="13">
        <f ca="1">IF(הפחתה23[[#This Row],[תאריך]]="",0,הפחתה23[[#This Row],[ריבית]]+הפחתה23[[#This Row],[קרן]]+הפחתה23[[#This Row],[מס
רכוש]])</f>
        <v>5628.0693152608746</v>
      </c>
      <c r="I198" s="13">
        <f ca="1">IF(הפחתה23[[#This Row],[תאריך]]="",0,הפחתה23[[#This Row],[יתרת פתיחה]]-הפחתה23[[#This Row],[קרן]])</f>
        <v>593722.00881628087</v>
      </c>
      <c r="J198" s="11">
        <f ca="1">MAX(הפחתה[[#This Row],[תשלומים
שנותרו]],הפחתה5[[#This Row],[תשלומים
שנותרו]],הפחתה7[[#This Row],[תשלומים
שנותרו]],הפחתה8[[#This Row],[תשלומים
שנותרו]])</f>
        <v>165</v>
      </c>
    </row>
    <row r="199" spans="1:10" ht="15" customHeight="1" x14ac:dyDescent="0.25">
      <c r="A199" s="8"/>
      <c r="B199" s="11">
        <f>MAX(הפחתה[[#This Row],[מס'']],הפחתה5[[#This Row],[מס'']],הפחתה7[[#This Row],[מס'']],הפחתה8[[#This Row],[מס'']])</f>
        <v>196</v>
      </c>
      <c r="C199" s="12">
        <f ca="1">IF(ValuesEntered,IF(הפחתה23[[#This Row],[מס'']]&lt;=תקופת_ההלוואה,IF(ROW()-ROW(הפחתה[[#Headers],[תאריך]])=1,LoanStart,IF(I198&gt;0,EDATE(C198,1),"")),""),"")</f>
        <v>51318</v>
      </c>
      <c r="D199" s="13">
        <f ca="1">SUM(הפחתה[[#This Row],[יתרת פתיחה]],הפחתה5[[#This Row],[יתרת פתיחה]],הפחתה7[[#This Row],[יתרת פתיחה]],הפחתה8[[#This Row],[יתרת פתיחה]])</f>
        <v>593818.93065155868</v>
      </c>
      <c r="E199" s="13">
        <f ca="1">SUM(הפחתה[[#This Row],[ריבית]],הפחתה5[[#This Row],[ריבית]],הפחתה7[[#This Row],[ריבית]],הפחתה8[[#This Row],[ריבית]])</f>
        <v>2392.8780587098599</v>
      </c>
      <c r="F199" s="13">
        <f ca="1">SUM(הפחתה[[#This Row],[קרן]],הפחתה5[[#This Row],[קרן]],הפחתה7[[#This Row],[קרן]],הפחתה8[[#This Row],[קרן]])</f>
        <v>3236.1579869900088</v>
      </c>
      <c r="G199" s="13">
        <f ca="1">IF(הפחתה23[[#This Row],[תאריך]]="",0,PropertyTaxAmount)</f>
        <v>0</v>
      </c>
      <c r="H199" s="13">
        <f ca="1">IF(הפחתה23[[#This Row],[תאריך]]="",0,הפחתה23[[#This Row],[ריבית]]+הפחתה23[[#This Row],[קרן]]+הפחתה23[[#This Row],[מס
רכוש]])</f>
        <v>5629.0360456998687</v>
      </c>
      <c r="I199" s="13">
        <f ca="1">IF(הפחתה23[[#This Row],[תאריך]]="",0,הפחתה23[[#This Row],[יתרת פתיחה]]-הפחתה23[[#This Row],[קרן]])</f>
        <v>590582.77266456862</v>
      </c>
      <c r="J199" s="11">
        <f ca="1">MAX(הפחתה[[#This Row],[תשלומים
שנותרו]],הפחתה5[[#This Row],[תשלומים
שנותרו]],הפחתה7[[#This Row],[תשלומים
שנותרו]],הפחתה8[[#This Row],[תשלומים
שנותרו]])</f>
        <v>164</v>
      </c>
    </row>
    <row r="200" spans="1:10" ht="15" customHeight="1" x14ac:dyDescent="0.25">
      <c r="A200" s="8"/>
      <c r="B200" s="11">
        <f>MAX(הפחתה[[#This Row],[מס'']],הפחתה5[[#This Row],[מס'']],הפחתה7[[#This Row],[מס'']],הפחתה8[[#This Row],[מס'']])</f>
        <v>197</v>
      </c>
      <c r="C200" s="12">
        <f ca="1">IF(ValuesEntered,IF(הפחתה23[[#This Row],[מס'']]&lt;=תקופת_ההלוואה,IF(ROW()-ROW(הפחתה[[#Headers],[תאריך]])=1,LoanStart,IF(I199&gt;0,EDATE(C199,1),"")),""),"")</f>
        <v>51349</v>
      </c>
      <c r="D200" s="13">
        <f ca="1">SUM(הפחתה[[#This Row],[יתרת פתיחה]],הפחתה5[[#This Row],[יתרת פתיחה]],הפחתה7[[#This Row],[יתרת פתיחה]],הפחתה8[[#This Row],[יתרת פתיחה]])</f>
        <v>590679.03054677811</v>
      </c>
      <c r="E200" s="13">
        <f ca="1">SUM(הפחתה[[#This Row],[ריבית]],הפחתה5[[#This Row],[ריבית]],הפחתה7[[#This Row],[ריבית]],הפחתה8[[#This Row],[ריבית]])</f>
        <v>2380.5232025392097</v>
      </c>
      <c r="F200" s="13">
        <f ca="1">SUM(הפחתה[[#This Row],[קרן]],הפחתה5[[#This Row],[קרן]],הפחתה7[[#This Row],[קרן]],הפחתה8[[#This Row],[קרן]])</f>
        <v>3249.4811545192683</v>
      </c>
      <c r="G200" s="13">
        <f ca="1">IF(הפחתה23[[#This Row],[תאריך]]="",0,PropertyTaxAmount)</f>
        <v>0</v>
      </c>
      <c r="H200" s="13">
        <f ca="1">IF(הפחתה23[[#This Row],[תאריך]]="",0,הפחתה23[[#This Row],[ריבית]]+הפחתה23[[#This Row],[קרן]]+הפחתה23[[#This Row],[מס
רכוש]])</f>
        <v>5630.0043570584785</v>
      </c>
      <c r="I200" s="13">
        <f ca="1">IF(הפחתה23[[#This Row],[תאריך]]="",0,הפחתה23[[#This Row],[יתרת פתיחה]]-הפחתה23[[#This Row],[קרן]])</f>
        <v>587429.54939225886</v>
      </c>
      <c r="J200" s="11">
        <f ca="1">MAX(הפחתה[[#This Row],[תשלומים
שנותרו]],הפחתה5[[#This Row],[תשלומים
שנותרו]],הפחתה7[[#This Row],[תשלומים
שנותרו]],הפחתה8[[#This Row],[תשלומים
שנותרו]])</f>
        <v>163</v>
      </c>
    </row>
    <row r="201" spans="1:10" ht="15" customHeight="1" x14ac:dyDescent="0.25">
      <c r="A201" s="8"/>
      <c r="B201" s="11">
        <f>MAX(הפחתה[[#This Row],[מס'']],הפחתה5[[#This Row],[מס'']],הפחתה7[[#This Row],[מס'']],הפחתה8[[#This Row],[מס'']])</f>
        <v>198</v>
      </c>
      <c r="C201" s="12">
        <f ca="1">IF(ValuesEntered,IF(הפחתה23[[#This Row],[מס'']]&lt;=תקופת_ההלוואה,IF(ROW()-ROW(הפחתה[[#Headers],[תאריך]])=1,LoanStart,IF(I200&gt;0,EDATE(C200,1),"")),""),"")</f>
        <v>51380</v>
      </c>
      <c r="D201" s="13">
        <f ca="1">SUM(הפחתה[[#This Row],[יתרת פתיחה]],הפחתה5[[#This Row],[יתרת פתיחה]],הפחתה7[[#This Row],[יתרת פתיחה]],הפחתה8[[#This Row],[יתרת פתיחה]])</f>
        <v>587525.13924232929</v>
      </c>
      <c r="E201" s="13">
        <f ca="1">SUM(הפחתה[[#This Row],[ריבית]],הפחתה5[[#This Row],[ריבית]],הפחתה7[[#This Row],[ריבית]],הפחתה8[[#This Row],[ריבית]])</f>
        <v>2368.1146807121027</v>
      </c>
      <c r="F201" s="13">
        <f ca="1">SUM(הפחתה[[#This Row],[קרן]],הפחתה5[[#This Row],[קרן]],הפחתה7[[#This Row],[קרן]],הפחתה8[[#This Row],[קרן]])</f>
        <v>3262.8595728178066</v>
      </c>
      <c r="G201" s="13">
        <f ca="1">IF(הפחתה23[[#This Row],[תאריך]]="",0,PropertyTaxAmount)</f>
        <v>0</v>
      </c>
      <c r="H201" s="13">
        <f ca="1">IF(הפחתה23[[#This Row],[תאריך]]="",0,הפחתה23[[#This Row],[ריבית]]+הפחתה23[[#This Row],[קרן]]+הפחתה23[[#This Row],[מס
רכוש]])</f>
        <v>5630.9742535299092</v>
      </c>
      <c r="I201" s="13">
        <f ca="1">IF(הפחתה23[[#This Row],[תאריך]]="",0,הפחתה23[[#This Row],[יתרת פתיחה]]-הפחתה23[[#This Row],[קרן]])</f>
        <v>584262.27966951148</v>
      </c>
      <c r="J201" s="11">
        <f ca="1">MAX(הפחתה[[#This Row],[תשלומים
שנותרו]],הפחתה5[[#This Row],[תשלומים
שנותרו]],הפחתה7[[#This Row],[תשלומים
שנותרו]],הפחתה8[[#This Row],[תשלומים
שנותרו]])</f>
        <v>162</v>
      </c>
    </row>
    <row r="202" spans="1:10" ht="15" customHeight="1" x14ac:dyDescent="0.25">
      <c r="A202" s="8"/>
      <c r="B202" s="11">
        <f>MAX(הפחתה[[#This Row],[מס'']],הפחתה5[[#This Row],[מס'']],הפחתה7[[#This Row],[מס'']],הפחתה8[[#This Row],[מס'']])</f>
        <v>199</v>
      </c>
      <c r="C202" s="12">
        <f ca="1">IF(ValuesEntered,IF(הפחתה23[[#This Row],[מס'']]&lt;=תקופת_ההלוואה,IF(ROW()-ROW(הפחתה[[#Headers],[תאריך]])=1,LoanStart,IF(I201&gt;0,EDATE(C201,1),"")),""),"")</f>
        <v>51410</v>
      </c>
      <c r="D202" s="13">
        <f ca="1">SUM(הפחתה[[#This Row],[יתרת פתיחה]],הפחתה5[[#This Row],[יתרת פתיחה]],הפחתה7[[#This Row],[יתרת פתיחה]],הפחתה8[[#This Row],[יתרת פתיחה]])</f>
        <v>584357.19739074423</v>
      </c>
      <c r="E202" s="13">
        <f ca="1">SUM(הפחתה[[#This Row],[ריבית]],הפחתה5[[#This Row],[ריבית]],הפחתה7[[#This Row],[ריבית]],הפחתה8[[#This Row],[ריבית]])</f>
        <v>2355.6522653575075</v>
      </c>
      <c r="F202" s="13">
        <f ca="1">SUM(הפחתה[[#This Row],[קרן]],הפחתה5[[#This Row],[קרן]],הפחתה7[[#This Row],[קרן]],הפחתה8[[#This Row],[קרן]])</f>
        <v>3276.293474017376</v>
      </c>
      <c r="G202" s="13">
        <f ca="1">IF(הפחתה23[[#This Row],[תאריך]]="",0,PropertyTaxAmount)</f>
        <v>0</v>
      </c>
      <c r="H202" s="13">
        <f ca="1">IF(הפחתה23[[#This Row],[תאריך]]="",0,הפחתה23[[#This Row],[ריבית]]+הפחתה23[[#This Row],[קרן]]+הפחתה23[[#This Row],[מס
רכוש]])</f>
        <v>5631.9457393748835</v>
      </c>
      <c r="I202" s="13">
        <f ca="1">IF(הפחתה23[[#This Row],[תאריך]]="",0,הפחתה23[[#This Row],[יתרת פתיחה]]-הפחתה23[[#This Row],[קרן]])</f>
        <v>581080.90391672682</v>
      </c>
      <c r="J202" s="11">
        <f ca="1">MAX(הפחתה[[#This Row],[תשלומים
שנותרו]],הפחתה5[[#This Row],[תשלומים
שנותרו]],הפחתה7[[#This Row],[תשלומים
שנותרו]],הפחתה8[[#This Row],[תשלומים
שנותרו]])</f>
        <v>161</v>
      </c>
    </row>
    <row r="203" spans="1:10" ht="15" customHeight="1" x14ac:dyDescent="0.25">
      <c r="A203" s="8"/>
      <c r="B203" s="11">
        <f>MAX(הפחתה[[#This Row],[מס'']],הפחתה5[[#This Row],[מס'']],הפחתה7[[#This Row],[מס'']],הפחתה8[[#This Row],[מס'']])</f>
        <v>200</v>
      </c>
      <c r="C203" s="12">
        <f ca="1">IF(ValuesEntered,IF(הפחתה23[[#This Row],[מס'']]&lt;=תקופת_ההלוואה,IF(ROW()-ROW(הפחתה[[#Headers],[תאריך]])=1,LoanStart,IF(I202&gt;0,EDATE(C202,1),"")),""),"")</f>
        <v>51441</v>
      </c>
      <c r="D203" s="13">
        <f ca="1">SUM(הפחתה[[#This Row],[יתרת פתיחה]],הפחתה5[[#This Row],[יתרת פתיחה]],הפחתה7[[#This Row],[יתרת פתיחה]],הפחתה8[[#This Row],[יתרת פתיחה]])</f>
        <v>581175.14539472328</v>
      </c>
      <c r="E203" s="13">
        <f ca="1">SUM(הפחתה[[#This Row],[ריבית]],הפחתה5[[#This Row],[ריבית]],הפחתה7[[#This Row],[ריבית]],הפחתה8[[#This Row],[ריבית]])</f>
        <v>2343.1357276388881</v>
      </c>
      <c r="F203" s="13">
        <f ca="1">SUM(הפחתה[[#This Row],[קרן]],הפחתה5[[#This Row],[קרן]],הפחתה7[[#This Row],[קרן]],הפחתה8[[#This Row],[קרן]])</f>
        <v>3289.7830912853497</v>
      </c>
      <c r="G203" s="13">
        <f ca="1">IF(הפחתה23[[#This Row],[תאריך]]="",0,PropertyTaxAmount)</f>
        <v>0</v>
      </c>
      <c r="H203" s="13">
        <f ca="1">IF(הפחתה23[[#This Row],[תאריך]]="",0,הפחתה23[[#This Row],[ריבית]]+הפחתה23[[#This Row],[קרן]]+הפחתה23[[#This Row],[מס
רכוש]])</f>
        <v>5632.9188189242377</v>
      </c>
      <c r="I203" s="13">
        <f ca="1">IF(הפחתה23[[#This Row],[תאריך]]="",0,הפחתה23[[#This Row],[יתרת פתיחה]]-הפחתה23[[#This Row],[קרן]])</f>
        <v>577885.3623034379</v>
      </c>
      <c r="J203" s="11">
        <f ca="1">MAX(הפחתה[[#This Row],[תשלומים
שנותרו]],הפחתה5[[#This Row],[תשלומים
שנותרו]],הפחתה7[[#This Row],[תשלומים
שנותרו]],הפחתה8[[#This Row],[תשלומים
שנותרו]])</f>
        <v>160</v>
      </c>
    </row>
    <row r="204" spans="1:10" ht="15" customHeight="1" x14ac:dyDescent="0.25">
      <c r="A204" s="8"/>
      <c r="B204" s="11">
        <f>MAX(הפחתה[[#This Row],[מס'']],הפחתה5[[#This Row],[מס'']],הפחתה7[[#This Row],[מס'']],הפחתה8[[#This Row],[מס'']])</f>
        <v>201</v>
      </c>
      <c r="C204" s="12">
        <f ca="1">IF(ValuesEntered,IF(הפחתה23[[#This Row],[מס'']]&lt;=תקופת_ההלוואה,IF(ROW()-ROW(הפחתה[[#Headers],[תאריך]])=1,LoanStart,IF(I203&gt;0,EDATE(C203,1),"")),""),"")</f>
        <v>51471</v>
      </c>
      <c r="D204" s="13">
        <f ca="1">SUM(הפחתה[[#This Row],[יתרת פתיחה]],הפחתה5[[#This Row],[יתרת פתיחה]],הפחתה7[[#This Row],[יתרת פתיחה]],הפחתה8[[#This Row],[יתרת פתיחה]])</f>
        <v>577978.92340602761</v>
      </c>
      <c r="E204" s="13">
        <f ca="1">SUM(הפחתה[[#This Row],[ריבית]],הפחתה5[[#This Row],[ריבית]],הפחתה7[[#This Row],[ריבית]],הפחתה8[[#This Row],[ריבית]])</f>
        <v>2330.5648377499938</v>
      </c>
      <c r="F204" s="13">
        <f ca="1">SUM(הפחתה[[#This Row],[קרן]],הפחתה5[[#This Row],[קרן]],הפחתה7[[#This Row],[קרן]],הפחתה8[[#This Row],[קרן]])</f>
        <v>3303.3286588316487</v>
      </c>
      <c r="G204" s="13">
        <f ca="1">IF(הפחתה23[[#This Row],[תאריך]]="",0,PropertyTaxAmount)</f>
        <v>0</v>
      </c>
      <c r="H204" s="13">
        <f ca="1">IF(הפחתה23[[#This Row],[תאריך]]="",0,הפחתה23[[#This Row],[ריבית]]+הפחתה23[[#This Row],[קרן]]+הפחתה23[[#This Row],[מס
רכוש]])</f>
        <v>5633.8934965816425</v>
      </c>
      <c r="I204" s="13">
        <f ca="1">IF(הפחתה23[[#This Row],[תאריך]]="",0,הפחתה23[[#This Row],[יתרת פתיחה]]-הפחתה23[[#This Row],[קרן]])</f>
        <v>574675.59474719595</v>
      </c>
      <c r="J204" s="11">
        <f ca="1">MAX(הפחתה[[#This Row],[תשלומים
שנותרו]],הפחתה5[[#This Row],[תשלומים
שנותרו]],הפחתה7[[#This Row],[תשלומים
שנותרו]],הפחתה8[[#This Row],[תשלומים
שנותרו]])</f>
        <v>159</v>
      </c>
    </row>
    <row r="205" spans="1:10" ht="15" customHeight="1" x14ac:dyDescent="0.25">
      <c r="A205" s="8"/>
      <c r="B205" s="11">
        <f>MAX(הפחתה[[#This Row],[מס'']],הפחתה5[[#This Row],[מס'']],הפחתה7[[#This Row],[מס'']],הפחתה8[[#This Row],[מס'']])</f>
        <v>202</v>
      </c>
      <c r="C205" s="12">
        <f ca="1">IF(ValuesEntered,IF(הפחתה23[[#This Row],[מס'']]&lt;=תקופת_ההלוואה,IF(ROW()-ROW(הפחתה[[#Headers],[תאריך]])=1,LoanStart,IF(I204&gt;0,EDATE(C204,1),"")),""),"")</f>
        <v>51502</v>
      </c>
      <c r="D205" s="13">
        <f ca="1">SUM(הפחתה[[#This Row],[יתרת פתיחה]],הפחתה5[[#This Row],[יתרת פתיחה]],הפחתה7[[#This Row],[יתרת פתיחה]],הפחתה8[[#This Row],[יתרת פתיחה]])</f>
        <v>574768.47132436372</v>
      </c>
      <c r="E205" s="13">
        <f ca="1">SUM(הפחתה[[#This Row],[ריבית]],הפחתה5[[#This Row],[ריבית]],הפחתה7[[#This Row],[ריבית]],הפחתה8[[#This Row],[ריבית]])</f>
        <v>2317.9393649106269</v>
      </c>
      <c r="F205" s="13">
        <f ca="1">SUM(הפחתה[[#This Row],[קרן]],הפחתה5[[#This Row],[קרן]],הפחתה7[[#This Row],[קרן]],הפחתה8[[#This Row],[קרן]])</f>
        <v>3316.9304119158478</v>
      </c>
      <c r="G205" s="13">
        <f ca="1">IF(הפחתה23[[#This Row],[תאריך]]="",0,PropertyTaxAmount)</f>
        <v>0</v>
      </c>
      <c r="H205" s="13">
        <f ca="1">IF(הפחתה23[[#This Row],[תאריך]]="",0,הפחתה23[[#This Row],[ריבית]]+הפחתה23[[#This Row],[קרן]]+הפחתה23[[#This Row],[מס
רכוש]])</f>
        <v>5634.8697768264747</v>
      </c>
      <c r="I205" s="13">
        <f ca="1">IF(הפחתה23[[#This Row],[תאריך]]="",0,הפחתה23[[#This Row],[יתרת פתיחה]]-הפחתה23[[#This Row],[קרן]])</f>
        <v>571451.54091244785</v>
      </c>
      <c r="J205" s="11">
        <f ca="1">MAX(הפחתה[[#This Row],[תשלומים
שנותרו]],הפחתה5[[#This Row],[תשלומים
שנותרו]],הפחתה7[[#This Row],[תשלומים
שנותרו]],הפחתה8[[#This Row],[תשלומים
שנותרו]])</f>
        <v>158</v>
      </c>
    </row>
    <row r="206" spans="1:10" ht="15" customHeight="1" x14ac:dyDescent="0.25">
      <c r="A206" s="8"/>
      <c r="B206" s="11">
        <f>MAX(הפחתה[[#This Row],[מס'']],הפחתה5[[#This Row],[מס'']],הפחתה7[[#This Row],[מס'']],הפחתה8[[#This Row],[מס'']])</f>
        <v>203</v>
      </c>
      <c r="C206" s="12">
        <f ca="1">IF(ValuesEntered,IF(הפחתה23[[#This Row],[מס'']]&lt;=תקופת_ההלוואה,IF(ROW()-ROW(הפחתה[[#Headers],[תאריך]])=1,LoanStart,IF(I205&gt;0,EDATE(C205,1),"")),""),"")</f>
        <v>51533</v>
      </c>
      <c r="D206" s="13">
        <f ca="1">SUM(הפחתה[[#This Row],[יתרת פתיחה]],הפחתה5[[#This Row],[יתרת פתיחה]],הפחתה7[[#This Row],[יתרת פתיחה]],הפחתה8[[#This Row],[יתרת פתיחה]])</f>
        <v>571543.72879626148</v>
      </c>
      <c r="E206" s="13">
        <f ca="1">SUM(הפחתה[[#This Row],[ריבית]],הפחתה5[[#This Row],[ריבית]],הפחתה7[[#This Row],[ריבית]],הפחתה8[[#This Row],[ריבית]])</f>
        <v>2305.2590773623879</v>
      </c>
      <c r="F206" s="13">
        <f ca="1">SUM(הפחתה[[#This Row],[קרן]],הפחתה5[[#This Row],[קרן]],הפחתה7[[#This Row],[קרן]],הפחתה8[[#This Row],[קרן]])</f>
        <v>3330.5885868544328</v>
      </c>
      <c r="G206" s="13">
        <f ca="1">IF(הפחתה23[[#This Row],[תאריך]]="",0,PropertyTaxAmount)</f>
        <v>0</v>
      </c>
      <c r="H206" s="13">
        <f ca="1">IF(הפחתה23[[#This Row],[תאריך]]="",0,הפחתה23[[#This Row],[ריבית]]+הפחתה23[[#This Row],[קרן]]+הפחתה23[[#This Row],[מס
רכוש]])</f>
        <v>5635.8476642168207</v>
      </c>
      <c r="I206" s="13">
        <f ca="1">IF(הפחתה23[[#This Row],[תאריך]]="",0,הפחתה23[[#This Row],[יתרת פתיחה]]-הפחתה23[[#This Row],[קרן]])</f>
        <v>568213.14020940708</v>
      </c>
      <c r="J206" s="11">
        <f ca="1">MAX(הפחתה[[#This Row],[תשלומים
שנותרו]],הפחתה5[[#This Row],[תשלומים
שנותרו]],הפחתה7[[#This Row],[תשלומים
שנותרו]],הפחתה8[[#This Row],[תשלומים
שנותרו]])</f>
        <v>157</v>
      </c>
    </row>
    <row r="207" spans="1:10" ht="15" customHeight="1" x14ac:dyDescent="0.25">
      <c r="A207" s="8"/>
      <c r="B207" s="11">
        <f>MAX(הפחתה[[#This Row],[מס'']],הפחתה5[[#This Row],[מס'']],הפחתה7[[#This Row],[מס'']],הפחתה8[[#This Row],[מס'']])</f>
        <v>204</v>
      </c>
      <c r="C207" s="12">
        <f ca="1">IF(ValuesEntered,IF(הפחתה23[[#This Row],[מס'']]&lt;=תקופת_ההלוואה,IF(ROW()-ROW(הפחתה[[#Headers],[תאריך]])=1,LoanStart,IF(I206&gt;0,EDATE(C206,1),"")),""),"")</f>
        <v>51561</v>
      </c>
      <c r="D207" s="13">
        <f ca="1">SUM(הפחתה[[#This Row],[יתרת פתיחה]],הפחתה5[[#This Row],[יתרת פתיחה]],הפחתה7[[#This Row],[יתרת פתיחה]],הפחתה8[[#This Row],[יתרת פתיחה]])</f>
        <v>568304.63521394308</v>
      </c>
      <c r="E207" s="13">
        <f ca="1">SUM(הפחתה[[#This Row],[ריבית]],הפחתה5[[#This Row],[ריבית]],הפחתה7[[#This Row],[ריבית]],הפחתה8[[#This Row],[ריבית]])</f>
        <v>2292.5237423643948</v>
      </c>
      <c r="F207" s="13">
        <f ca="1">SUM(הפחתה[[#This Row],[קרן]],הפחתה5[[#This Row],[קרן]],הפחתה7[[#This Row],[קרן]],הפחתה8[[#This Row],[קרן]])</f>
        <v>3344.3034210282472</v>
      </c>
      <c r="G207" s="13">
        <f ca="1">IF(הפחתה23[[#This Row],[תאריך]]="",0,PropertyTaxAmount)</f>
        <v>0</v>
      </c>
      <c r="H207" s="13">
        <f ca="1">IF(הפחתה23[[#This Row],[תאריך]]="",0,הפחתה23[[#This Row],[ריבית]]+הפחתה23[[#This Row],[קרן]]+הפחתה23[[#This Row],[מס
רכוש]])</f>
        <v>5636.8271633926415</v>
      </c>
      <c r="I207" s="13">
        <f ca="1">IF(הפחתה23[[#This Row],[תאריך]]="",0,הפחתה23[[#This Row],[יתרת פתיחה]]-הפחתה23[[#This Row],[קרן]])</f>
        <v>564960.33179291489</v>
      </c>
      <c r="J207" s="11">
        <f ca="1">MAX(הפחתה[[#This Row],[תשלומים
שנותרו]],הפחתה5[[#This Row],[תשלומים
שנותרו]],הפחתה7[[#This Row],[תשלומים
שנותרו]],הפחתה8[[#This Row],[תשלומים
שנותרו]])</f>
        <v>156</v>
      </c>
    </row>
    <row r="208" spans="1:10" ht="15" customHeight="1" x14ac:dyDescent="0.25">
      <c r="A208" s="8"/>
      <c r="B208" s="11">
        <f>MAX(הפחתה[[#This Row],[מס'']],הפחתה5[[#This Row],[מס'']],הפחתה7[[#This Row],[מס'']],הפחתה8[[#This Row],[מס'']])</f>
        <v>205</v>
      </c>
      <c r="C208" s="12">
        <f ca="1">IF(ValuesEntered,IF(הפחתה23[[#This Row],[מס'']]&lt;=תקופת_ההלוואה,IF(ROW()-ROW(הפחתה[[#Headers],[תאריך]])=1,LoanStart,IF(I207&gt;0,EDATE(C207,1),"")),""),"")</f>
        <v>51592</v>
      </c>
      <c r="D208" s="13">
        <f ca="1">SUM(הפחתה[[#This Row],[יתרת פתיחה]],הפחתה5[[#This Row],[יתרת פתיחה]],הפחתה7[[#This Row],[יתרת פתיחה]],הפחתה8[[#This Row],[יתרת פתיחה]])</f>
        <v>565051.12971418584</v>
      </c>
      <c r="E208" s="13">
        <f ca="1">SUM(הפחתה[[#This Row],[ריבית]],הפחתה5[[#This Row],[ריבית]],הפחתה7[[#This Row],[ריבית]],הפחתה8[[#This Row],[ריבית]])</f>
        <v>2279.7331261889776</v>
      </c>
      <c r="F208" s="13">
        <f ca="1">SUM(הפחתה[[#This Row],[קרן]],הפחתה5[[#This Row],[קרן]],הפחתה7[[#This Row],[קרן]],הפחתה8[[#This Row],[קרן]])</f>
        <v>3358.0751528901164</v>
      </c>
      <c r="G208" s="13">
        <f ca="1">IF(הפחתה23[[#This Row],[תאריך]]="",0,PropertyTaxAmount)</f>
        <v>0</v>
      </c>
      <c r="H208" s="13">
        <f ca="1">IF(הפחתה23[[#This Row],[תאריך]]="",0,הפחתה23[[#This Row],[ריבית]]+הפחתה23[[#This Row],[קרן]]+הפחתה23[[#This Row],[מס
רכוש]])</f>
        <v>5637.8082790790941</v>
      </c>
      <c r="I208" s="13">
        <f ca="1">IF(הפחתה23[[#This Row],[תאריך]]="",0,הפחתה23[[#This Row],[יתרת פתיחה]]-הפחתה23[[#This Row],[קרן]])</f>
        <v>561693.05456129578</v>
      </c>
      <c r="J208" s="11">
        <f ca="1">MAX(הפחתה[[#This Row],[תשלומים
שנותרו]],הפחתה5[[#This Row],[תשלומים
שנותרו]],הפחתה7[[#This Row],[תשלומים
שנותרו]],הפחתה8[[#This Row],[תשלומים
שנותרו]])</f>
        <v>155</v>
      </c>
    </row>
    <row r="209" spans="1:10" ht="15" customHeight="1" x14ac:dyDescent="0.25">
      <c r="A209" s="8"/>
      <c r="B209" s="11">
        <f>MAX(הפחתה[[#This Row],[מס'']],הפחתה5[[#This Row],[מס'']],הפחתה7[[#This Row],[מס'']],הפחתה8[[#This Row],[מס'']])</f>
        <v>206</v>
      </c>
      <c r="C209" s="12">
        <f ca="1">IF(ValuesEntered,IF(הפחתה23[[#This Row],[מס'']]&lt;=תקופת_ההלוואה,IF(ROW()-ROW(הפחתה[[#Headers],[תאריך]])=1,LoanStart,IF(I208&gt;0,EDATE(C208,1),"")),""),"")</f>
        <v>51622</v>
      </c>
      <c r="D209" s="13">
        <f ca="1">SUM(הפחתה[[#This Row],[יתרת פתיחה]],הפחתה5[[#This Row],[יתרת פתיחה]],הפחתה7[[#This Row],[יתרת פתיחה]],הפחתה8[[#This Row],[יתרת פתיחה]])</f>
        <v>561783.15117717569</v>
      </c>
      <c r="E209" s="13">
        <f ca="1">SUM(הפחתה[[#This Row],[ריבית]],הפחתה5[[#This Row],[ריבית]],הפחתה7[[#This Row],[ריבית]],הפחתה8[[#This Row],[ריבית]])</f>
        <v>2266.8869941173507</v>
      </c>
      <c r="F209" s="13">
        <f ca="1">SUM(הפחתה[[#This Row],[קרן]],הפחתה5[[#This Row],[קרן]],הפחתה7[[#This Row],[קרן]],הפחתה8[[#This Row],[קרן]])</f>
        <v>3371.9040219726858</v>
      </c>
      <c r="G209" s="13">
        <f ca="1">IF(הפחתה23[[#This Row],[תאריך]]="",0,PropertyTaxAmount)</f>
        <v>0</v>
      </c>
      <c r="H209" s="13">
        <f ca="1">IF(הפחתה23[[#This Row],[תאריך]]="",0,הפחתה23[[#This Row],[ריבית]]+הפחתה23[[#This Row],[קרן]]+הפחתה23[[#This Row],[מס
רכוש]])</f>
        <v>5638.7910160900365</v>
      </c>
      <c r="I209" s="13">
        <f ca="1">IF(הפחתה23[[#This Row],[תאריך]]="",0,הפחתה23[[#This Row],[יתרת פתיחה]]-הפחתה23[[#This Row],[קרן]])</f>
        <v>558411.24715520302</v>
      </c>
      <c r="J209" s="11">
        <f ca="1">MAX(הפחתה[[#This Row],[תשלומים
שנותרו]],הפחתה5[[#This Row],[תשלומים
שנותרו]],הפחתה7[[#This Row],[תשלומים
שנותרו]],הפחתה8[[#This Row],[תשלומים
שנותרו]])</f>
        <v>154</v>
      </c>
    </row>
    <row r="210" spans="1:10" ht="15" customHeight="1" x14ac:dyDescent="0.25">
      <c r="A210" s="8"/>
      <c r="B210" s="11">
        <f>MAX(הפחתה[[#This Row],[מס'']],הפחתה5[[#This Row],[מס'']],הפחתה7[[#This Row],[מס'']],הפחתה8[[#This Row],[מס'']])</f>
        <v>207</v>
      </c>
      <c r="C210" s="12">
        <f ca="1">IF(ValuesEntered,IF(הפחתה23[[#This Row],[מס'']]&lt;=תקופת_ההלוואה,IF(ROW()-ROW(הפחתה[[#Headers],[תאריך]])=1,LoanStart,IF(I209&gt;0,EDATE(C209,1),"")),""),"")</f>
        <v>51653</v>
      </c>
      <c r="D210" s="13">
        <f ca="1">SUM(הפחתה[[#This Row],[יתרת פתיחה]],הפחתה5[[#This Row],[יתרת פתיחה]],הפחתה7[[#This Row],[יתרת פתיחה]],הפחתה8[[#This Row],[יתרת פתיחה]])</f>
        <v>558500.63822535262</v>
      </c>
      <c r="E210" s="13">
        <f ca="1">SUM(הפחתה[[#This Row],[ריבית]],הפחתה5[[#This Row],[ריבית]],הפחתה7[[#This Row],[ריבית]],הפחתה8[[#This Row],[ריבית]])</f>
        <v>2253.9851104352579</v>
      </c>
      <c r="F210" s="13">
        <f ca="1">SUM(הפחתה[[#This Row],[קרן]],הפחתה5[[#This Row],[קרן]],הפחתה7[[#This Row],[קרן]],הפחתה8[[#This Row],[קרן]])</f>
        <v>3385.7902688964559</v>
      </c>
      <c r="G210" s="13">
        <f ca="1">IF(הפחתה23[[#This Row],[תאריך]]="",0,PropertyTaxAmount)</f>
        <v>0</v>
      </c>
      <c r="H210" s="13">
        <f ca="1">IF(הפחתה23[[#This Row],[תאריך]]="",0,הפחתה23[[#This Row],[ריבית]]+הפחתה23[[#This Row],[קרן]]+הפחתה23[[#This Row],[מס
רכוש]])</f>
        <v>5639.7753793317133</v>
      </c>
      <c r="I210" s="13">
        <f ca="1">IF(הפחתה23[[#This Row],[תאריך]]="",0,הפחתה23[[#This Row],[יתרת פתיחה]]-הפחתה23[[#This Row],[קרן]])</f>
        <v>555114.84795645613</v>
      </c>
      <c r="J210" s="11">
        <f ca="1">MAX(הפחתה[[#This Row],[תשלומים
שנותרו]],הפחתה5[[#This Row],[תשלומים
שנותרו]],הפחתה7[[#This Row],[תשלומים
שנותרו]],הפחתה8[[#This Row],[תשלומים
שנותרו]])</f>
        <v>153</v>
      </c>
    </row>
    <row r="211" spans="1:10" ht="15" customHeight="1" x14ac:dyDescent="0.25">
      <c r="A211" s="8"/>
      <c r="B211" s="11">
        <f>MAX(הפחתה[[#This Row],[מס'']],הפחתה5[[#This Row],[מס'']],הפחתה7[[#This Row],[מס'']],הפחתה8[[#This Row],[מס'']])</f>
        <v>208</v>
      </c>
      <c r="C211" s="12">
        <f ca="1">IF(ValuesEntered,IF(הפחתה23[[#This Row],[מס'']]&lt;=תקופת_ההלוואה,IF(ROW()-ROW(הפחתה[[#Headers],[תאריך]])=1,LoanStart,IF(I210&gt;0,EDATE(C210,1),"")),""),"")</f>
        <v>51683</v>
      </c>
      <c r="D211" s="13">
        <f ca="1">SUM(הפחתה[[#This Row],[יתרת פתיחה]],הפחתה5[[#This Row],[יתרת פתיחה]],הפחתה7[[#This Row],[יתרת פתיחה]],הפחתה8[[#This Row],[יתרת פתיחה]])</f>
        <v>555203.52922224859</v>
      </c>
      <c r="E211" s="13">
        <f ca="1">SUM(הפחתה[[#This Row],[ריבית]],הפחתה5[[#This Row],[ריבית]],הפחתה7[[#This Row],[ריבית]],הפחתה8[[#This Row],[ריבית]])</f>
        <v>2241.0272384285913</v>
      </c>
      <c r="F211" s="13">
        <f ca="1">SUM(הפחתה[[#This Row],[קרן]],הפחתה5[[#This Row],[קרן]],הפחתה7[[#This Row],[קרן]],הפחתה8[[#This Row],[קרן]])</f>
        <v>3399.7341353780421</v>
      </c>
      <c r="G211" s="13">
        <f ca="1">IF(הפחתה23[[#This Row],[תאריך]]="",0,PropertyTaxAmount)</f>
        <v>0</v>
      </c>
      <c r="H211" s="13">
        <f ca="1">IF(הפחתה23[[#This Row],[תאריך]]="",0,הפחתה23[[#This Row],[ריבית]]+הפחתה23[[#This Row],[קרן]]+הפחתה23[[#This Row],[מס
רכוש]])</f>
        <v>5640.7613738066339</v>
      </c>
      <c r="I211" s="13">
        <f ca="1">IF(הפחתה23[[#This Row],[תאריך]]="",0,הפחתה23[[#This Row],[יתרת פתיחה]]-הפחתה23[[#This Row],[קרן]])</f>
        <v>551803.79508687055</v>
      </c>
      <c r="J211" s="11">
        <f ca="1">MAX(הפחתה[[#This Row],[תשלומים
שנותרו]],הפחתה5[[#This Row],[תשלומים
שנותרו]],הפחתה7[[#This Row],[תשלומים
שנותרו]],הפחתה8[[#This Row],[תשלומים
שנותרו]])</f>
        <v>152</v>
      </c>
    </row>
    <row r="212" spans="1:10" ht="15" customHeight="1" x14ac:dyDescent="0.25">
      <c r="A212" s="8"/>
      <c r="B212" s="11">
        <f>MAX(הפחתה[[#This Row],[מס'']],הפחתה5[[#This Row],[מס'']],הפחתה7[[#This Row],[מס'']],הפחתה8[[#This Row],[מס'']])</f>
        <v>209</v>
      </c>
      <c r="C212" s="12">
        <f ca="1">IF(ValuesEntered,IF(הפחתה23[[#This Row],[מס'']]&lt;=תקופת_ההלוואה,IF(ROW()-ROW(הפחתה[[#Headers],[תאריך]])=1,LoanStart,IF(I211&gt;0,EDATE(C211,1),"")),""),"")</f>
        <v>51714</v>
      </c>
      <c r="D212" s="13">
        <f ca="1">SUM(הפחתה[[#This Row],[יתרת פתיחה]],הפחתה5[[#This Row],[יתרת פתיחה]],הפחתה7[[#This Row],[יתרת פתיחה]],הפחתה8[[#This Row],[יתרת פתיחה]])</f>
        <v>551891.76227131521</v>
      </c>
      <c r="E212" s="13">
        <f ca="1">SUM(הפחתה[[#This Row],[ריבית]],הפחתה5[[#This Row],[ריבית]],הפחתה7[[#This Row],[ריבית]],הפחתה8[[#This Row],[ריבית]])</f>
        <v>2228.0131403789865</v>
      </c>
      <c r="F212" s="13">
        <f ca="1">SUM(הפחתה[[#This Row],[קרן]],הפחתה5[[#This Row],[קרן]],הפחתה7[[#This Row],[קרן]],הפחתה8[[#This Row],[קרן]])</f>
        <v>3413.7358642386807</v>
      </c>
      <c r="G212" s="13">
        <f ca="1">IF(הפחתה23[[#This Row],[תאריך]]="",0,PropertyTaxAmount)</f>
        <v>0</v>
      </c>
      <c r="H212" s="13">
        <f ca="1">IF(הפחתה23[[#This Row],[תאריך]]="",0,הפחתה23[[#This Row],[ריבית]]+הפחתה23[[#This Row],[קרן]]+הפחתה23[[#This Row],[מס
רכוש]])</f>
        <v>5641.7490046176672</v>
      </c>
      <c r="I212" s="13">
        <f ca="1">IF(הפחתה23[[#This Row],[תאריך]]="",0,הפחתה23[[#This Row],[יתרת פתיחה]]-הפחתה23[[#This Row],[קרן]])</f>
        <v>548478.02640707651</v>
      </c>
      <c r="J212" s="11">
        <f ca="1">MAX(הפחתה[[#This Row],[תשלומים
שנותרו]],הפחתה5[[#This Row],[תשלומים
שנותרו]],הפחתה7[[#This Row],[תשלומים
שנותרו]],הפחתה8[[#This Row],[תשלומים
שנותרו]])</f>
        <v>151</v>
      </c>
    </row>
    <row r="213" spans="1:10" ht="15" customHeight="1" x14ac:dyDescent="0.25">
      <c r="A213" s="8"/>
      <c r="B213" s="11">
        <f>MAX(הפחתה[[#This Row],[מס'']],הפחתה5[[#This Row],[מס'']],הפחתה7[[#This Row],[מס'']],הפחתה8[[#This Row],[מס'']])</f>
        <v>210</v>
      </c>
      <c r="C213" s="12">
        <f ca="1">IF(ValuesEntered,IF(הפחתה23[[#This Row],[מס'']]&lt;=תקופת_ההלוואה,IF(ROW()-ROW(הפחתה[[#Headers],[תאריך]])=1,LoanStart,IF(I212&gt;0,EDATE(C212,1),"")),""),"")</f>
        <v>51745</v>
      </c>
      <c r="D213" s="13">
        <f ca="1">SUM(הפחתה[[#This Row],[יתרת פתיחה]],הפחתה5[[#This Row],[יתרת פתיחה]],הפחתה7[[#This Row],[יתרת פתיחה]],הפחתה8[[#This Row],[יתרת פתיחה]])</f>
        <v>548565.27521474415</v>
      </c>
      <c r="E213" s="13">
        <f ca="1">SUM(הפחתה[[#This Row],[ריבית]],הפחתה5[[#This Row],[ריבית]],הפחתה7[[#This Row],[ריבית]],הפחתה8[[#This Row],[ריבית]])</f>
        <v>2214.9425775593872</v>
      </c>
      <c r="F213" s="13">
        <f ca="1">SUM(הפחתה[[#This Row],[קרן]],הפחתה5[[#This Row],[קרן]],הפחתה7[[#This Row],[קרן]],הפחתה8[[#This Row],[קרן]])</f>
        <v>3427.7956994129709</v>
      </c>
      <c r="G213" s="13">
        <f ca="1">IF(הפחתה23[[#This Row],[תאריך]]="",0,PropertyTaxAmount)</f>
        <v>0</v>
      </c>
      <c r="H213" s="13">
        <f ca="1">IF(הפחתה23[[#This Row],[תאריך]]="",0,הפחתה23[[#This Row],[ריבית]]+הפחתה23[[#This Row],[קרן]]+הפחתה23[[#This Row],[מס
רכוש]])</f>
        <v>5642.7382769723581</v>
      </c>
      <c r="I213" s="13">
        <f ca="1">IF(הפחתה23[[#This Row],[תאריך]]="",0,הפחתה23[[#This Row],[יתרת פתיחה]]-הפחתה23[[#This Row],[קרן]])</f>
        <v>545137.47951533122</v>
      </c>
      <c r="J213" s="11">
        <f ca="1">MAX(הפחתה[[#This Row],[תשלומים
שנותרו]],הפחתה5[[#This Row],[תשלומים
שנותרו]],הפחתה7[[#This Row],[תשלומים
שנותרו]],הפחתה8[[#This Row],[תשלומים
שנותרו]])</f>
        <v>150</v>
      </c>
    </row>
    <row r="214" spans="1:10" ht="15" customHeight="1" x14ac:dyDescent="0.25">
      <c r="A214" s="8"/>
      <c r="B214" s="11">
        <f>MAX(הפחתה[[#This Row],[מס'']],הפחתה5[[#This Row],[מס'']],הפחתה7[[#This Row],[מס'']],הפחתה8[[#This Row],[מס'']])</f>
        <v>211</v>
      </c>
      <c r="C214" s="12">
        <f ca="1">IF(ValuesEntered,IF(הפחתה23[[#This Row],[מס'']]&lt;=תקופת_ההלוואה,IF(ROW()-ROW(הפחתה[[#Headers],[תאריך]])=1,LoanStart,IF(I213&gt;0,EDATE(C213,1),"")),""),"")</f>
        <v>51775</v>
      </c>
      <c r="D214" s="13">
        <f ca="1">SUM(הפחתה[[#This Row],[יתרת פתיחה]],הפחתה5[[#This Row],[יתרת פתיחה]],הפחתה7[[#This Row],[יתרת פתיחה]],הפחתה8[[#This Row],[יתרת פתיחה]])</f>
        <v>545224.00563227676</v>
      </c>
      <c r="E214" s="13">
        <f ca="1">SUM(הפחתה[[#This Row],[ריבית]],הפחתה5[[#This Row],[ריבית]],הפחתה7[[#This Row],[ריבית]],הפחתה8[[#This Row],[ריבית]])</f>
        <v>2201.8153102295855</v>
      </c>
      <c r="F214" s="13">
        <f ca="1">SUM(הפחתה[[#This Row],[קרן]],הפחתה5[[#This Row],[קרן]],הפחתה7[[#This Row],[קרן]],הפחתה8[[#This Row],[קרן]])</f>
        <v>3441.9138859578939</v>
      </c>
      <c r="G214" s="13">
        <f ca="1">IF(הפחתה23[[#This Row],[תאריך]]="",0,PropertyTaxAmount)</f>
        <v>0</v>
      </c>
      <c r="H214" s="13">
        <f ca="1">IF(הפחתה23[[#This Row],[תאריך]]="",0,הפחתה23[[#This Row],[ריבית]]+הפחתה23[[#This Row],[קרן]]+הפחתה23[[#This Row],[מס
רכוש]])</f>
        <v>5643.7291961874798</v>
      </c>
      <c r="I214" s="13">
        <f ca="1">IF(הפחתה23[[#This Row],[תאריך]]="",0,הפחתה23[[#This Row],[יתרת פתיחה]]-הפחתה23[[#This Row],[קרן]])</f>
        <v>541782.09174631885</v>
      </c>
      <c r="J214" s="11">
        <f ca="1">MAX(הפחתה[[#This Row],[תשלומים
שנותרו]],הפחתה5[[#This Row],[תשלומים
שנותרו]],הפחתה7[[#This Row],[תשלומים
שנותרו]],הפחתה8[[#This Row],[תשלומים
שנותרו]])</f>
        <v>149</v>
      </c>
    </row>
    <row r="215" spans="1:10" ht="15" customHeight="1" x14ac:dyDescent="0.25">
      <c r="A215" s="8"/>
      <c r="B215" s="11">
        <f>MAX(הפחתה[[#This Row],[מס'']],הפחתה5[[#This Row],[מס'']],הפחתה7[[#This Row],[מס'']],הפחתה8[[#This Row],[מס'']])</f>
        <v>212</v>
      </c>
      <c r="C215" s="12">
        <f ca="1">IF(ValuesEntered,IF(הפחתה23[[#This Row],[מס'']]&lt;=תקופת_ההלוואה,IF(ROW()-ROW(הפחתה[[#Headers],[תאריך]])=1,LoanStart,IF(I214&gt;0,EDATE(C214,1),"")),""),"")</f>
        <v>51806</v>
      </c>
      <c r="D215" s="13">
        <f ca="1">SUM(הפחתה[[#This Row],[יתרת פתיחה]],הפחתה5[[#This Row],[יתרת פתיחה]],הפחתה7[[#This Row],[יתרת פתיחה]],הפחתה8[[#This Row],[יתרת פתיחה]])</f>
        <v>541867.89084000548</v>
      </c>
      <c r="E215" s="13">
        <f ca="1">SUM(הפחתה[[#This Row],[ריבית]],הפחתה5[[#This Row],[ריבית]],הפחתה7[[#This Row],[ריבית]],הפחתה8[[#This Row],[ריבית]])</f>
        <v>2188.6310976317327</v>
      </c>
      <c r="F215" s="13">
        <f ca="1">SUM(הפחתה[[#This Row],[קרן]],הפחתה5[[#This Row],[קרן]],הפחתה7[[#This Row],[קרן]],הפחתה8[[#This Row],[קרן]])</f>
        <v>3456.0906700621053</v>
      </c>
      <c r="G215" s="13">
        <f ca="1">IF(הפחתה23[[#This Row],[תאריך]]="",0,PropertyTaxAmount)</f>
        <v>0</v>
      </c>
      <c r="H215" s="13">
        <f ca="1">IF(הפחתה23[[#This Row],[תאריך]]="",0,הפחתה23[[#This Row],[ריבית]]+הפחתה23[[#This Row],[קרן]]+הפחתה23[[#This Row],[מס
רכוש]])</f>
        <v>5644.721767693838</v>
      </c>
      <c r="I215" s="13">
        <f ca="1">IF(הפחתה23[[#This Row],[תאריך]]="",0,הפחתה23[[#This Row],[יתרת פתיחה]]-הפחתה23[[#This Row],[קרן]])</f>
        <v>538411.80016994337</v>
      </c>
      <c r="J215" s="11">
        <f ca="1">MAX(הפחתה[[#This Row],[תשלומים
שנותרו]],הפחתה5[[#This Row],[תשלומים
שנותרו]],הפחתה7[[#This Row],[תשלומים
שנותרו]],הפחתה8[[#This Row],[תשלומים
שנותרו]])</f>
        <v>148</v>
      </c>
    </row>
    <row r="216" spans="1:10" ht="15" customHeight="1" x14ac:dyDescent="0.25">
      <c r="A216" s="8"/>
      <c r="B216" s="11">
        <f>MAX(הפחתה[[#This Row],[מס'']],הפחתה5[[#This Row],[מס'']],הפחתה7[[#This Row],[מס'']],הפחתה8[[#This Row],[מס'']])</f>
        <v>213</v>
      </c>
      <c r="C216" s="12">
        <f ca="1">IF(ValuesEntered,IF(הפחתה23[[#This Row],[מס'']]&lt;=תקופת_ההלוואה,IF(ROW()-ROW(הפחתה[[#Headers],[תאריך]])=1,LoanStart,IF(I215&gt;0,EDATE(C215,1),"")),""),"")</f>
        <v>51836</v>
      </c>
      <c r="D216" s="13">
        <f ca="1">SUM(הפחתה[[#This Row],[יתרת פתיחה]],הפחתה5[[#This Row],[יתרת פתיחה]],הפחתה7[[#This Row],[יתרת פתיחה]],הפחתה8[[#This Row],[יתרת פתיחה]])</f>
        <v>538496.86788916471</v>
      </c>
      <c r="E216" s="13">
        <f ca="1">SUM(הפחתה[[#This Row],[ריבית]],הפחתה5[[#This Row],[ריבית]],הפחתה7[[#This Row],[ריבית]],הפחתה8[[#This Row],[ריבית]])</f>
        <v>2175.3896979858237</v>
      </c>
      <c r="F216" s="13">
        <f ca="1">SUM(הפחתה[[#This Row],[קרן]],הפחתה5[[#This Row],[קרן]],הפחתה7[[#This Row],[קרן]],הפחתה8[[#This Row],[קרן]])</f>
        <v>3470.3262990555349</v>
      </c>
      <c r="G216" s="13">
        <f ca="1">IF(הפחתה23[[#This Row],[תאריך]]="",0,PropertyTaxAmount)</f>
        <v>0</v>
      </c>
      <c r="H216" s="13">
        <f ca="1">IF(הפחתה23[[#This Row],[תאריך]]="",0,הפחתה23[[#This Row],[ריבית]]+הפחתה23[[#This Row],[קרן]]+הפחתה23[[#This Row],[מס
רכוש]])</f>
        <v>5645.7159970413586</v>
      </c>
      <c r="I216" s="13">
        <f ca="1">IF(הפחתה23[[#This Row],[תאריך]]="",0,הפחתה23[[#This Row],[יתרת פתיחה]]-הפחתה23[[#This Row],[קרן]])</f>
        <v>535026.54159010923</v>
      </c>
      <c r="J216" s="11">
        <f ca="1">MAX(הפחתה[[#This Row],[תשלומים
שנותרו]],הפחתה5[[#This Row],[תשלומים
שנותרו]],הפחתה7[[#This Row],[תשלומים
שנותרו]],הפחתה8[[#This Row],[תשלומים
שנותרו]])</f>
        <v>147</v>
      </c>
    </row>
    <row r="217" spans="1:10" ht="15" customHeight="1" x14ac:dyDescent="0.25">
      <c r="A217" s="8"/>
      <c r="B217" s="11">
        <f>MAX(הפחתה[[#This Row],[מס'']],הפחתה5[[#This Row],[מס'']],הפחתה7[[#This Row],[מס'']],הפחתה8[[#This Row],[מס'']])</f>
        <v>214</v>
      </c>
      <c r="C217" s="12">
        <f ca="1">IF(ValuesEntered,IF(הפחתה23[[#This Row],[מס'']]&lt;=תקופת_ההלוואה,IF(ROW()-ROW(הפחתה[[#Headers],[תאריך]])=1,LoanStart,IF(I216&gt;0,EDATE(C216,1),"")),""),"")</f>
        <v>51867</v>
      </c>
      <c r="D217" s="13">
        <f ca="1">SUM(הפחתה[[#This Row],[יתרת פתיחה]],הפחתה5[[#This Row],[יתרת פתיחה]],הפחתה7[[#This Row],[יתרת פתיחה]],הפחתה8[[#This Row],[יתרת פתיחה]])</f>
        <v>535110.87356491224</v>
      </c>
      <c r="E217" s="13">
        <f ca="1">SUM(הפחתה[[#This Row],[ריבית]],הפחתה5[[#This Row],[ריבית]],הפחתה7[[#This Row],[ריבית]],הפחתה8[[#This Row],[ריבית]])</f>
        <v>2162.0908684851456</v>
      </c>
      <c r="F217" s="13">
        <f ca="1">SUM(הפחתה[[#This Row],[קרן]],הפחתה5[[#This Row],[קרן]],הפחתה7[[#This Row],[קרן]],הפחתה8[[#This Row],[קרן]])</f>
        <v>3484.6210214193061</v>
      </c>
      <c r="G217" s="13">
        <f ca="1">IF(הפחתה23[[#This Row],[תאריך]]="",0,PropertyTaxAmount)</f>
        <v>0</v>
      </c>
      <c r="H217" s="13">
        <f ca="1">IF(הפחתה23[[#This Row],[תאריך]]="",0,הפחתה23[[#This Row],[ריבית]]+הפחתה23[[#This Row],[קרן]]+הפחתה23[[#This Row],[מס
רכוש]])</f>
        <v>5646.7118899044517</v>
      </c>
      <c r="I217" s="13">
        <f ca="1">IF(הפחתה23[[#This Row],[תאריך]]="",0,הפחתה23[[#This Row],[יתרת פתיחה]]-הפחתה23[[#This Row],[קרן]])</f>
        <v>531626.25254349294</v>
      </c>
      <c r="J217" s="11">
        <f ca="1">MAX(הפחתה[[#This Row],[תשלומים
שנותרו]],הפחתה5[[#This Row],[תשלומים
שנותרו]],הפחתה7[[#This Row],[תשלומים
שנותרו]],הפחתה8[[#This Row],[תשלומים
שנותרו]])</f>
        <v>146</v>
      </c>
    </row>
    <row r="218" spans="1:10" ht="15" customHeight="1" x14ac:dyDescent="0.25">
      <c r="A218" s="8"/>
      <c r="B218" s="11">
        <f>MAX(הפחתה[[#This Row],[מס'']],הפחתה5[[#This Row],[מס'']],הפחתה7[[#This Row],[מס'']],הפחתה8[[#This Row],[מס'']])</f>
        <v>215</v>
      </c>
      <c r="C218" s="12">
        <f ca="1">IF(ValuesEntered,IF(הפחתה23[[#This Row],[מס'']]&lt;=תקופת_ההלוואה,IF(ROW()-ROW(הפחתה[[#Headers],[תאריך]])=1,LoanStart,IF(I217&gt;0,EDATE(C217,1),"")),""),"")</f>
        <v>51898</v>
      </c>
      <c r="D218" s="13">
        <f ca="1">SUM(הפחתה[[#This Row],[יתרת פתיחה]],הפחתה5[[#This Row],[יתרת פתיחה]],הפחתה7[[#This Row],[יתרת פתיחה]],הפחתה8[[#This Row],[יתרת פתיחה]])</f>
        <v>531709.8443850996</v>
      </c>
      <c r="E218" s="13">
        <f ca="1">SUM(הפחתה[[#This Row],[ריבית]],הפחתה5[[#This Row],[ריבית]],הפחתה7[[#This Row],[ריבית]],הפחתה8[[#This Row],[ריבית]])</f>
        <v>2148.734365291707</v>
      </c>
      <c r="F218" s="13">
        <f ca="1">SUM(הפחתה[[#This Row],[קרן]],הפחתה5[[#This Row],[קרן]],הפחתה7[[#This Row],[קרן]],הפחתה8[[#This Row],[קרן]])</f>
        <v>3498.9750867959829</v>
      </c>
      <c r="G218" s="13">
        <f ca="1">IF(הפחתה23[[#This Row],[תאריך]]="",0,PropertyTaxAmount)</f>
        <v>0</v>
      </c>
      <c r="H218" s="13">
        <f ca="1">IF(הפחתה23[[#This Row],[תאריך]]="",0,הפחתה23[[#This Row],[ריבית]]+הפחתה23[[#This Row],[קרן]]+הפחתה23[[#This Row],[מס
רכוש]])</f>
        <v>5647.7094520876899</v>
      </c>
      <c r="I218" s="13">
        <f ca="1">IF(הפחתה23[[#This Row],[תאריך]]="",0,הפחתה23[[#This Row],[יתרת פתיחה]]-הפחתה23[[#This Row],[קרן]])</f>
        <v>528210.86929830362</v>
      </c>
      <c r="J218" s="11">
        <f ca="1">MAX(הפחתה[[#This Row],[תשלומים
שנותרו]],הפחתה5[[#This Row],[תשלומים
שנותרו]],הפחתה7[[#This Row],[תשלומים
שנותרו]],הפחתה8[[#This Row],[תשלומים
שנותרו]])</f>
        <v>145</v>
      </c>
    </row>
    <row r="219" spans="1:10" ht="15" customHeight="1" x14ac:dyDescent="0.25">
      <c r="A219" s="8"/>
      <c r="B219" s="11">
        <f>MAX(הפחתה[[#This Row],[מס'']],הפחתה5[[#This Row],[מס'']],הפחתה7[[#This Row],[מס'']],הפחתה8[[#This Row],[מס'']])</f>
        <v>216</v>
      </c>
      <c r="C219" s="12">
        <f ca="1">IF(ValuesEntered,IF(הפחתה23[[#This Row],[מס'']]&lt;=תקופת_ההלוואה,IF(ROW()-ROW(הפחתה[[#Headers],[תאריך]])=1,LoanStart,IF(I218&gt;0,EDATE(C218,1),"")),""),"")</f>
        <v>51926</v>
      </c>
      <c r="D219" s="13">
        <f ca="1">SUM(הפחתה[[#This Row],[יתרת פתיחה]],הפחתה5[[#This Row],[יתרת פתיחה]],הפחתה7[[#This Row],[יתרת פתיחה]],הפחתה8[[#This Row],[יתרת פתיחה]])</f>
        <v>528293.71659903182</v>
      </c>
      <c r="E219" s="13">
        <f ca="1">SUM(הפחתה[[#This Row],[ריבית]],הפחתה5[[#This Row],[ריבית]],הפחתה7[[#This Row],[ריבית]],הפחתה8[[#This Row],[ריבית]])</f>
        <v>2135.3199435316274</v>
      </c>
      <c r="F219" s="13">
        <f ca="1">SUM(הפחתה[[#This Row],[קרן]],הפחתה5[[#This Row],[קרן]],הפחתה7[[#This Row],[קרן]],הפחתה8[[#This Row],[קרן]])</f>
        <v>3513.3887460002011</v>
      </c>
      <c r="G219" s="13">
        <f ca="1">IF(הפחתה23[[#This Row],[תאריך]]="",0,PropertyTaxAmount)</f>
        <v>0</v>
      </c>
      <c r="H219" s="13">
        <f ca="1">IF(הפחתה23[[#This Row],[תאריך]]="",0,הפחתה23[[#This Row],[ריבית]]+הפחתה23[[#This Row],[קרן]]+הפחתה23[[#This Row],[מס
רכוש]])</f>
        <v>5648.708689531828</v>
      </c>
      <c r="I219" s="13">
        <f ca="1">IF(הפחתה23[[#This Row],[תאריך]]="",0,הפחתה23[[#This Row],[יתרת פתיחה]]-הפחתה23[[#This Row],[קרן]])</f>
        <v>524780.32785303157</v>
      </c>
      <c r="J219" s="11">
        <f ca="1">MAX(הפחתה[[#This Row],[תשלומים
שנותרו]],הפחתה5[[#This Row],[תשלומים
שנותרו]],הפחתה7[[#This Row],[תשלומים
שנותרו]],הפחתה8[[#This Row],[תשלומים
שנותרו]])</f>
        <v>144</v>
      </c>
    </row>
    <row r="220" spans="1:10" ht="15" customHeight="1" x14ac:dyDescent="0.25">
      <c r="A220" s="8"/>
      <c r="B220" s="11">
        <f>MAX(הפחתה[[#This Row],[מס'']],הפחתה5[[#This Row],[מס'']],הפחתה7[[#This Row],[מס'']],הפחתה8[[#This Row],[מס'']])</f>
        <v>217</v>
      </c>
      <c r="C220" s="12">
        <f ca="1">IF(ValuesEntered,IF(הפחתה23[[#This Row],[מס'']]&lt;=תקופת_ההלוואה,IF(ROW()-ROW(הפחתה[[#Headers],[תאריך]])=1,LoanStart,IF(I219&gt;0,EDATE(C219,1),"")),""),"")</f>
        <v>51957</v>
      </c>
      <c r="D220" s="13">
        <f ca="1">SUM(הפחתה[[#This Row],[יתרת פתיחה]],הפחתה5[[#This Row],[יתרת פתיחה]],הפחתה7[[#This Row],[יתרת פתיחה]],הפחתה8[[#This Row],[יתרת פתיחה]])</f>
        <v>524862.426186217</v>
      </c>
      <c r="E220" s="13">
        <f ca="1">SUM(הפחתה[[#This Row],[ריבית]],הפחתה5[[#This Row],[ריבית]],הפחתה7[[#This Row],[ריבית]],הפחתה8[[#This Row],[ריבית]])</f>
        <v>2121.8473572904977</v>
      </c>
      <c r="F220" s="13">
        <f ca="1">SUM(הפחתה[[#This Row],[קרן]],הפחתה5[[#This Row],[קרן]],הפחתה7[[#This Row],[קרן]],הפחתה8[[#This Row],[קרן]])</f>
        <v>3527.862251029665</v>
      </c>
      <c r="G220" s="13">
        <f ca="1">IF(הפחתה23[[#This Row],[תאריך]]="",0,PropertyTaxAmount)</f>
        <v>0</v>
      </c>
      <c r="H220" s="13">
        <f ca="1">IF(הפחתה23[[#This Row],[תאריך]]="",0,הפחתה23[[#This Row],[ריבית]]+הפחתה23[[#This Row],[קרן]]+הפחתה23[[#This Row],[מס
רכוש]])</f>
        <v>5649.7096083201632</v>
      </c>
      <c r="I220" s="13">
        <f ca="1">IF(הפחתה23[[#This Row],[תאריך]]="",0,הפחתה23[[#This Row],[יתרת פתיחה]]-הפחתה23[[#This Row],[קרן]])</f>
        <v>521334.56393518735</v>
      </c>
      <c r="J220" s="11">
        <f ca="1">MAX(הפחתה[[#This Row],[תשלומים
שנותרו]],הפחתה5[[#This Row],[תשלומים
שנותרו]],הפחתה7[[#This Row],[תשלומים
שנותרו]],הפחתה8[[#This Row],[תשלומים
שנותרו]])</f>
        <v>143</v>
      </c>
    </row>
    <row r="221" spans="1:10" ht="15" customHeight="1" x14ac:dyDescent="0.25">
      <c r="A221" s="8"/>
      <c r="B221" s="11">
        <f>MAX(הפחתה[[#This Row],[מס'']],הפחתה5[[#This Row],[מס'']],הפחתה7[[#This Row],[מס'']],הפחתה8[[#This Row],[מס'']])</f>
        <v>218</v>
      </c>
      <c r="C221" s="12">
        <f ca="1">IF(ValuesEntered,IF(הפחתה23[[#This Row],[מס'']]&lt;=תקופת_ההלוואה,IF(ROW()-ROW(הפחתה[[#Headers],[תאריך]])=1,LoanStart,IF(I220&gt;0,EDATE(C220,1),"")),""),"")</f>
        <v>51987</v>
      </c>
      <c r="D221" s="13">
        <f ca="1">SUM(הפחתה[[#This Row],[יתרת פתיחה]],הפחתה5[[#This Row],[יתרת פתיחה]],הפחתה7[[#This Row],[יתרת פתיחה]],הפחתה8[[#This Row],[יתרת פתיחה]])</f>
        <v>521415.9088551029</v>
      </c>
      <c r="E221" s="13">
        <f ca="1">SUM(הפחתה[[#This Row],[ריבית]],הפחתה5[[#This Row],[ריבית]],הפחתה7[[#This Row],[ריבית]],הפחתה8[[#This Row],[ריבית]])</f>
        <v>2108.3163596087093</v>
      </c>
      <c r="F221" s="13">
        <f ca="1">SUM(הפחתה[[#This Row],[קרן]],הפחתה5[[#This Row],[קרן]],הפחתה7[[#This Row],[קרן]],הפחתה8[[#This Row],[קרן]])</f>
        <v>3542.3958550765765</v>
      </c>
      <c r="G221" s="13">
        <f ca="1">IF(הפחתה23[[#This Row],[תאריך]]="",0,PropertyTaxAmount)</f>
        <v>0</v>
      </c>
      <c r="H221" s="13">
        <f ca="1">IF(הפחתה23[[#This Row],[תאריך]]="",0,הפחתה23[[#This Row],[ריבית]]+הפחתה23[[#This Row],[קרן]]+הפחתה23[[#This Row],[מס
רכוש]])</f>
        <v>5650.7122146852853</v>
      </c>
      <c r="I221" s="13">
        <f ca="1">IF(הפחתה23[[#This Row],[תאריך]]="",0,הפחתה23[[#This Row],[יתרת פתיחה]]-הפחתה23[[#This Row],[קרן]])</f>
        <v>517873.51300002635</v>
      </c>
      <c r="J221" s="11">
        <f ca="1">MAX(הפחתה[[#This Row],[תשלומים
שנותרו]],הפחתה5[[#This Row],[תשלומים
שנותרו]],הפחתה7[[#This Row],[תשלומים
שנותרו]],הפחתה8[[#This Row],[תשלומים
שנותרו]])</f>
        <v>142</v>
      </c>
    </row>
    <row r="222" spans="1:10" ht="15" customHeight="1" x14ac:dyDescent="0.25">
      <c r="A222" s="8"/>
      <c r="B222" s="11">
        <f>MAX(הפחתה[[#This Row],[מס'']],הפחתה5[[#This Row],[מס'']],הפחתה7[[#This Row],[מס'']],הפחתה8[[#This Row],[מס'']])</f>
        <v>219</v>
      </c>
      <c r="C222" s="12">
        <f ca="1">IF(ValuesEntered,IF(הפחתה23[[#This Row],[מס'']]&lt;=תקופת_ההלוואה,IF(ROW()-ROW(הפחתה[[#Headers],[תאריך]])=1,LoanStart,IF(I221&gt;0,EDATE(C221,1),"")),""),"")</f>
        <v>52018</v>
      </c>
      <c r="D222" s="13">
        <f ca="1">SUM(הפחתה[[#This Row],[יתרת פתיחה]],הפחתה5[[#This Row],[יתרת פתיחה]],הפחתה7[[#This Row],[יתרת פתיחה]],הפחתה8[[#This Row],[יתרת פתיחה]])</f>
        <v>517954.1000418021</v>
      </c>
      <c r="E222" s="13">
        <f ca="1">SUM(הפחתה[[#This Row],[ריבית]],הפחתה5[[#This Row],[ריבית]],הפחתה7[[#This Row],[ריבית]],הפחתה8[[#This Row],[ריבית]])</f>
        <v>2094.7267024767507</v>
      </c>
      <c r="F222" s="13">
        <f ca="1">SUM(הפחתה[[#This Row],[קרן]],הפחתה5[[#This Row],[קרן]],הפחתה7[[#This Row],[קרן]],הפחתה8[[#This Row],[קרן]])</f>
        <v>3556.9898125394893</v>
      </c>
      <c r="G222" s="13">
        <f ca="1">IF(הפחתה23[[#This Row],[תאריך]]="",0,PropertyTaxAmount)</f>
        <v>0</v>
      </c>
      <c r="H222" s="13">
        <f ca="1">IF(הפחתה23[[#This Row],[תאריך]]="",0,הפחתה23[[#This Row],[ריבית]]+הפחתה23[[#This Row],[קרן]]+הפחתה23[[#This Row],[מס
רכוש]])</f>
        <v>5651.71651501624</v>
      </c>
      <c r="I222" s="13">
        <f ca="1">IF(הפחתה23[[#This Row],[תאריך]]="",0,הפחתה23[[#This Row],[יתרת פתיחה]]-הפחתה23[[#This Row],[קרן]])</f>
        <v>514397.11022926262</v>
      </c>
      <c r="J222" s="11">
        <f ca="1">MAX(הפחתה[[#This Row],[תשלומים
שנותרו]],הפחתה5[[#This Row],[תשלומים
שנותרו]],הפחתה7[[#This Row],[תשלומים
שנותרו]],הפחתה8[[#This Row],[תשלומים
שנותרו]])</f>
        <v>141</v>
      </c>
    </row>
    <row r="223" spans="1:10" ht="15" customHeight="1" x14ac:dyDescent="0.25">
      <c r="A223" s="8"/>
      <c r="B223" s="11">
        <f>MAX(הפחתה[[#This Row],[מס'']],הפחתה5[[#This Row],[מס'']],הפחתה7[[#This Row],[מס'']],הפחתה8[[#This Row],[מס'']])</f>
        <v>220</v>
      </c>
      <c r="C223" s="12">
        <f ca="1">IF(ValuesEntered,IF(הפחתה23[[#This Row],[מס'']]&lt;=תקופת_ההלוואה,IF(ROW()-ROW(הפחתה[[#Headers],[תאריך]])=1,LoanStart,IF(I222&gt;0,EDATE(C222,1),"")),""),"")</f>
        <v>52048</v>
      </c>
      <c r="D223" s="13">
        <f ca="1">SUM(הפחתה[[#This Row],[יתרת פתיחה]],הפחתה5[[#This Row],[יתרת פתיחה]],הפחתה7[[#This Row],[יתרת פתיחה]],הפחתה8[[#This Row],[יתרת פתיחה]])</f>
        <v>514476.93490880582</v>
      </c>
      <c r="E223" s="13">
        <f ca="1">SUM(הפחתה[[#This Row],[ריבית]],הפחתה5[[#This Row],[ריבית]],הפחתה7[[#This Row],[ריבית]],הפחתה8[[#This Row],[ריבית]])</f>
        <v>2081.078136830467</v>
      </c>
      <c r="F223" s="13">
        <f ca="1">SUM(הפחתה[[#This Row],[קרן]],הפחתה5[[#This Row],[קרן]],הפחתה7[[#This Row],[קרן]],הפחתה8[[#This Row],[קרן]])</f>
        <v>3571.6443790356543</v>
      </c>
      <c r="G223" s="13">
        <f ca="1">IF(הפחתה23[[#This Row],[תאריך]]="",0,PropertyTaxAmount)</f>
        <v>0</v>
      </c>
      <c r="H223" s="13">
        <f ca="1">IF(הפחתה23[[#This Row],[תאריך]]="",0,הפחתה23[[#This Row],[ריבית]]+הפחתה23[[#This Row],[קרן]]+הפחתה23[[#This Row],[מס
רכוש]])</f>
        <v>5652.7225158661213</v>
      </c>
      <c r="I223" s="13">
        <f ca="1">IF(הפחתה23[[#This Row],[תאריך]]="",0,הפחתה23[[#This Row],[יתרת פתיחה]]-הפחתה23[[#This Row],[קרן]])</f>
        <v>510905.29052977019</v>
      </c>
      <c r="J223" s="11">
        <f ca="1">MAX(הפחתה[[#This Row],[תשלומים
שנותרו]],הפחתה5[[#This Row],[תשלומים
שנותרו]],הפחתה7[[#This Row],[תשלומים
שנותרו]],הפחתה8[[#This Row],[תשלומים
שנותרו]])</f>
        <v>140</v>
      </c>
    </row>
    <row r="224" spans="1:10" ht="15" customHeight="1" x14ac:dyDescent="0.25">
      <c r="A224" s="8"/>
      <c r="B224" s="11">
        <f>MAX(הפחתה[[#This Row],[מס'']],הפחתה5[[#This Row],[מס'']],הפחתה7[[#This Row],[מס'']],הפחתה8[[#This Row],[מס'']])</f>
        <v>221</v>
      </c>
      <c r="C224" s="12">
        <f ca="1">IF(ValuesEntered,IF(הפחתה23[[#This Row],[מס'']]&lt;=תקופת_ההלוואה,IF(ROW()-ROW(הפחתה[[#Headers],[תאריך]])=1,LoanStart,IF(I223&gt;0,EDATE(C223,1),"")),""),"")</f>
        <v>52079</v>
      </c>
      <c r="D224" s="13">
        <f ca="1">SUM(הפחתה[[#This Row],[יתרת פתיחה]],הפחתה5[[#This Row],[יתרת פתיחה]],הפחתה7[[#This Row],[יתרת פתיחה]],הפחתה8[[#This Row],[יתרת פתיחה]])</f>
        <v>510984.34834368312</v>
      </c>
      <c r="E224" s="13">
        <f ca="1">SUM(הפחתה[[#This Row],[ריבית]],הפחתה5[[#This Row],[ריבית]],הפחתה7[[#This Row],[ריבית]],הפחתה8[[#This Row],[ריבית]])</f>
        <v>2067.3704125462864</v>
      </c>
      <c r="F224" s="13">
        <f ca="1">SUM(הפחתה[[#This Row],[קרן]],הפחתה5[[#This Row],[קרן]],הפחתה7[[#This Row],[קרן]],הפחתה8[[#This Row],[קרן]])</f>
        <v>3586.3598114138549</v>
      </c>
      <c r="G224" s="13">
        <f ca="1">IF(הפחתה23[[#This Row],[תאריך]]="",0,PropertyTaxAmount)</f>
        <v>0</v>
      </c>
      <c r="H224" s="13">
        <f ca="1">IF(הפחתה23[[#This Row],[תאריך]]="",0,הפחתה23[[#This Row],[ריבית]]+הפחתה23[[#This Row],[קרן]]+הפחתה23[[#This Row],[מס
רכוש]])</f>
        <v>5653.7302239601413</v>
      </c>
      <c r="I224" s="13">
        <f ca="1">IF(הפחתה23[[#This Row],[תאריך]]="",0,הפחתה23[[#This Row],[יתרת פתיחה]]-הפחתה23[[#This Row],[קרן]])</f>
        <v>507397.98853226926</v>
      </c>
      <c r="J224" s="11">
        <f ca="1">MAX(הפחתה[[#This Row],[תשלומים
שנותרו]],הפחתה5[[#This Row],[תשלומים
שנותרו]],הפחתה7[[#This Row],[תשלומים
שנותרו]],הפחתה8[[#This Row],[תשלומים
שנותרו]])</f>
        <v>139</v>
      </c>
    </row>
    <row r="225" spans="1:10" ht="15" customHeight="1" x14ac:dyDescent="0.25">
      <c r="A225" s="8"/>
      <c r="B225" s="11">
        <f>MAX(הפחתה[[#This Row],[מס'']],הפחתה5[[#This Row],[מס'']],הפחתה7[[#This Row],[מס'']],הפחתה8[[#This Row],[מס'']])</f>
        <v>222</v>
      </c>
      <c r="C225" s="12">
        <f ca="1">IF(ValuesEntered,IF(הפחתה23[[#This Row],[מס'']]&lt;=תקופת_ההלוואה,IF(ROW()-ROW(הפחתה[[#Headers],[תאריך]])=1,LoanStart,IF(I224&gt;0,EDATE(C224,1),"")),""),"")</f>
        <v>52110</v>
      </c>
      <c r="D225" s="13">
        <f ca="1">SUM(הפחתה[[#This Row],[יתרת פתיחה]],הפחתה5[[#This Row],[יתרת פתיחה]],הפחתה7[[#This Row],[יתרת פתיחה]],הפחתה8[[#This Row],[יתרת פתיחה]])</f>
        <v>507476.27495776786</v>
      </c>
      <c r="E225" s="13">
        <f ca="1">SUM(הפחתה[[#This Row],[ריבית]],הפחתה5[[#This Row],[ריבית]],הפחתה7[[#This Row],[ריבית]],הפחתה8[[#This Row],[ריבית]])</f>
        <v>2053.6032784364079</v>
      </c>
      <c r="F225" s="13">
        <f ca="1">SUM(הפחתה[[#This Row],[קרן]],הפחתה5[[#This Row],[קרן]],הפחתה7[[#This Row],[קרן]],הפחתה8[[#This Row],[קרן]])</f>
        <v>3601.1363677678041</v>
      </c>
      <c r="G225" s="13">
        <f ca="1">IF(הפחתה23[[#This Row],[תאריך]]="",0,PropertyTaxAmount)</f>
        <v>0</v>
      </c>
      <c r="H225" s="13">
        <f ca="1">IF(הפחתה23[[#This Row],[תאריך]]="",0,הפחתה23[[#This Row],[ריבית]]+הפחתה23[[#This Row],[קרן]]+הפחתה23[[#This Row],[מס
רכוש]])</f>
        <v>5654.7396462042125</v>
      </c>
      <c r="I225" s="13">
        <f ca="1">IF(הפחתה23[[#This Row],[תאריך]]="",0,הפחתה23[[#This Row],[יתרת פתיחה]]-הפחתה23[[#This Row],[קרן]])</f>
        <v>503875.13859000005</v>
      </c>
      <c r="J225" s="11">
        <f ca="1">MAX(הפחתה[[#This Row],[תשלומים
שנותרו]],הפחתה5[[#This Row],[תשלומים
שנותרו]],הפחתה7[[#This Row],[תשלומים
שנותרו]],הפחתה8[[#This Row],[תשלומים
שנותרו]])</f>
        <v>138</v>
      </c>
    </row>
    <row r="226" spans="1:10" ht="15" customHeight="1" x14ac:dyDescent="0.25">
      <c r="A226" s="8"/>
      <c r="B226" s="11">
        <f>MAX(הפחתה[[#This Row],[מס'']],הפחתה5[[#This Row],[מס'']],הפחתה7[[#This Row],[מס'']],הפחתה8[[#This Row],[מס'']])</f>
        <v>223</v>
      </c>
      <c r="C226" s="12">
        <f ca="1">IF(ValuesEntered,IF(הפחתה23[[#This Row],[מס'']]&lt;=תקופת_ההלוואה,IF(ROW()-ROW(הפחתה[[#Headers],[תאריך]])=1,LoanStart,IF(I225&gt;0,EDATE(C225,1),"")),""),"")</f>
        <v>52140</v>
      </c>
      <c r="D226" s="13">
        <f ca="1">SUM(הפחתה[[#This Row],[יתרת פתיחה]],הפחתה5[[#This Row],[יתרת פתיחה]],הפחתה7[[#This Row],[יתרת פתיחה]],הפחתה8[[#This Row],[יתרת פתיחה]])</f>
        <v>503952.64908483118</v>
      </c>
      <c r="E226" s="13">
        <f ca="1">SUM(הפחתה[[#This Row],[ריבית]],הפחתה5[[#This Row],[ריבית]],הפחתה7[[#This Row],[ריבית]],הפחתה8[[#This Row],[ריבית]])</f>
        <v>2039.7764822439538</v>
      </c>
      <c r="F226" s="13">
        <f ca="1">SUM(הפחתה[[#This Row],[קרן]],הפחתה5[[#This Row],[קרן]],הפחתה7[[#This Row],[קרן]],הפחתה8[[#This Row],[קרן]])</f>
        <v>3615.9743074501075</v>
      </c>
      <c r="G226" s="13">
        <f ca="1">IF(הפחתה23[[#This Row],[תאריך]]="",0,PropertyTaxAmount)</f>
        <v>0</v>
      </c>
      <c r="H226" s="13">
        <f ca="1">IF(הפחתה23[[#This Row],[תאריך]]="",0,הפחתה23[[#This Row],[ריבית]]+הפחתה23[[#This Row],[קרן]]+הפחתה23[[#This Row],[מס
רכוש]])</f>
        <v>5655.7507896940615</v>
      </c>
      <c r="I226" s="13">
        <f ca="1">IF(הפחתה23[[#This Row],[תאריך]]="",0,הפחתה23[[#This Row],[יתרת פתיחה]]-הפחתה23[[#This Row],[קרן]])</f>
        <v>500336.67477738106</v>
      </c>
      <c r="J226" s="11">
        <f ca="1">MAX(הפחתה[[#This Row],[תשלומים
שנותרו]],הפחתה5[[#This Row],[תשלומים
שנותרו]],הפחתה7[[#This Row],[תשלומים
שנותרו]],הפחתה8[[#This Row],[תשלומים
שנותרו]])</f>
        <v>137</v>
      </c>
    </row>
    <row r="227" spans="1:10" ht="15" customHeight="1" x14ac:dyDescent="0.25">
      <c r="A227" s="8"/>
      <c r="B227" s="11">
        <f>MAX(הפחתה[[#This Row],[מס'']],הפחתה5[[#This Row],[מס'']],הפחתה7[[#This Row],[מס'']],הפחתה8[[#This Row],[מס'']])</f>
        <v>224</v>
      </c>
      <c r="C227" s="12">
        <f ca="1">IF(ValuesEntered,IF(הפחתה23[[#This Row],[מס'']]&lt;=תקופת_ההלוואה,IF(ROW()-ROW(הפחתה[[#Headers],[תאריך]])=1,LoanStart,IF(I226&gt;0,EDATE(C226,1),"")),""),"")</f>
        <v>52171</v>
      </c>
      <c r="D227" s="13">
        <f ca="1">SUM(הפחתה[[#This Row],[יתרת פתיחה]],הפחתה5[[#This Row],[יתרת פתיחה]],הפחתה7[[#This Row],[יתרת פתיחה]],הפחתה8[[#This Row],[יתרת פתיחה]])</f>
        <v>500413.40477973979</v>
      </c>
      <c r="E227" s="13">
        <f ca="1">SUM(הפחתה[[#This Row],[ריבית]],הפחתה5[[#This Row],[ריבית]],הפחתה7[[#This Row],[ריבית]],הפחתה8[[#This Row],[ריבית]])</f>
        <v>2025.8897706380828</v>
      </c>
      <c r="F227" s="13">
        <f ca="1">SUM(הפחתה[[#This Row],[קרן]],הפחתה5[[#This Row],[קרן]],הפחתה7[[#This Row],[קרן]],הפחתה8[[#This Row],[קרן]])</f>
        <v>3630.8738910868724</v>
      </c>
      <c r="G227" s="13">
        <f ca="1">IF(הפחתה23[[#This Row],[תאריך]]="",0,PropertyTaxAmount)</f>
        <v>0</v>
      </c>
      <c r="H227" s="13">
        <f ca="1">IF(הפחתה23[[#This Row],[תאריך]]="",0,הפחתה23[[#This Row],[ריבית]]+הפחתה23[[#This Row],[קרן]]+הפחתה23[[#This Row],[מס
רכוש]])</f>
        <v>5656.7636617249555</v>
      </c>
      <c r="I227" s="13">
        <f ca="1">IF(הפחתה23[[#This Row],[תאריך]]="",0,הפחתה23[[#This Row],[יתרת פתיחה]]-הפחתה23[[#This Row],[קרן]])</f>
        <v>496782.53088865289</v>
      </c>
      <c r="J227" s="11">
        <f ca="1">MAX(הפחתה[[#This Row],[תשלומים
שנותרו]],הפחתה5[[#This Row],[תשלומים
שנותרו]],הפחתה7[[#This Row],[תשלומים
שנותרו]],הפחתה8[[#This Row],[תשלומים
שנותרו]])</f>
        <v>136</v>
      </c>
    </row>
    <row r="228" spans="1:10" ht="15" customHeight="1" x14ac:dyDescent="0.25">
      <c r="A228" s="8"/>
      <c r="B228" s="11">
        <f>MAX(הפחתה[[#This Row],[מס'']],הפחתה5[[#This Row],[מס'']],הפחתה7[[#This Row],[מס'']],הפחתה8[[#This Row],[מס'']])</f>
        <v>225</v>
      </c>
      <c r="C228" s="12">
        <f ca="1">IF(ValuesEntered,IF(הפחתה23[[#This Row],[מס'']]&lt;=תקופת_ההלוואה,IF(ROW()-ROW(הפחתה[[#Headers],[תאריך]])=1,LoanStart,IF(I227&gt;0,EDATE(C227,1),"")),""),"")</f>
        <v>52201</v>
      </c>
      <c r="D228" s="13">
        <f ca="1">SUM(הפחתה[[#This Row],[יתרת פתיחה]],הפחתה5[[#This Row],[יתרת פתיחה]],הפחתה7[[#This Row],[יתרת פתיחה]],הפחתה8[[#This Row],[יתרת פתיחה]])</f>
        <v>496858.47581709863</v>
      </c>
      <c r="E228" s="13">
        <f ca="1">SUM(הפחתה[[#This Row],[ריבית]],הפחתה5[[#This Row],[ריבית]],הפחתה7[[#This Row],[ריבית]],הפחתה8[[#This Row],[ריבית]])</f>
        <v>2011.9428892090611</v>
      </c>
      <c r="F228" s="13">
        <f ca="1">SUM(הפחתה[[#This Row],[קרן]],הפחתה5[[#This Row],[קרן]],הפחתה7[[#This Row],[קרן]],הפחתה8[[#This Row],[קרן]])</f>
        <v>3645.8353805929764</v>
      </c>
      <c r="G228" s="13">
        <f ca="1">IF(הפחתה23[[#This Row],[תאריך]]="",0,PropertyTaxAmount)</f>
        <v>0</v>
      </c>
      <c r="H228" s="13">
        <f ca="1">IF(הפחתה23[[#This Row],[תאריך]]="",0,הפחתה23[[#This Row],[ריבית]]+הפחתה23[[#This Row],[קרן]]+הפחתה23[[#This Row],[מס
רכוש]])</f>
        <v>5657.7782698020374</v>
      </c>
      <c r="I228" s="13">
        <f ca="1">IF(הפחתה23[[#This Row],[תאריך]]="",0,הפחתה23[[#This Row],[יתרת פתיחה]]-הפחתה23[[#This Row],[קרן]])</f>
        <v>493212.64043650567</v>
      </c>
      <c r="J228" s="11">
        <f ca="1">MAX(הפחתה[[#This Row],[תשלומים
שנותרו]],הפחתה5[[#This Row],[תשלומים
שנותרו]],הפחתה7[[#This Row],[תשלומים
שנותרו]],הפחתה8[[#This Row],[תשלומים
שנותרו]])</f>
        <v>135</v>
      </c>
    </row>
    <row r="229" spans="1:10" ht="15" customHeight="1" x14ac:dyDescent="0.25">
      <c r="A229" s="8"/>
      <c r="B229" s="11">
        <f>MAX(הפחתה[[#This Row],[מס'']],הפחתה5[[#This Row],[מס'']],הפחתה7[[#This Row],[מס'']],הפחתה8[[#This Row],[מס'']])</f>
        <v>226</v>
      </c>
      <c r="C229" s="12">
        <f ca="1">IF(ValuesEntered,IF(הפחתה23[[#This Row],[מס'']]&lt;=תקופת_ההלוואה,IF(ROW()-ROW(הפחתה[[#Headers],[תאריך]])=1,LoanStart,IF(I228&gt;0,EDATE(C228,1),"")),""),"")</f>
        <v>52232</v>
      </c>
      <c r="D229" s="13">
        <f ca="1">SUM(הפחתה[[#This Row],[יתרת פתיחה]],הפחתה5[[#This Row],[יתרת פתיחה]],הפחתה7[[#This Row],[יתרת פתיחה]],הפחתה8[[#This Row],[יתרת פתיחה]])</f>
        <v>493287.79568987759</v>
      </c>
      <c r="E229" s="13">
        <f ca="1">SUM(הפחתה[[#This Row],[ריבית]],הפחתה5[[#This Row],[ריבית]],הפחתה7[[#This Row],[ריבית]],הפחתה8[[#This Row],[ריבית]])</f>
        <v>1997.9355824632928</v>
      </c>
      <c r="F229" s="13">
        <f ca="1">SUM(הפחתה[[#This Row],[קרן]],הפחתה5[[#This Row],[קרן]],הפחתה7[[#This Row],[קרן]],הפחתה8[[#This Row],[קרן]])</f>
        <v>3660.8590391880743</v>
      </c>
      <c r="G229" s="13">
        <f ca="1">IF(הפחתה23[[#This Row],[תאריך]]="",0,PropertyTaxAmount)</f>
        <v>0</v>
      </c>
      <c r="H229" s="13">
        <f ca="1">IF(הפחתה23[[#This Row],[תאריך]]="",0,הפחתה23[[#This Row],[ריבית]]+הפחתה23[[#This Row],[קרן]]+הפחתה23[[#This Row],[מס
רכוש]])</f>
        <v>5658.7946216513674</v>
      </c>
      <c r="I229" s="13">
        <f ca="1">IF(הפחתה23[[#This Row],[תאריך]]="",0,הפחתה23[[#This Row],[יתרת פתיחה]]-הפחתה23[[#This Row],[קרן]])</f>
        <v>489626.93665068952</v>
      </c>
      <c r="J229" s="11">
        <f ca="1">MAX(הפחתה[[#This Row],[תשלומים
שנותרו]],הפחתה5[[#This Row],[תשלומים
שנותרו]],הפחתה7[[#This Row],[תשלומים
שנותרו]],הפחתה8[[#This Row],[תשלומים
שנותרו]])</f>
        <v>134</v>
      </c>
    </row>
    <row r="230" spans="1:10" ht="15" customHeight="1" x14ac:dyDescent="0.25">
      <c r="A230" s="8"/>
      <c r="B230" s="11">
        <f>MAX(הפחתה[[#This Row],[מס'']],הפחתה5[[#This Row],[מס'']],הפחתה7[[#This Row],[מס'']],הפחתה8[[#This Row],[מס'']])</f>
        <v>227</v>
      </c>
      <c r="C230" s="12">
        <f ca="1">IF(ValuesEntered,IF(הפחתה23[[#This Row],[מס'']]&lt;=תקופת_ההלוואה,IF(ROW()-ROW(הפחתה[[#Headers],[תאריך]])=1,LoanStart,IF(I229&gt;0,EDATE(C229,1),"")),""),"")</f>
        <v>52263</v>
      </c>
      <c r="D230" s="13">
        <f ca="1">SUM(הפחתה[[#This Row],[יתרת פתיחה]],הפחתה5[[#This Row],[יתרת פתיחה]],הפחתה7[[#This Row],[יתרת פתיחה]],הפחתה8[[#This Row],[יתרת פתיחה]])</f>
        <v>489701.29760802235</v>
      </c>
      <c r="E230" s="13">
        <f ca="1">SUM(הפחתה[[#This Row],[ריבית]],הפחתה5[[#This Row],[ריבית]],הפחתה7[[#This Row],[ריבית]],הפחתה8[[#This Row],[ריבית]])</f>
        <v>1983.8675938183078</v>
      </c>
      <c r="F230" s="13">
        <f ca="1">SUM(הפחתה[[#This Row],[קרן]],הפחתה5[[#This Row],[קרן]],הפחתה7[[#This Row],[קרן]],הפחתה8[[#This Row],[קרן]])</f>
        <v>3675.9451314133885</v>
      </c>
      <c r="G230" s="13">
        <f ca="1">IF(הפחתה23[[#This Row],[תאריך]]="",0,PropertyTaxAmount)</f>
        <v>0</v>
      </c>
      <c r="H230" s="13">
        <f ca="1">IF(הפחתה23[[#This Row],[תאריך]]="",0,הפחתה23[[#This Row],[ריבית]]+הפחתה23[[#This Row],[קרן]]+הפחתה23[[#This Row],[מס
רכוש]])</f>
        <v>5659.8127252316963</v>
      </c>
      <c r="I230" s="13">
        <f ca="1">IF(הפחתה23[[#This Row],[תאריך]]="",0,הפחתה23[[#This Row],[יתרת פתיחה]]-הפחתה23[[#This Row],[קרן]])</f>
        <v>486025.35247660894</v>
      </c>
      <c r="J230" s="11">
        <f ca="1">MAX(הפחתה[[#This Row],[תשלומים
שנותרו]],הפחתה5[[#This Row],[תשלומים
שנותרו]],הפחתה7[[#This Row],[תשלומים
שנותרו]],הפחתה8[[#This Row],[תשלומים
שנותרו]])</f>
        <v>133</v>
      </c>
    </row>
    <row r="231" spans="1:10" ht="15" customHeight="1" x14ac:dyDescent="0.25">
      <c r="A231" s="8"/>
      <c r="B231" s="11">
        <f>MAX(הפחתה[[#This Row],[מס'']],הפחתה5[[#This Row],[מס'']],הפחתה7[[#This Row],[מס'']],הפחתה8[[#This Row],[מס'']])</f>
        <v>228</v>
      </c>
      <c r="C231" s="12">
        <f ca="1">IF(ValuesEntered,IF(הפחתה23[[#This Row],[מס'']]&lt;=תקופת_ההלוואה,IF(ROW()-ROW(הפחתה[[#Headers],[תאריך]])=1,LoanStart,IF(I230&gt;0,EDATE(C230,1),"")),""),"")</f>
        <v>52291</v>
      </c>
      <c r="D231" s="13">
        <f ca="1">SUM(הפחתה[[#This Row],[יתרת פתיחה]],הפחתה5[[#This Row],[יתרת פתיחה]],הפחתה7[[#This Row],[יתרת פתיחה]],הפחתה8[[#This Row],[יתרת פתיחה]])</f>
        <v>486098.91449704656</v>
      </c>
      <c r="E231" s="13">
        <f ca="1">SUM(הפחתה[[#This Row],[ריבית]],הפחתה5[[#This Row],[ריבית]],הפחתה7[[#This Row],[ריבית]],הפחתה8[[#This Row],[ריבית]])</f>
        <v>1969.7386655977029</v>
      </c>
      <c r="F231" s="13">
        <f ca="1">SUM(הפחתה[[#This Row],[קרן]],הפחתה5[[#This Row],[קרן]],הפחתה7[[#This Row],[קרן]],הפחתה8[[#This Row],[קרן]])</f>
        <v>3691.0939231493394</v>
      </c>
      <c r="G231" s="13">
        <f ca="1">IF(הפחתה23[[#This Row],[תאריך]]="",0,PropertyTaxAmount)</f>
        <v>0</v>
      </c>
      <c r="H231" s="13">
        <f ca="1">IF(הפחתה23[[#This Row],[תאריך]]="",0,הפחתה23[[#This Row],[ריבית]]+הפחתה23[[#This Row],[קרן]]+הפחתה23[[#This Row],[מס
רכוש]])</f>
        <v>5660.8325887470419</v>
      </c>
      <c r="I231" s="13">
        <f ca="1">IF(הפחתה23[[#This Row],[תאריך]]="",0,הפחתה23[[#This Row],[יתרת פתיחה]]-הפחתה23[[#This Row],[קרן]])</f>
        <v>482407.82057389722</v>
      </c>
      <c r="J231" s="11">
        <f ca="1">MAX(הפחתה[[#This Row],[תשלומים
שנותרו]],הפחתה5[[#This Row],[תשלומים
שנותרו]],הפחתה7[[#This Row],[תשלומים
שנותרו]],הפחתה8[[#This Row],[תשלומים
שנותרו]])</f>
        <v>132</v>
      </c>
    </row>
    <row r="232" spans="1:10" ht="15" customHeight="1" x14ac:dyDescent="0.25">
      <c r="A232" s="8"/>
      <c r="B232" s="11">
        <f>MAX(הפחתה[[#This Row],[מס'']],הפחתה5[[#This Row],[מס'']],הפחתה7[[#This Row],[מס'']],הפחתה8[[#This Row],[מס'']])</f>
        <v>229</v>
      </c>
      <c r="C232" s="12">
        <f ca="1">IF(ValuesEntered,IF(הפחתה23[[#This Row],[מס'']]&lt;=תקופת_ההלוואה,IF(ROW()-ROW(הפחתה[[#Headers],[תאריך]])=1,LoanStart,IF(I231&gt;0,EDATE(C231,1),"")),""),"")</f>
        <v>52322</v>
      </c>
      <c r="D232" s="13">
        <f ca="1">SUM(הפחתה[[#This Row],[יתרת פתיחה]],הפחתה5[[#This Row],[יתרת פתיחה]],הפחתה7[[#This Row],[יתרת פתיחה]],הפחתה8[[#This Row],[יתרת פתיחה]])</f>
        <v>482480.57899660646</v>
      </c>
      <c r="E232" s="13">
        <f ca="1">SUM(הפחתה[[#This Row],[ריבית]],הפחתה5[[#This Row],[ריבית]],הפחתה7[[#This Row],[ריבית]],הפחתה8[[#This Row],[ריבית]])</f>
        <v>1955.5485390260374</v>
      </c>
      <c r="F232" s="13">
        <f ca="1">SUM(הפחתה[[#This Row],[קרן]],הפחתה5[[#This Row],[קרן]],הפחתה7[[#This Row],[קרן]],הפחתה8[[#This Row],[קרן]])</f>
        <v>3706.3056816341013</v>
      </c>
      <c r="G232" s="13">
        <f ca="1">IF(הפחתה23[[#This Row],[תאריך]]="",0,PropertyTaxAmount)</f>
        <v>0</v>
      </c>
      <c r="H232" s="13">
        <f ca="1">IF(הפחתה23[[#This Row],[תאריך]]="",0,הפחתה23[[#This Row],[ריבית]]+הפחתה23[[#This Row],[קרן]]+הפחתה23[[#This Row],[מס
רכוש]])</f>
        <v>5661.8542206601387</v>
      </c>
      <c r="I232" s="13">
        <f ca="1">IF(הפחתה23[[#This Row],[תאריך]]="",0,הפחתה23[[#This Row],[יתרת פתיחה]]-הפחתה23[[#This Row],[קרן]])</f>
        <v>478774.27331497235</v>
      </c>
      <c r="J232" s="11">
        <f ca="1">MAX(הפחתה[[#This Row],[תשלומים
שנותרו]],הפחתה5[[#This Row],[תשלומים
שנותרו]],הפחתה7[[#This Row],[תשלומים
שנותרו]],הפחתה8[[#This Row],[תשלומים
שנותרו]])</f>
        <v>131</v>
      </c>
    </row>
    <row r="233" spans="1:10" ht="15" customHeight="1" x14ac:dyDescent="0.25">
      <c r="A233" s="8"/>
      <c r="B233" s="11">
        <f>MAX(הפחתה[[#This Row],[מס'']],הפחתה5[[#This Row],[מס'']],הפחתה7[[#This Row],[מס'']],הפחתה8[[#This Row],[מס'']])</f>
        <v>230</v>
      </c>
      <c r="C233" s="12">
        <f ca="1">IF(ValuesEntered,IF(הפחתה23[[#This Row],[מס'']]&lt;=תקופת_ההלוואה,IF(ROW()-ROW(הפחתה[[#Headers],[תאריך]])=1,LoanStart,IF(I232&gt;0,EDATE(C232,1),"")),""),"")</f>
        <v>52352</v>
      </c>
      <c r="D233" s="13">
        <f ca="1">SUM(הפחתה[[#This Row],[יתרת פתיחה]],הפחתה5[[#This Row],[יתרת פתיחה]],הפחתה7[[#This Row],[יתרת פתיחה]],הפחתה8[[#This Row],[יתרת פתיחה]])</f>
        <v>478846.22345905646</v>
      </c>
      <c r="E233" s="13">
        <f ca="1">SUM(הפחתה[[#This Row],[ריבית]],הפחתה5[[#This Row],[ריבית]],הפחתה7[[#This Row],[ריבית]],הפחתה8[[#This Row],[ריבית]])</f>
        <v>1941.2969542236788</v>
      </c>
      <c r="F233" s="13">
        <f ca="1">SUM(הפחתה[[#This Row],[קרן]],הפחתה5[[#This Row],[קרן]],הפחתה7[[#This Row],[קרן]],הפחתה8[[#This Row],[קרן]])</f>
        <v>3721.5806754831387</v>
      </c>
      <c r="G233" s="13">
        <f ca="1">IF(הפחתה23[[#This Row],[תאריך]]="",0,PropertyTaxAmount)</f>
        <v>0</v>
      </c>
      <c r="H233" s="13">
        <f ca="1">IF(הפחתה23[[#This Row],[תאריך]]="",0,הפחתה23[[#This Row],[ריבית]]+הפחתה23[[#This Row],[קרן]]+הפחתה23[[#This Row],[מס
רכוש]])</f>
        <v>5662.877629706818</v>
      </c>
      <c r="I233" s="13">
        <f ca="1">IF(הפחתה23[[#This Row],[תאריך]]="",0,הפחתה23[[#This Row],[יתרת פתיחה]]-הפחתה23[[#This Row],[קרן]])</f>
        <v>475124.6427835733</v>
      </c>
      <c r="J233" s="11">
        <f ca="1">MAX(הפחתה[[#This Row],[תשלומים
שנותרו]],הפחתה5[[#This Row],[תשלומים
שנותרו]],הפחתה7[[#This Row],[תשלומים
שנותרו]],הפחתה8[[#This Row],[תשלומים
שנותרו]])</f>
        <v>130</v>
      </c>
    </row>
    <row r="234" spans="1:10" ht="15" customHeight="1" x14ac:dyDescent="0.25">
      <c r="A234" s="8"/>
      <c r="B234" s="11">
        <f>MAX(הפחתה[[#This Row],[מס'']],הפחתה5[[#This Row],[מס'']],הפחתה7[[#This Row],[מס'']],הפחתה8[[#This Row],[מס'']])</f>
        <v>231</v>
      </c>
      <c r="C234" s="12">
        <f ca="1">IF(ValuesEntered,IF(הפחתה23[[#This Row],[מס'']]&lt;=תקופת_ההלוואה,IF(ROW()-ROW(הפחתה[[#Headers],[תאריך]])=1,LoanStart,IF(I233&gt;0,EDATE(C233,1),"")),""),"")</f>
        <v>52383</v>
      </c>
      <c r="D234" s="13">
        <f ca="1">SUM(הפחתה[[#This Row],[יתרת פתיחה]],הפחתה5[[#This Row],[יתרת פתיחה]],הפחתה7[[#This Row],[יתרת פתיחה]],הפחתה8[[#This Row],[יתרת פתיחה]])</f>
        <v>475195.77994798316</v>
      </c>
      <c r="E234" s="13">
        <f ca="1">SUM(הפחתה[[#This Row],[ריבית]],הפחתה5[[#This Row],[ריבית]],הפחתה7[[#This Row],[ריבית]],הפחתה8[[#This Row],[ריבית]])</f>
        <v>1926.9836502015978</v>
      </c>
      <c r="F234" s="13">
        <f ca="1">SUM(הפחתה[[#This Row],[קרן]],הפחתה5[[#This Row],[קרן]],הפחתה7[[#This Row],[קרן]],הפחתה8[[#This Row],[קרן]])</f>
        <v>3736.919174709828</v>
      </c>
      <c r="G234" s="13">
        <f ca="1">IF(הפחתה23[[#This Row],[תאריך]]="",0,PropertyTaxAmount)</f>
        <v>0</v>
      </c>
      <c r="H234" s="13">
        <f ca="1">IF(הפחתה23[[#This Row],[תאריך]]="",0,הפחתה23[[#This Row],[ריבית]]+הפחתה23[[#This Row],[קרן]]+הפחתה23[[#This Row],[מס
רכוש]])</f>
        <v>5663.9028249114253</v>
      </c>
      <c r="I234" s="13">
        <f ca="1">IF(הפחתה23[[#This Row],[תאריך]]="",0,הפחתה23[[#This Row],[יתרת פתיחה]]-הפחתה23[[#This Row],[קרן]])</f>
        <v>471458.86077327334</v>
      </c>
      <c r="J234" s="11">
        <f ca="1">MAX(הפחתה[[#This Row],[תשלומים
שנותרו]],הפחתה5[[#This Row],[תשלומים
שנותרו]],הפחתה7[[#This Row],[תשלומים
שנותרו]],הפחתה8[[#This Row],[תשלומים
שנותרו]])</f>
        <v>129</v>
      </c>
    </row>
    <row r="235" spans="1:10" ht="15" customHeight="1" x14ac:dyDescent="0.25">
      <c r="A235" s="8"/>
      <c r="B235" s="11">
        <f>MAX(הפחתה[[#This Row],[מס'']],הפחתה5[[#This Row],[מס'']],הפחתה7[[#This Row],[מס'']],הפחתה8[[#This Row],[מס'']])</f>
        <v>232</v>
      </c>
      <c r="C235" s="12">
        <f ca="1">IF(ValuesEntered,IF(הפחתה23[[#This Row],[מס'']]&lt;=תקופת_ההלוואה,IF(ROW()-ROW(הפחתה[[#Headers],[תאריך]])=1,LoanStart,IF(I234&gt;0,EDATE(C234,1),"")),""),"")</f>
        <v>52413</v>
      </c>
      <c r="D235" s="13">
        <f ca="1">SUM(הפחתה[[#This Row],[יתרת פתיחה]],הפחתה5[[#This Row],[יתרת פתיחה]],הפחתה7[[#This Row],[יתרת פתיחה]],הפחתה8[[#This Row],[יתרת פתיחה]])</f>
        <v>471529.18023671972</v>
      </c>
      <c r="E235" s="13">
        <f ca="1">SUM(הפחתה[[#This Row],[ריבית]],הפחתה5[[#This Row],[ריבית]],הפחתה7[[#This Row],[ריבית]],הפחתה8[[#This Row],[ריבית]])</f>
        <v>1912.6083648561116</v>
      </c>
      <c r="F235" s="13">
        <f ca="1">SUM(הפחתה[[#This Row],[קרן]],הפחתה5[[#This Row],[קרן]],הפחתה7[[#This Row],[קרן]],הפחתה8[[#This Row],[קרן]])</f>
        <v>3752.3214507472258</v>
      </c>
      <c r="G235" s="13">
        <f ca="1">IF(הפחתה23[[#This Row],[תאריך]]="",0,PropertyTaxAmount)</f>
        <v>0</v>
      </c>
      <c r="H235" s="13">
        <f ca="1">IF(הפחתה23[[#This Row],[תאריך]]="",0,הפחתה23[[#This Row],[ריבית]]+הפחתה23[[#This Row],[קרן]]+הפחתה23[[#This Row],[מס
רכוש]])</f>
        <v>5664.9298156033374</v>
      </c>
      <c r="I235" s="13">
        <f ca="1">IF(הפחתה23[[#This Row],[תאריך]]="",0,הפחתה23[[#This Row],[יתרת פתיחה]]-הפחתה23[[#This Row],[קרן]])</f>
        <v>467776.85878597252</v>
      </c>
      <c r="J235" s="11">
        <f ca="1">MAX(הפחתה[[#This Row],[תשלומים
שנותרו]],הפחתה5[[#This Row],[תשלומים
שנותרו]],הפחתה7[[#This Row],[תשלומים
שנותרו]],הפחתה8[[#This Row],[תשלומים
שנותרו]])</f>
        <v>128</v>
      </c>
    </row>
    <row r="236" spans="1:10" ht="15" customHeight="1" x14ac:dyDescent="0.25">
      <c r="A236" s="8"/>
      <c r="B236" s="11">
        <f>MAX(הפחתה[[#This Row],[מס'']],הפחתה5[[#This Row],[מס'']],הפחתה7[[#This Row],[מס'']],הפחתה8[[#This Row],[מס'']])</f>
        <v>233</v>
      </c>
      <c r="C236" s="12">
        <f ca="1">IF(ValuesEntered,IF(הפחתה23[[#This Row],[מס'']]&lt;=תקופת_ההלוואה,IF(ROW()-ROW(הפחתה[[#Headers],[תאריך]])=1,LoanStart,IF(I235&gt;0,EDATE(C235,1),"")),""),"")</f>
        <v>52444</v>
      </c>
      <c r="D236" s="13">
        <f ca="1">SUM(הפחתה[[#This Row],[יתרת פתיחה]],הפחתה5[[#This Row],[יתרת פתיחה]],הפחתה7[[#This Row],[יתרת פתיחה]],הפחתה8[[#This Row],[יתרת פתיחה]])</f>
        <v>467846.35580683639</v>
      </c>
      <c r="E236" s="13">
        <f ca="1">SUM(הפחתה[[#This Row],[ריבית]],הפחתה5[[#This Row],[ריבית]],הפחתה7[[#This Row],[ריבית]],הפחתה8[[#This Row],[ריבית]])</f>
        <v>1898.1708349635664</v>
      </c>
      <c r="F236" s="13">
        <f ca="1">SUM(הפחתה[[#This Row],[קרן]],הפחתה5[[#This Row],[קרן]],הפחתה7[[#This Row],[קרן]],הפחתה8[[#This Row],[קרן]])</f>
        <v>3767.787776471122</v>
      </c>
      <c r="G236" s="13">
        <f ca="1">IF(הפחתה23[[#This Row],[תאריך]]="",0,PropertyTaxAmount)</f>
        <v>0</v>
      </c>
      <c r="H236" s="13">
        <f ca="1">IF(הפחתה23[[#This Row],[תאריך]]="",0,הפחתה23[[#This Row],[ריבית]]+הפחתה23[[#This Row],[קרן]]+הפחתה23[[#This Row],[מס
רכוש]])</f>
        <v>5665.9586114346885</v>
      </c>
      <c r="I236" s="13">
        <f ca="1">IF(הפחתה23[[#This Row],[תאריך]]="",0,הפחתה23[[#This Row],[יתרת פתיחה]]-הפחתה23[[#This Row],[קרן]])</f>
        <v>464078.56803036528</v>
      </c>
      <c r="J236" s="11">
        <f ca="1">MAX(הפחתה[[#This Row],[תשלומים
שנותרו]],הפחתה5[[#This Row],[תשלומים
שנותרו]],הפחתה7[[#This Row],[תשלומים
שנותרו]],הפחתה8[[#This Row],[תשלומים
שנותרו]])</f>
        <v>127</v>
      </c>
    </row>
    <row r="237" spans="1:10" ht="15" customHeight="1" x14ac:dyDescent="0.25">
      <c r="A237" s="8"/>
      <c r="B237" s="11">
        <f>MAX(הפחתה[[#This Row],[מס'']],הפחתה5[[#This Row],[מס'']],הפחתה7[[#This Row],[מס'']],הפחתה8[[#This Row],[מס'']])</f>
        <v>234</v>
      </c>
      <c r="C237" s="12">
        <f ca="1">IF(ValuesEntered,IF(הפחתה23[[#This Row],[מס'']]&lt;=תקופת_ההלוואה,IF(ROW()-ROW(הפחתה[[#Headers],[תאריך]])=1,LoanStart,IF(I236&gt;0,EDATE(C236,1),"")),""),"")</f>
        <v>52475</v>
      </c>
      <c r="D237" s="13">
        <f ca="1">SUM(הפחתה[[#This Row],[יתרת פתיחה]],הפחתה5[[#This Row],[יתרת פתיחה]],הפחתה7[[#This Row],[יתרת פתיחה]],הפחתה8[[#This Row],[יתרת פתיחה]])</f>
        <v>464147.23784660723</v>
      </c>
      <c r="E237" s="13">
        <f ca="1">SUM(הפחתה[[#This Row],[ריבית]],הפחתה5[[#This Row],[ריבית]],הפחתה7[[#This Row],[ריבית]],הפחתה8[[#This Row],[ריבית]])</f>
        <v>1883.6707961749671</v>
      </c>
      <c r="F237" s="13">
        <f ca="1">SUM(הפחתה[[#This Row],[קרן]],הפחתה5[[#This Row],[קרן]],הפחתה7[[#This Row],[קרן]],הפחתה8[[#This Row],[קרן]])</f>
        <v>3783.3184262244499</v>
      </c>
      <c r="G237" s="13">
        <f ca="1">IF(הפחתה23[[#This Row],[תאריך]]="",0,PropertyTaxAmount)</f>
        <v>0</v>
      </c>
      <c r="H237" s="13">
        <f ca="1">IF(הפחתה23[[#This Row],[תאריך]]="",0,הפחתה23[[#This Row],[ריבית]]+הפחתה23[[#This Row],[קרן]]+הפחתה23[[#This Row],[מס
רכוש]])</f>
        <v>5666.9892223994175</v>
      </c>
      <c r="I237" s="13">
        <f ca="1">IF(הפחתה23[[#This Row],[תאריך]]="",0,הפחתה23[[#This Row],[יתרת פתיחה]]-הפחתה23[[#This Row],[קרן]])</f>
        <v>460363.91942038276</v>
      </c>
      <c r="J237" s="11">
        <f ca="1">MAX(הפחתה[[#This Row],[תשלומים
שנותרו]],הפחתה5[[#This Row],[תשלומים
שנותרו]],הפחתה7[[#This Row],[תשלומים
שנותרו]],הפחתה8[[#This Row],[תשלומים
שנותרו]])</f>
        <v>126</v>
      </c>
    </row>
    <row r="238" spans="1:10" ht="15" customHeight="1" x14ac:dyDescent="0.25">
      <c r="A238" s="8"/>
      <c r="B238" s="11">
        <f>MAX(הפחתה[[#This Row],[מס'']],הפחתה5[[#This Row],[מס'']],הפחתה7[[#This Row],[מס'']],הפחתה8[[#This Row],[מס'']])</f>
        <v>235</v>
      </c>
      <c r="C238" s="12">
        <f ca="1">IF(ValuesEntered,IF(הפחתה23[[#This Row],[מס'']]&lt;=תקופת_ההלוואה,IF(ROW()-ROW(הפחתה[[#Headers],[תאריך]])=1,LoanStart,IF(I237&gt;0,EDATE(C237,1),"")),""),"")</f>
        <v>52505</v>
      </c>
      <c r="D238" s="13">
        <f ca="1">SUM(הפחתה[[#This Row],[יתרת פתיחה]],הפחתה5[[#This Row],[יתרת פתיחה]],הפחתה7[[#This Row],[יתרת פתיחה]],הפחתה8[[#This Row],[יתרת פתיחה]])</f>
        <v>460431.75724945241</v>
      </c>
      <c r="E238" s="13">
        <f ca="1">SUM(הפחתה[[#This Row],[ריבית]],הפחתה5[[#This Row],[ריבית]],הפחתה7[[#This Row],[ריבית]],הפחתה8[[#This Row],[ריבית]])</f>
        <v>1869.1079830105425</v>
      </c>
      <c r="F238" s="13">
        <f ca="1">SUM(הפחתה[[#This Row],[קרן]],הפחתה5[[#This Row],[קרן]],הפחתה7[[#This Row],[קרן]],הפחתה8[[#This Row],[קרן]])</f>
        <v>3798.9136758432014</v>
      </c>
      <c r="G238" s="13">
        <f ca="1">IF(הפחתה23[[#This Row],[תאריך]]="",0,PropertyTaxAmount)</f>
        <v>0</v>
      </c>
      <c r="H238" s="13">
        <f ca="1">IF(הפחתה23[[#This Row],[תאריך]]="",0,הפחתה23[[#This Row],[ריבית]]+הפחתה23[[#This Row],[קרן]]+הפחתה23[[#This Row],[מס
רכוש]])</f>
        <v>5668.0216588537442</v>
      </c>
      <c r="I238" s="13">
        <f ca="1">IF(הפחתה23[[#This Row],[תאריך]]="",0,הפחתה23[[#This Row],[יתרת פתיחה]]-הפחתה23[[#This Row],[קרן]])</f>
        <v>456632.84357360919</v>
      </c>
      <c r="J238" s="11">
        <f ca="1">MAX(הפחתה[[#This Row],[תשלומים
שנותרו]],הפחתה5[[#This Row],[תשלומים
שנותרו]],הפחתה7[[#This Row],[תשלומים
שנותרו]],הפחתה8[[#This Row],[תשלומים
שנותרו]])</f>
        <v>125</v>
      </c>
    </row>
    <row r="239" spans="1:10" ht="15" customHeight="1" x14ac:dyDescent="0.25">
      <c r="A239" s="8"/>
      <c r="B239" s="11">
        <f>MAX(הפחתה[[#This Row],[מס'']],הפחתה5[[#This Row],[מס'']],הפחתה7[[#This Row],[מס'']],הפחתה8[[#This Row],[מס'']])</f>
        <v>236</v>
      </c>
      <c r="C239" s="12">
        <f ca="1">IF(ValuesEntered,IF(הפחתה23[[#This Row],[מס'']]&lt;=תקופת_ההלוואה,IF(ROW()-ROW(הפחתה[[#Headers],[תאריך]])=1,LoanStart,IF(I238&gt;0,EDATE(C238,1),"")),""),"")</f>
        <v>52536</v>
      </c>
      <c r="D239" s="13">
        <f ca="1">SUM(הפחתה[[#This Row],[יתרת פתיחה]],הפחתה5[[#This Row],[יתרת פתיחה]],הפחתה7[[#This Row],[יתרת פתיחה]],הפחתה8[[#This Row],[יתרת פתיחה]])</f>
        <v>456699.84461235255</v>
      </c>
      <c r="E239" s="13">
        <f ca="1">SUM(הפחתה[[#This Row],[ריבית]],הפחתה5[[#This Row],[ריבית]],הפחתה7[[#This Row],[ריבית]],הפחתה8[[#This Row],[ריבית]])</f>
        <v>1854.4821288542446</v>
      </c>
      <c r="F239" s="13">
        <f ca="1">SUM(הפחתה[[#This Row],[קרן]],הפחתה5[[#This Row],[קרן]],הפחתה7[[#This Row],[קרן]],הפחתה8[[#This Row],[קרן]])</f>
        <v>3814.5738026839749</v>
      </c>
      <c r="G239" s="13">
        <f ca="1">IF(הפחתה23[[#This Row],[תאריך]]="",0,PropertyTaxAmount)</f>
        <v>0</v>
      </c>
      <c r="H239" s="13">
        <f ca="1">IF(הפחתה23[[#This Row],[תאריך]]="",0,הפחתה23[[#This Row],[ריבית]]+הפחתה23[[#This Row],[קרן]]+הפחתה23[[#This Row],[מס
רכוש]])</f>
        <v>5669.0559315382197</v>
      </c>
      <c r="I239" s="13">
        <f ca="1">IF(הפחתה23[[#This Row],[תאריך]]="",0,הפחתה23[[#This Row],[יתרת פתיחה]]-הפחתה23[[#This Row],[קרן]])</f>
        <v>452885.27080966858</v>
      </c>
      <c r="J239" s="11">
        <f ca="1">MAX(הפחתה[[#This Row],[תשלומים
שנותרו]],הפחתה5[[#This Row],[תשלומים
שנותרו]],הפחתה7[[#This Row],[תשלומים
שנותרו]],הפחתה8[[#This Row],[תשלומים
שנותרו]])</f>
        <v>124</v>
      </c>
    </row>
    <row r="240" spans="1:10" ht="15" customHeight="1" x14ac:dyDescent="0.25">
      <c r="A240" s="8"/>
      <c r="B240" s="11">
        <f>MAX(הפחתה[[#This Row],[מס'']],הפחתה5[[#This Row],[מס'']],הפחתה7[[#This Row],[מס'']],הפחתה8[[#This Row],[מס'']])</f>
        <v>237</v>
      </c>
      <c r="C240" s="12">
        <f ca="1">IF(ValuesEntered,IF(הפחתה23[[#This Row],[מס'']]&lt;=תקופת_ההלוואה,IF(ROW()-ROW(הפחתה[[#Headers],[תאריך]])=1,LoanStart,IF(I239&gt;0,EDATE(C239,1),"")),""),"")</f>
        <v>52566</v>
      </c>
      <c r="D240" s="13">
        <f ca="1">SUM(הפחתה[[#This Row],[יתרת פתיחה]],הפחתה5[[#This Row],[יתרת פתיחה]],הפחתה7[[#This Row],[יתרת פתיחה]],הפחתה8[[#This Row],[יתרת פתיחה]])</f>
        <v>452951.43023423577</v>
      </c>
      <c r="E240" s="13">
        <f ca="1">SUM(הפחתה[[#This Row],[ריבית]],הפחתה5[[#This Row],[ריבית]],הפחתה7[[#This Row],[ריבית]],הפחתה8[[#This Row],[ריבית]])</f>
        <v>1839.7929659481817</v>
      </c>
      <c r="F240" s="13">
        <f ca="1">SUM(הפחתה[[#This Row],[קרן]],הפחתה5[[#This Row],[קרן]],הפחתה7[[#This Row],[קרן]],הפחתה8[[#This Row],[קרן]])</f>
        <v>3830.2990856533024</v>
      </c>
      <c r="G240" s="13">
        <f ca="1">IF(הפחתה23[[#This Row],[תאריך]]="",0,PropertyTaxAmount)</f>
        <v>0</v>
      </c>
      <c r="H240" s="13">
        <f ca="1">IF(הפחתה23[[#This Row],[תאריך]]="",0,הפחתה23[[#This Row],[ריבית]]+הפחתה23[[#This Row],[קרן]]+הפחתה23[[#This Row],[מס
רכוש]])</f>
        <v>5670.0920516014839</v>
      </c>
      <c r="I240" s="13">
        <f ca="1">IF(הפחתה23[[#This Row],[תאריך]]="",0,הפחתה23[[#This Row],[יתרת פתיחה]]-הפחתה23[[#This Row],[קרן]])</f>
        <v>449121.13114858244</v>
      </c>
      <c r="J240" s="11">
        <f ca="1">MAX(הפחתה[[#This Row],[תשלומים
שנותרו]],הפחתה5[[#This Row],[תשלומים
שנותרו]],הפחתה7[[#This Row],[תשלומים
שנותרו]],הפחתה8[[#This Row],[תשלומים
שנותרו]])</f>
        <v>123</v>
      </c>
    </row>
    <row r="241" spans="1:10" ht="15" customHeight="1" x14ac:dyDescent="0.25">
      <c r="A241" s="8"/>
      <c r="B241" s="11">
        <f>MAX(הפחתה[[#This Row],[מס'']],הפחתה5[[#This Row],[מס'']],הפחתה7[[#This Row],[מס'']],הפחתה8[[#This Row],[מס'']])</f>
        <v>238</v>
      </c>
      <c r="C241" s="12">
        <f ca="1">IF(ValuesEntered,IF(הפחתה23[[#This Row],[מס'']]&lt;=תקופת_ההלוואה,IF(ROW()-ROW(הפחתה[[#Headers],[תאריך]])=1,LoanStart,IF(I240&gt;0,EDATE(C240,1),"")),""),"")</f>
        <v>52597</v>
      </c>
      <c r="D241" s="13">
        <f ca="1">SUM(הפחתה[[#This Row],[יתרת פתיחה]],הפחתה5[[#This Row],[יתרת פתיחה]],הפחתה7[[#This Row],[יתרת פתיחה]],הפחתה8[[#This Row],[יתרת פתיחה]])</f>
        <v>449186.44411433314</v>
      </c>
      <c r="E241" s="13">
        <f ca="1">SUM(הפחתה[[#This Row],[ריבית]],הפחתה5[[#This Row],[ריבית]],הפחתה7[[#This Row],[ריבית]],הפחתה8[[#This Row],[ריבית]])</f>
        <v>1825.0402253869786</v>
      </c>
      <c r="F241" s="13">
        <f ca="1">SUM(הפחתה[[#This Row],[קרן]],הפחתה5[[#This Row],[קרן]],הפחתה7[[#This Row],[קרן]],הפחתה8[[#This Row],[קרן]])</f>
        <v>3846.0898052389207</v>
      </c>
      <c r="G241" s="13">
        <f ca="1">IF(הפחתה23[[#This Row],[תאריך]]="",0,PropertyTaxAmount)</f>
        <v>0</v>
      </c>
      <c r="H241" s="13">
        <f ca="1">IF(הפחתה23[[#This Row],[תאריך]]="",0,הפחתה23[[#This Row],[ריבית]]+הפחתה23[[#This Row],[קרן]]+הפחתה23[[#This Row],[מס
רכוש]])</f>
        <v>5671.1300306258991</v>
      </c>
      <c r="I241" s="13">
        <f ca="1">IF(הפחתה23[[#This Row],[תאריך]]="",0,הפחתה23[[#This Row],[יתרת פתיחה]]-הפחתה23[[#This Row],[קרן]])</f>
        <v>445340.3543090942</v>
      </c>
      <c r="J241" s="11">
        <f ca="1">MAX(הפחתה[[#This Row],[תשלומים
שנותרו]],הפחתה5[[#This Row],[תשלומים
שנותרו]],הפחתה7[[#This Row],[תשלומים
שנותרו]],הפחתה8[[#This Row],[תשלומים
שנותרו]])</f>
        <v>122</v>
      </c>
    </row>
    <row r="242" spans="1:10" ht="15" customHeight="1" x14ac:dyDescent="0.25">
      <c r="A242" s="8"/>
      <c r="B242" s="11">
        <f>MAX(הפחתה[[#This Row],[מס'']],הפחתה5[[#This Row],[מס'']],הפחתה7[[#This Row],[מס'']],הפחתה8[[#This Row],[מס'']])</f>
        <v>239</v>
      </c>
      <c r="C242" s="12">
        <f ca="1">IF(ValuesEntered,IF(הפחתה23[[#This Row],[מס'']]&lt;=תקופת_ההלוואה,IF(ROW()-ROW(הפחתה[[#Headers],[תאריך]])=1,LoanStart,IF(I241&gt;0,EDATE(C241,1),"")),""),"")</f>
        <v>52628</v>
      </c>
      <c r="D242" s="13">
        <f ca="1">SUM(הפחתה[[#This Row],[יתרת פתיחה]],הפחתה5[[#This Row],[יתרת פתיחה]],הפחתה7[[#This Row],[יתרת פתיחה]],הפחתה8[[#This Row],[יתרת פתיחה]])</f>
        <v>445404.81595050299</v>
      </c>
      <c r="E242" s="13">
        <f ca="1">SUM(הפחתה[[#This Row],[ריבית]],הפחתה5[[#This Row],[ריבית]],הפחתה7[[#This Row],[ריבית]],הפחתה8[[#This Row],[ריבית]])</f>
        <v>1810.2236371120578</v>
      </c>
      <c r="F242" s="13">
        <f ca="1">SUM(הפחתה[[#This Row],[קרן]],הפחתה5[[#This Row],[קרן]],הפחתה7[[#This Row],[קרן]],הפחתה8[[#This Row],[קרן]])</f>
        <v>3861.9462435431915</v>
      </c>
      <c r="G242" s="13">
        <f ca="1">IF(הפחתה23[[#This Row],[תאריך]]="",0,PropertyTaxAmount)</f>
        <v>0</v>
      </c>
      <c r="H242" s="13">
        <f ca="1">IF(הפחתה23[[#This Row],[תאריך]]="",0,הפחתה23[[#This Row],[ריבית]]+הפחתה23[[#This Row],[קרן]]+הפחתה23[[#This Row],[מס
רכוש]])</f>
        <v>5672.1698806552495</v>
      </c>
      <c r="I242" s="13">
        <f ca="1">IF(הפחתה23[[#This Row],[תאריך]]="",0,הפחתה23[[#This Row],[יתרת פתיחה]]-הפחתה23[[#This Row],[קרן]])</f>
        <v>441542.86970695981</v>
      </c>
      <c r="J242" s="11">
        <f ca="1">MAX(הפחתה[[#This Row],[תשלומים
שנותרו]],הפחתה5[[#This Row],[תשלומים
שנותרו]],הפחתה7[[#This Row],[תשלומים
שנותרו]],הפחתה8[[#This Row],[תשלומים
שנותרו]])</f>
        <v>121</v>
      </c>
    </row>
    <row r="243" spans="1:10" ht="15" customHeight="1" x14ac:dyDescent="0.25">
      <c r="A243" s="8"/>
      <c r="B243" s="11">
        <f>MAX(הפחתה[[#This Row],[מס'']],הפחתה5[[#This Row],[מס'']],הפחתה7[[#This Row],[מס'']],הפחתה8[[#This Row],[מס'']])</f>
        <v>240</v>
      </c>
      <c r="C243" s="12">
        <f ca="1">IF(ValuesEntered,IF(הפחתה23[[#This Row],[מס'']]&lt;=תקופת_ההלוואה,IF(ROW()-ROW(הפחתה[[#Headers],[תאריך]])=1,LoanStart,IF(I242&gt;0,EDATE(C242,1),"")),""),"")</f>
        <v>52657</v>
      </c>
      <c r="D243" s="13">
        <f ca="1">SUM(הפחתה[[#This Row],[יתרת פתיחה]],הפחתה5[[#This Row],[יתרת פתיחה]],הפחתה7[[#This Row],[יתרת פתיחה]],הפחתה8[[#This Row],[יתרת פתיחה]])</f>
        <v>441606.47513751982</v>
      </c>
      <c r="E243" s="13">
        <f ca="1">SUM(הפחתה[[#This Row],[ריבית]],הפחתה5[[#This Row],[ריבית]],הפחתה7[[#This Row],[ריבית]],הפחתה8[[#This Row],[ריבית]])</f>
        <v>1795.3429299058453</v>
      </c>
      <c r="F243" s="13">
        <f ca="1">SUM(הפחתה[[#This Row],[קרן]],הפחתה5[[#This Row],[קרן]],הפחתה7[[#This Row],[קרן]],הפחתה8[[#This Row],[קרן]])</f>
        <v>3877.8686843188375</v>
      </c>
      <c r="G243" s="13">
        <f ca="1">IF(הפחתה23[[#This Row],[תאריך]]="",0,PropertyTaxAmount)</f>
        <v>0</v>
      </c>
      <c r="H243" s="13">
        <f ca="1">IF(הפחתה23[[#This Row],[תאריך]]="",0,הפחתה23[[#This Row],[ריבית]]+הפחתה23[[#This Row],[קרן]]+הפחתה23[[#This Row],[מס
רכוש]])</f>
        <v>5673.2116142246832</v>
      </c>
      <c r="I243" s="13">
        <f ca="1">IF(הפחתה23[[#This Row],[תאריך]]="",0,הפחתה23[[#This Row],[יתרת פתיחה]]-הפחתה23[[#This Row],[קרן]])</f>
        <v>437728.60645320098</v>
      </c>
      <c r="J243" s="11">
        <f ca="1">MAX(הפחתה[[#This Row],[תשלומים
שנותרו]],הפחתה5[[#This Row],[תשלומים
שנותרו]],הפחתה7[[#This Row],[תשלומים
שנותרו]],הפחתה8[[#This Row],[תשלומים
שנותרו]])</f>
        <v>120</v>
      </c>
    </row>
    <row r="244" spans="1:10" ht="15" customHeight="1" x14ac:dyDescent="0.25">
      <c r="A244" s="8"/>
      <c r="B244" s="11">
        <f>MAX(הפחתה[[#This Row],[מס'']],הפחתה5[[#This Row],[מס'']],הפחתה7[[#This Row],[מס'']],הפחתה8[[#This Row],[מס'']])</f>
        <v>241</v>
      </c>
      <c r="C244" s="12">
        <f ca="1">IF(ValuesEntered,IF(הפחתה23[[#This Row],[מס'']]&lt;=תקופת_ההלוואה,IF(ROW()-ROW(הפחתה[[#Headers],[תאריך]])=1,LoanStart,IF(I243&gt;0,EDATE(C243,1),"")),""),"")</f>
        <v>52688</v>
      </c>
      <c r="D244" s="13">
        <f ca="1">SUM(הפחתה[[#This Row],[יתרת פתיחה]],הפחתה5[[#This Row],[יתרת פתיחה]],הפחתה7[[#This Row],[יתרת פתיחה]],הפחתה8[[#This Row],[יתרת פתיחה]])</f>
        <v>437791.35076532728</v>
      </c>
      <c r="E244" s="13">
        <f ca="1">SUM(הפחתה[[#This Row],[ריבית]],הפחתה5[[#This Row],[ריבית]],הפחתה7[[#This Row],[ריבית]],הפחתה8[[#This Row],[ריבית]])</f>
        <v>1780.3978313858829</v>
      </c>
      <c r="F244" s="13">
        <f ca="1">SUM(הפחתה[[#This Row],[קרן]],הפחתה5[[#This Row],[קרן]],הפחתה7[[#This Row],[קרן]],הפחתה8[[#This Row],[קרן]])</f>
        <v>3893.8574130072725</v>
      </c>
      <c r="G244" s="13">
        <f ca="1">IF(הפחתה23[[#This Row],[תאריך]]="",0,PropertyTaxAmount)</f>
        <v>0</v>
      </c>
      <c r="H244" s="13">
        <f ca="1">IF(הפחתה23[[#This Row],[תאריך]]="",0,הפחתה23[[#This Row],[ריבית]]+הפחתה23[[#This Row],[קרן]]+הפחתה23[[#This Row],[מס
רכוש]])</f>
        <v>5674.2552443931554</v>
      </c>
      <c r="I244" s="13">
        <f ca="1">IF(הפחתה23[[#This Row],[תאריך]]="",0,הפחתה23[[#This Row],[יתרת פתיחה]]-הפחתה23[[#This Row],[קרן]])</f>
        <v>433897.49335231999</v>
      </c>
      <c r="J244" s="11">
        <f ca="1">MAX(הפחתה[[#This Row],[תשלומים
שנותרו]],הפחתה5[[#This Row],[תשלומים
שנותרו]],הפחתה7[[#This Row],[תשלומים
שנותרו]],הפחתה8[[#This Row],[תשלומים
שנותרו]])</f>
        <v>119</v>
      </c>
    </row>
    <row r="245" spans="1:10" ht="15" customHeight="1" x14ac:dyDescent="0.25">
      <c r="A245" s="8"/>
      <c r="B245" s="11">
        <f>MAX(הפחתה[[#This Row],[מס'']],הפחתה5[[#This Row],[מס'']],הפחתה7[[#This Row],[מס'']],הפחתה8[[#This Row],[מס'']])</f>
        <v>242</v>
      </c>
      <c r="C245" s="12">
        <f ca="1">IF(ValuesEntered,IF(הפחתה23[[#This Row],[מס'']]&lt;=תקופת_ההלוואה,IF(ROW()-ROW(הפחתה[[#Headers],[תאריך]])=1,LoanStart,IF(I244&gt;0,EDATE(C244,1),"")),""),"")</f>
        <v>52718</v>
      </c>
      <c r="D245" s="13">
        <f ca="1">SUM(הפחתה[[#This Row],[יתרת פתיחה]],הפחתה5[[#This Row],[יתרת פתיחה]],הפחתה7[[#This Row],[יתרת פתיחה]],הפחתה8[[#This Row],[יתרת פתיחה]])</f>
        <v>433959.37161725073</v>
      </c>
      <c r="E245" s="13">
        <f ca="1">SUM(הפחתה[[#This Row],[ריבית]],הפחתה5[[#This Row],[ריבית]],הפחתה7[[#This Row],[ריבית]],הפחתה8[[#This Row],[ריבית]])</f>
        <v>1765.3880679988551</v>
      </c>
      <c r="F245" s="13">
        <f ca="1">SUM(הפחתה[[#This Row],[קרן]],הפחתה5[[#This Row],[קרן]],הפחתה7[[#This Row],[קרן]],הפחתה8[[#This Row],[קרן]])</f>
        <v>3909.9127167797424</v>
      </c>
      <c r="G245" s="13">
        <f ca="1">IF(הפחתה23[[#This Row],[תאריך]]="",0,PropertyTaxAmount)</f>
        <v>0</v>
      </c>
      <c r="H245" s="13">
        <f ca="1">IF(הפחתה23[[#This Row],[תאריך]]="",0,הפחתה23[[#This Row],[ריבית]]+הפחתה23[[#This Row],[קרן]]+הפחתה23[[#This Row],[מס
רכוש]])</f>
        <v>5675.3007847785975</v>
      </c>
      <c r="I245" s="13">
        <f ca="1">IF(הפחתה23[[#This Row],[תאריך]]="",0,הפחתה23[[#This Row],[יתרת פתיחה]]-הפחתה23[[#This Row],[קרן]])</f>
        <v>430049.45890047099</v>
      </c>
      <c r="J245" s="11">
        <f ca="1">MAX(הפחתה[[#This Row],[תשלומים
שנותרו]],הפחתה5[[#This Row],[תשלומים
שנותרו]],הפחתה7[[#This Row],[תשלומים
שנותרו]],הפחתה8[[#This Row],[תשלומים
שנותרו]])</f>
        <v>118</v>
      </c>
    </row>
    <row r="246" spans="1:10" ht="15" customHeight="1" x14ac:dyDescent="0.25">
      <c r="A246" s="8"/>
      <c r="B246" s="11">
        <f>MAX(הפחתה[[#This Row],[מס'']],הפחתה5[[#This Row],[מס'']],הפחתה7[[#This Row],[מס'']],הפחתה8[[#This Row],[מס'']])</f>
        <v>243</v>
      </c>
      <c r="C246" s="12">
        <f ca="1">IF(ValuesEntered,IF(הפחתה23[[#This Row],[מס'']]&lt;=תקופת_ההלוואה,IF(ROW()-ROW(הפחתה[[#Headers],[תאריך]])=1,LoanStart,IF(I245&gt;0,EDATE(C245,1),"")),""),"")</f>
        <v>52749</v>
      </c>
      <c r="D246" s="13">
        <f ca="1">SUM(הפחתה[[#This Row],[יתרת פתיחה]],הפחתה5[[#This Row],[יתרת פתיחה]],הפחתה7[[#This Row],[יתרת פתיחה]],הפחתה8[[#This Row],[יתרת פתיחה]])</f>
        <v>430110.46616816771</v>
      </c>
      <c r="E246" s="13">
        <f ca="1">SUM(הפחתה[[#This Row],[ריבית]],הפחתה5[[#This Row],[ריבית]],הפחתה7[[#This Row],[ריבית]],הפחתה8[[#This Row],[ריבית]])</f>
        <v>1750.3133650145153</v>
      </c>
      <c r="F246" s="13">
        <f ca="1">SUM(הפחתה[[#This Row],[קרן]],הפחתה5[[#This Row],[קרן]],הפחתה7[[#This Row],[קרן]],הפחתה8[[#This Row],[קרן]])</f>
        <v>3926.0348845815861</v>
      </c>
      <c r="G246" s="13">
        <f ca="1">IF(הפחתה23[[#This Row],[תאריך]]="",0,PropertyTaxAmount)</f>
        <v>0</v>
      </c>
      <c r="H246" s="13">
        <f ca="1">IF(הפחתה23[[#This Row],[תאריך]]="",0,הפחתה23[[#This Row],[ריבית]]+הפחתה23[[#This Row],[קרן]]+הפחתה23[[#This Row],[מס
רכוש]])</f>
        <v>5676.3482495961016</v>
      </c>
      <c r="I246" s="13">
        <f ca="1">IF(הפחתה23[[#This Row],[תאריך]]="",0,הפחתה23[[#This Row],[יתרת פתיחה]]-הפחתה23[[#This Row],[קרן]])</f>
        <v>426184.43128358613</v>
      </c>
      <c r="J246" s="11">
        <f ca="1">MAX(הפחתה[[#This Row],[תשלומים
שנותרו]],הפחתה5[[#This Row],[תשלומים
שנותרו]],הפחתה7[[#This Row],[תשלומים
שנותרו]],הפחתה8[[#This Row],[תשלומים
שנותרו]])</f>
        <v>117</v>
      </c>
    </row>
    <row r="247" spans="1:10" ht="15" customHeight="1" x14ac:dyDescent="0.25">
      <c r="A247" s="8"/>
      <c r="B247" s="11">
        <f>MAX(הפחתה[[#This Row],[מס'']],הפחתה5[[#This Row],[מס'']],הפחתה7[[#This Row],[מס'']],הפחתה8[[#This Row],[מס'']])</f>
        <v>244</v>
      </c>
      <c r="C247" s="12">
        <f ca="1">IF(ValuesEntered,IF(הפחתה23[[#This Row],[מס'']]&lt;=תקופת_ההלוואה,IF(ROW()-ROW(הפחתה[[#Headers],[תאריך]])=1,LoanStart,IF(I246&gt;0,EDATE(C246,1),"")),""),"")</f>
        <v>52779</v>
      </c>
      <c r="D247" s="13">
        <f ca="1">SUM(הפחתה[[#This Row],[יתרת פתיחה]],הפחתה5[[#This Row],[יתרת פתיחה]],הפחתה7[[#This Row],[יתרת פתיחה]],הפחתה8[[#This Row],[יתרת פתיחה]])</f>
        <v>426244.56258263352</v>
      </c>
      <c r="E247" s="13">
        <f ca="1">SUM(הפחתה[[#This Row],[ריבית]],הפחתה5[[#This Row],[ריבית]],הפחתה7[[#This Row],[ריבית]],הפחתה8[[#This Row],[ריבית]])</f>
        <v>1735.1734465195043</v>
      </c>
      <c r="F247" s="13">
        <f ca="1">SUM(הפחתה[[#This Row],[קרן]],הפחתה5[[#This Row],[קרן]],הפחתה7[[#This Row],[קרן]],הפחתה8[[#This Row],[קרן]])</f>
        <v>3942.2242071799392</v>
      </c>
      <c r="G247" s="13">
        <f ca="1">IF(הפחתה23[[#This Row],[תאריך]]="",0,PropertyTaxAmount)</f>
        <v>0</v>
      </c>
      <c r="H247" s="13">
        <f ca="1">IF(הפחתה23[[#This Row],[תאריך]]="",0,הפחתה23[[#This Row],[ריבית]]+הפחתה23[[#This Row],[קרן]]+הפחתה23[[#This Row],[מס
רכוש]])</f>
        <v>5677.3976536994433</v>
      </c>
      <c r="I247" s="13">
        <f ca="1">IF(הפחתה23[[#This Row],[תאריך]]="",0,הפחתה23[[#This Row],[יתרת פתיחה]]-הפחתה23[[#This Row],[קרן]])</f>
        <v>422302.3383754536</v>
      </c>
      <c r="J247" s="11">
        <f ca="1">MAX(הפחתה[[#This Row],[תשלומים
שנותרו]],הפחתה5[[#This Row],[תשלומים
שנותרו]],הפחתה7[[#This Row],[תשלומים
שנותרו]],הפחתה8[[#This Row],[תשלומים
שנותרו]])</f>
        <v>116</v>
      </c>
    </row>
    <row r="248" spans="1:10" ht="15" customHeight="1" x14ac:dyDescent="0.25">
      <c r="A248" s="8"/>
      <c r="B248" s="11">
        <f>MAX(הפחתה[[#This Row],[מס'']],הפחתה5[[#This Row],[מס'']],הפחתה7[[#This Row],[מס'']],הפחתה8[[#This Row],[מס'']])</f>
        <v>245</v>
      </c>
      <c r="C248" s="12">
        <f ca="1">IF(ValuesEntered,IF(הפחתה23[[#This Row],[מס'']]&lt;=תקופת_ההלוואה,IF(ROW()-ROW(הפחתה[[#Headers],[תאריך]])=1,LoanStart,IF(I247&gt;0,EDATE(C247,1),"")),""),"")</f>
        <v>52810</v>
      </c>
      <c r="D248" s="13">
        <f ca="1">SUM(הפחתה[[#This Row],[יתרת פתיחה]],הפחתה5[[#This Row],[יתרת פתיחה]],הפחתה7[[#This Row],[יתרת פתיחה]],הפחתה8[[#This Row],[יתרת פתיחה]])</f>
        <v>422361.58871295652</v>
      </c>
      <c r="E248" s="13">
        <f ca="1">SUM(הפחתה[[#This Row],[ריבית]],הפחתה5[[#This Row],[ריבית]],הפחתה7[[#This Row],[ריבית]],הפחתה8[[#This Row],[ריבית]])</f>
        <v>1719.9680354110646</v>
      </c>
      <c r="F248" s="13">
        <f ca="1">SUM(הפחתה[[#This Row],[קרן]],הפחתה5[[#This Row],[קרן]],הפחתה7[[#This Row],[קרן]],הפחתה8[[#This Row],[קרן]])</f>
        <v>3958.4809772152335</v>
      </c>
      <c r="G248" s="13">
        <f ca="1">IF(הפחתה23[[#This Row],[תאריך]]="",0,PropertyTaxAmount)</f>
        <v>0</v>
      </c>
      <c r="H248" s="13">
        <f ca="1">IF(הפחתה23[[#This Row],[תאריך]]="",0,הפחתה23[[#This Row],[ריבית]]+הפחתה23[[#This Row],[קרן]]+הפחתה23[[#This Row],[מס
רכוש]])</f>
        <v>5678.4490126262981</v>
      </c>
      <c r="I248" s="13">
        <f ca="1">IF(הפחתה23[[#This Row],[תאריך]]="",0,הפחתה23[[#This Row],[יתרת פתיחה]]-הפחתה23[[#This Row],[קרן]])</f>
        <v>418403.1077357413</v>
      </c>
      <c r="J248" s="11">
        <f ca="1">MAX(הפחתה[[#This Row],[תשלומים
שנותרו]],הפחתה5[[#This Row],[תשלומים
שנותרו]],הפחתה7[[#This Row],[תשלומים
שנותרו]],הפחתה8[[#This Row],[תשלומים
שנותרו]])</f>
        <v>115</v>
      </c>
    </row>
    <row r="249" spans="1:10" ht="15" customHeight="1" x14ac:dyDescent="0.25">
      <c r="A249" s="8"/>
      <c r="B249" s="11">
        <f>MAX(הפחתה[[#This Row],[מס'']],הפחתה5[[#This Row],[מס'']],הפחתה7[[#This Row],[מס'']],הפחתה8[[#This Row],[מס'']])</f>
        <v>246</v>
      </c>
      <c r="C249" s="12">
        <f ca="1">IF(ValuesEntered,IF(הפחתה23[[#This Row],[מס'']]&lt;=תקופת_ההלוואה,IF(ROW()-ROW(הפחתה[[#Headers],[תאריך]])=1,LoanStart,IF(I248&gt;0,EDATE(C248,1),"")),""),"")</f>
        <v>52841</v>
      </c>
      <c r="D249" s="13">
        <f ca="1">SUM(הפחתה[[#This Row],[יתרת פתיחה]],הפחתה5[[#This Row],[יתרת פתיחה]],הפחתה7[[#This Row],[יתרת פתיחה]],הפחתה8[[#This Row],[יתרת פתיחה]])</f>
        <v>418461.47209722159</v>
      </c>
      <c r="E249" s="13">
        <f ca="1">SUM(הפחתה[[#This Row],[ריבית]],הפחתה5[[#This Row],[ריבית]],הפחתה7[[#This Row],[ריבית]],הפחתה8[[#This Row],[ריבית]])</f>
        <v>1704.6968533906252</v>
      </c>
      <c r="F249" s="13">
        <f ca="1">SUM(הפחתה[[#This Row],[קרן]],הפחתה5[[#This Row],[קרן]],הפחתה7[[#This Row],[קרן]],הפחתה8[[#This Row],[קרן]])</f>
        <v>3974.8054892569135</v>
      </c>
      <c r="G249" s="13">
        <f ca="1">IF(הפחתה23[[#This Row],[תאריך]]="",0,PropertyTaxAmount)</f>
        <v>0</v>
      </c>
      <c r="H249" s="13">
        <f ca="1">IF(הפחתה23[[#This Row],[תאריך]]="",0,הפחתה23[[#This Row],[ריבית]]+הפחתה23[[#This Row],[קרן]]+הפחתה23[[#This Row],[מס
רכוש]])</f>
        <v>5679.5023426475382</v>
      </c>
      <c r="I249" s="13">
        <f ca="1">IF(הפחתה23[[#This Row],[תאריך]]="",0,הפחתה23[[#This Row],[יתרת פתיחה]]-הפחתה23[[#This Row],[קרן]])</f>
        <v>414486.66660796467</v>
      </c>
      <c r="J249" s="11">
        <f ca="1">MAX(הפחתה[[#This Row],[תשלומים
שנותרו]],הפחתה5[[#This Row],[תשלומים
שנותרו]],הפחתה7[[#This Row],[תשלומים
שנותרו]],הפחתה8[[#This Row],[תשלומים
שנותרו]])</f>
        <v>114</v>
      </c>
    </row>
    <row r="250" spans="1:10" ht="15" customHeight="1" x14ac:dyDescent="0.25">
      <c r="A250" s="8"/>
      <c r="B250" s="11">
        <f>MAX(הפחתה[[#This Row],[מס'']],הפחתה5[[#This Row],[מס'']],הפחתה7[[#This Row],[מס'']],הפחתה8[[#This Row],[מס'']])</f>
        <v>247</v>
      </c>
      <c r="C250" s="12">
        <f ca="1">IF(ValuesEntered,IF(הפחתה23[[#This Row],[מס'']]&lt;=תקופת_ההלוואה,IF(ROW()-ROW(הפחתה[[#Headers],[תאריך]])=1,LoanStart,IF(I249&gt;0,EDATE(C249,1),"")),""),"")</f>
        <v>52871</v>
      </c>
      <c r="D250" s="13">
        <f ca="1">SUM(הפחתה[[#This Row],[יתרת פתיחה]],הפחתה5[[#This Row],[יתרת פתיחה]],הפחתה7[[#This Row],[יתרת פתיחה]],הפחתה8[[#This Row],[יתרת פתיחה]])</f>
        <v>414544.13995725568</v>
      </c>
      <c r="E250" s="13">
        <f ca="1">SUM(הפחתה[[#This Row],[ריבית]],הפחתה5[[#This Row],[ריבית]],הפחתה7[[#This Row],[ריבית]],הפחתה8[[#This Row],[ריבית]])</f>
        <v>1689.3596209572636</v>
      </c>
      <c r="F250" s="13">
        <f ca="1">SUM(הפחתה[[#This Row],[קרן]],הפחתה5[[#This Row],[קרן]],הפחתה7[[#This Row],[קרן]],הפחתה8[[#This Row],[קרן]])</f>
        <v>3991.1980398638207</v>
      </c>
      <c r="G250" s="13">
        <f ca="1">IF(הפחתה23[[#This Row],[תאריך]]="",0,PropertyTaxAmount)</f>
        <v>0</v>
      </c>
      <c r="H250" s="13">
        <f ca="1">IF(הפחתה23[[#This Row],[תאריך]]="",0,הפחתה23[[#This Row],[ריבית]]+הפחתה23[[#This Row],[קרן]]+הפחתה23[[#This Row],[מס
רכוש]])</f>
        <v>5680.557660821084</v>
      </c>
      <c r="I250" s="13">
        <f ca="1">IF(הפחתה23[[#This Row],[תאריך]]="",0,הפחתה23[[#This Row],[יתרת פתיחה]]-הפחתה23[[#This Row],[קרן]])</f>
        <v>410552.94191739184</v>
      </c>
      <c r="J250" s="11">
        <f ca="1">MAX(הפחתה[[#This Row],[תשלומים
שנותרו]],הפחתה5[[#This Row],[תשלומים
שנותרו]],הפחתה7[[#This Row],[תשלומים
שנותרו]],הפחתה8[[#This Row],[תשלומים
שנותרו]])</f>
        <v>113</v>
      </c>
    </row>
    <row r="251" spans="1:10" ht="15" customHeight="1" x14ac:dyDescent="0.25">
      <c r="A251" s="8"/>
      <c r="B251" s="11">
        <f>MAX(הפחתה[[#This Row],[מס'']],הפחתה5[[#This Row],[מס'']],הפחתה7[[#This Row],[מס'']],הפחתה8[[#This Row],[מס'']])</f>
        <v>248</v>
      </c>
      <c r="C251" s="12">
        <f ca="1">IF(ValuesEntered,IF(הפחתה23[[#This Row],[מס'']]&lt;=תקופת_ההלוואה,IF(ROW()-ROW(הפחתה[[#Headers],[תאריך]])=1,LoanStart,IF(I250&gt;0,EDATE(C250,1),"")),""),"")</f>
        <v>52902</v>
      </c>
      <c r="D251" s="13">
        <f ca="1">SUM(הפחתה[[#This Row],[יתרת פתיחה]],הפחתה5[[#This Row],[יתרת פתיחה]],הפחתה7[[#This Row],[יתרת פתיחה]],הפחתה8[[#This Row],[יתרת פתיחה]])</f>
        <v>410609.51919653162</v>
      </c>
      <c r="E251" s="13">
        <f ca="1">SUM(הפחתה[[#This Row],[ריבית]],הפחתה5[[#This Row],[ריבית]],הפחתה7[[#This Row],[ריבית]],הפחתה8[[#This Row],[ריבית]])</f>
        <v>1673.9560574010247</v>
      </c>
      <c r="F251" s="13">
        <f ca="1">SUM(הפחתה[[#This Row],[קרן]],הפחתה5[[#This Row],[קרן]],הפחתה7[[#This Row],[קרן]],הפחתה8[[#This Row],[קרן]])</f>
        <v>4007.6589276497875</v>
      </c>
      <c r="G251" s="13">
        <f ca="1">IF(הפחתה23[[#This Row],[תאריך]]="",0,PropertyTaxAmount)</f>
        <v>0</v>
      </c>
      <c r="H251" s="13">
        <f ca="1">IF(הפחתה23[[#This Row],[תאריך]]="",0,הפחתה23[[#This Row],[ריבית]]+הפחתה23[[#This Row],[קרן]]+הפחתה23[[#This Row],[מס
רכוש]])</f>
        <v>5681.6149850508118</v>
      </c>
      <c r="I251" s="13">
        <f ca="1">IF(הפחתה23[[#This Row],[תאריך]]="",0,הפחתה23[[#This Row],[יתרת פתיחה]]-הפחתה23[[#This Row],[קרן]])</f>
        <v>406601.86026888184</v>
      </c>
      <c r="J251" s="11">
        <f ca="1">MAX(הפחתה[[#This Row],[תשלומים
שנותרו]],הפחתה5[[#This Row],[תשלומים
שנותרו]],הפחתה7[[#This Row],[תשלומים
שנותרו]],הפחתה8[[#This Row],[תשלומים
שנותרו]])</f>
        <v>112</v>
      </c>
    </row>
    <row r="252" spans="1:10" ht="15" customHeight="1" x14ac:dyDescent="0.25">
      <c r="A252" s="8"/>
      <c r="B252" s="11">
        <f>MAX(הפחתה[[#This Row],[מס'']],הפחתה5[[#This Row],[מס'']],הפחתה7[[#This Row],[מס'']],הפחתה8[[#This Row],[מס'']])</f>
        <v>249</v>
      </c>
      <c r="C252" s="12">
        <f ca="1">IF(ValuesEntered,IF(הפחתה23[[#This Row],[מס'']]&lt;=תקופת_ההלוואה,IF(ROW()-ROW(הפחתה[[#Headers],[תאריך]])=1,LoanStart,IF(I251&gt;0,EDATE(C251,1),"")),""),"")</f>
        <v>52932</v>
      </c>
      <c r="D252" s="13">
        <f ca="1">SUM(הפחתה[[#This Row],[יתרת פתיחה]],הפחתה5[[#This Row],[יתרת פתיחה]],הפחתה7[[#This Row],[יתרת פתיחה]],הפחתה8[[#This Row],[יתרת פתיחה]])</f>
        <v>406657.53639800474</v>
      </c>
      <c r="E252" s="13">
        <f ca="1">SUM(הפחתה[[#This Row],[ריבית]],הפחתה5[[#This Row],[ריבית]],הפחתה7[[#This Row],[ריבית]],הפחתה8[[#This Row],[ריבית]])</f>
        <v>1658.4858807960888</v>
      </c>
      <c r="F252" s="13">
        <f ca="1">SUM(הפחתה[[#This Row],[קרן]],הפחתה5[[#This Row],[קרן]],הפחתה7[[#This Row],[קרן]],הפחתה8[[#This Row],[קרן]])</f>
        <v>4024.188453355001</v>
      </c>
      <c r="G252" s="13">
        <f ca="1">IF(הפחתה23[[#This Row],[תאריך]]="",0,PropertyTaxAmount)</f>
        <v>0</v>
      </c>
      <c r="H252" s="13">
        <f ca="1">IF(הפחתה23[[#This Row],[תאריך]]="",0,הפחתה23[[#This Row],[ריבית]]+הפחתה23[[#This Row],[קרן]]+הפחתה23[[#This Row],[מס
רכוש]])</f>
        <v>5682.6743341510901</v>
      </c>
      <c r="I252" s="13">
        <f ca="1">IF(הפחתה23[[#This Row],[תאריך]]="",0,הפחתה23[[#This Row],[יתרת פתיחה]]-הפחתה23[[#This Row],[קרן]])</f>
        <v>402633.34794464975</v>
      </c>
      <c r="J252" s="11">
        <f ca="1">MAX(הפחתה[[#This Row],[תשלומים
שנותרו]],הפחתה5[[#This Row],[תשלומים
שנותרו]],הפחתה7[[#This Row],[תשלומים
שנותרו]],הפחתה8[[#This Row],[תשלומים
שנותרו]])</f>
        <v>111</v>
      </c>
    </row>
    <row r="253" spans="1:10" ht="15" customHeight="1" x14ac:dyDescent="0.25">
      <c r="A253" s="8"/>
      <c r="B253" s="11">
        <f>MAX(הפחתה[[#This Row],[מס'']],הפחתה5[[#This Row],[מס'']],הפחתה7[[#This Row],[מס'']],הפחתה8[[#This Row],[מס'']])</f>
        <v>250</v>
      </c>
      <c r="C253" s="12">
        <f ca="1">IF(ValuesEntered,IF(הפחתה23[[#This Row],[מס'']]&lt;=תקופת_ההלוואה,IF(ROW()-ROW(הפחתה[[#Headers],[תאריך]])=1,LoanStart,IF(I252&gt;0,EDATE(C252,1),"")),""),"")</f>
        <v>52963</v>
      </c>
      <c r="D253" s="13">
        <f ca="1">SUM(הפחתה[[#This Row],[יתרת פתיחה]],הפחתה5[[#This Row],[יתרת פתיחה]],הפחתה7[[#This Row],[יתרת פתיחה]],הפחתה8[[#This Row],[יתרת פתיחה]])</f>
        <v>402688.1178218759</v>
      </c>
      <c r="E253" s="13">
        <f ca="1">SUM(הפחתה[[#This Row],[ריבית]],הפחתה5[[#This Row],[ריבית]],הפחתה7[[#This Row],[ריבית]],הפחתה8[[#This Row],[ריבית]])</f>
        <v>1642.9488079937773</v>
      </c>
      <c r="F253" s="13">
        <f ca="1">SUM(הפחתה[[#This Row],[קרן]],הפחתה5[[#This Row],[קרן]],הפחתה7[[#This Row],[קרן]],הפחתה8[[#This Row],[קרן]])</f>
        <v>4040.7869199238548</v>
      </c>
      <c r="G253" s="13">
        <f ca="1">IF(הפחתה23[[#This Row],[תאריך]]="",0,PropertyTaxAmount)</f>
        <v>0</v>
      </c>
      <c r="H253" s="13">
        <f ca="1">IF(הפחתה23[[#This Row],[תאריך]]="",0,הפחתה23[[#This Row],[ריבית]]+הפחתה23[[#This Row],[קרן]]+הפחתה23[[#This Row],[מס
רכוש]])</f>
        <v>5683.7357279176322</v>
      </c>
      <c r="I253" s="13">
        <f ca="1">IF(הפחתה23[[#This Row],[תאריך]]="",0,הפחתה23[[#This Row],[יתרת פתיחה]]-הפחתה23[[#This Row],[קרן]])</f>
        <v>398647.33090195205</v>
      </c>
      <c r="J253" s="11">
        <f ca="1">MAX(הפחתה[[#This Row],[תשלומים
שנותרו]],הפחתה5[[#This Row],[תשלומים
שנותרו]],הפחתה7[[#This Row],[תשלומים
שנותרו]],הפחתה8[[#This Row],[תשלומים
שנותרו]])</f>
        <v>110</v>
      </c>
    </row>
    <row r="254" spans="1:10" ht="15" customHeight="1" x14ac:dyDescent="0.25">
      <c r="A254" s="8"/>
      <c r="B254" s="11">
        <f>MAX(הפחתה[[#This Row],[מס'']],הפחתה5[[#This Row],[מס'']],הפחתה7[[#This Row],[מס'']],הפחתה8[[#This Row],[מס'']])</f>
        <v>251</v>
      </c>
      <c r="C254" s="12">
        <f ca="1">IF(ValuesEntered,IF(הפחתה23[[#This Row],[מס'']]&lt;=תקופת_ההלוואה,IF(ROW()-ROW(הפחתה[[#Headers],[תאריך]])=1,LoanStart,IF(I253&gt;0,EDATE(C253,1),"")),""),"")</f>
        <v>52994</v>
      </c>
      <c r="D254" s="13">
        <f ca="1">SUM(הפחתה[[#This Row],[יתרת פתיחה]],הפחתה5[[#This Row],[יתרת פתיחה]],הפחתה7[[#This Row],[יתרת פתיחה]],הפחתה8[[#This Row],[יתרת פתיחה]])</f>
        <v>398701.18940327532</v>
      </c>
      <c r="E254" s="13">
        <f ca="1">SUM(הפחתה[[#This Row],[ריבית]],הפחתה5[[#This Row],[ריבית]],הפחתה7[[#This Row],[ריבית]],הפחתה8[[#This Row],[ריבית]])</f>
        <v>1627.3445546153789</v>
      </c>
      <c r="F254" s="13">
        <f ca="1">SUM(הפחתה[[#This Row],[קרן]],הפחתה5[[#This Row],[קרן]],הפחתה7[[#This Row],[קרן]],הפחתה8[[#This Row],[קרן]])</f>
        <v>4057.4546325900164</v>
      </c>
      <c r="G254" s="13">
        <f ca="1">IF(הפחתה23[[#This Row],[תאריך]]="",0,PropertyTaxAmount)</f>
        <v>0</v>
      </c>
      <c r="H254" s="13">
        <f ca="1">IF(הפחתה23[[#This Row],[תאריך]]="",0,הפחתה23[[#This Row],[ריבית]]+הפחתה23[[#This Row],[קרן]]+הפחתה23[[#This Row],[מס
רכוש]])</f>
        <v>5684.7991872053954</v>
      </c>
      <c r="I254" s="13">
        <f ca="1">IF(הפחתה23[[#This Row],[תאריך]]="",0,הפחתה23[[#This Row],[יתרת פתיחה]]-הפחתה23[[#This Row],[קרן]])</f>
        <v>394643.73477068532</v>
      </c>
      <c r="J254" s="11">
        <f ca="1">MAX(הפחתה[[#This Row],[תשלומים
שנותרו]],הפחתה5[[#This Row],[תשלומים
שנותרו]],הפחתה7[[#This Row],[תשלומים
שנותרו]],הפחתה8[[#This Row],[תשלומים
שנותרו]])</f>
        <v>109</v>
      </c>
    </row>
    <row r="255" spans="1:10" ht="15" customHeight="1" x14ac:dyDescent="0.25">
      <c r="A255" s="8"/>
      <c r="B255" s="11">
        <f>MAX(הפחתה[[#This Row],[מס'']],הפחתה5[[#This Row],[מס'']],הפחתה7[[#This Row],[מס'']],הפחתה8[[#This Row],[מס'']])</f>
        <v>252</v>
      </c>
      <c r="C255" s="12">
        <f ca="1">IF(ValuesEntered,IF(הפחתה23[[#This Row],[מס'']]&lt;=תקופת_ההלוואה,IF(ROW()-ROW(הפחתה[[#Headers],[תאריך]])=1,LoanStart,IF(I254&gt;0,EDATE(C254,1),"")),""),"")</f>
        <v>53022</v>
      </c>
      <c r="D255" s="13">
        <f ca="1">SUM(הפחתה[[#This Row],[יתרת פתיחה]],הפחתה5[[#This Row],[יתרת פתיחה]],הפחתה7[[#This Row],[יתרת פתיחה]],הפחתה8[[#This Row],[יתרת פתיחה]])</f>
        <v>394696.67674985877</v>
      </c>
      <c r="E255" s="13">
        <f ca="1">SUM(הפחתה[[#This Row],[ריבית]],הפחתה5[[#This Row],[ריבית]],הפחתה7[[#This Row],[ריבית]],הפחתה8[[#This Row],[ריבית]])</f>
        <v>1611.672835044782</v>
      </c>
      <c r="F255" s="13">
        <f ca="1">SUM(הפחתה[[#This Row],[קרן]],הפחתה5[[#This Row],[קרן]],הפחתה7[[#This Row],[קרן]],הפחתה8[[#This Row],[קרן]])</f>
        <v>4074.1918989696078</v>
      </c>
      <c r="G255" s="13">
        <f ca="1">IF(הפחתה23[[#This Row],[תאריך]]="",0,PropertyTaxAmount)</f>
        <v>0</v>
      </c>
      <c r="H255" s="13">
        <f ca="1">IF(הפחתה23[[#This Row],[תאריך]]="",0,הפחתה23[[#This Row],[ריבית]]+הפחתה23[[#This Row],[קרן]]+הפחתה23[[#This Row],[מס
רכוש]])</f>
        <v>5685.8647340143898</v>
      </c>
      <c r="I255" s="13">
        <f ca="1">IF(הפחתה23[[#This Row],[תאריך]]="",0,הפחתה23[[#This Row],[יתרת פתיחה]]-הפחתה23[[#This Row],[קרן]])</f>
        <v>390622.48485088919</v>
      </c>
      <c r="J255" s="11">
        <f ca="1">MAX(הפחתה[[#This Row],[תשלומים
שנותרו]],הפחתה5[[#This Row],[תשלומים
שנותרו]],הפחתה7[[#This Row],[תשלומים
שנותרו]],הפחתה8[[#This Row],[תשלומים
שנותרו]])</f>
        <v>108</v>
      </c>
    </row>
    <row r="256" spans="1:10" ht="15" customHeight="1" x14ac:dyDescent="0.25">
      <c r="A256" s="8"/>
      <c r="B256" s="11">
        <f>MAX(הפחתה[[#This Row],[מס'']],הפחתה5[[#This Row],[מס'']],הפחתה7[[#This Row],[מס'']],הפחתה8[[#This Row],[מס'']])</f>
        <v>253</v>
      </c>
      <c r="C256" s="12">
        <f ca="1">IF(ValuesEntered,IF(הפחתה23[[#This Row],[מס'']]&lt;=תקופת_ההלוואה,IF(ROW()-ROW(הפחתה[[#Headers],[תאריך]])=1,LoanStart,IF(I255&gt;0,EDATE(C255,1),"")),""),"")</f>
        <v>53053</v>
      </c>
      <c r="D256" s="13">
        <f ca="1">SUM(הפחתה[[#This Row],[יתרת פתיחה]],הפחתה5[[#This Row],[יתרת פתיחה]],הפחתה7[[#This Row],[יתרת פתיחה]],הפחתה8[[#This Row],[יתרת פתיחה]])</f>
        <v>390674.50513930863</v>
      </c>
      <c r="E256" s="13">
        <f ca="1">SUM(הפחתה[[#This Row],[ריבית]],הפחתה5[[#This Row],[ריבית]],הפחתה7[[#This Row],[ריבית]],הפחתה8[[#This Row],[ריבית]])</f>
        <v>1595.9333624208969</v>
      </c>
      <c r="F256" s="13">
        <f ca="1">SUM(הפחתה[[#This Row],[קרן]],הפחתה5[[#This Row],[קרן]],הפחתה7[[#This Row],[קרן]],הפחתה8[[#This Row],[קרן]])</f>
        <v>4090.9990291635095</v>
      </c>
      <c r="G256" s="13">
        <f ca="1">IF(הפחתה23[[#This Row],[תאריך]]="",0,PropertyTaxAmount)</f>
        <v>0</v>
      </c>
      <c r="H256" s="13">
        <f ca="1">IF(הפחתה23[[#This Row],[תאריך]]="",0,הפחתה23[[#This Row],[ריבית]]+הפחתה23[[#This Row],[קרן]]+הפחתה23[[#This Row],[מס
רכוש]])</f>
        <v>5686.9323915844061</v>
      </c>
      <c r="I256" s="13">
        <f ca="1">IF(הפחתה23[[#This Row],[תאריך]]="",0,הפחתה23[[#This Row],[יתרת פתיחה]]-הפחתה23[[#This Row],[קרן]])</f>
        <v>386583.50611014513</v>
      </c>
      <c r="J256" s="11">
        <f ca="1">MAX(הפחתה[[#This Row],[תשלומים
שנותרו]],הפחתה5[[#This Row],[תשלומים
שנותרו]],הפחתה7[[#This Row],[תשלומים
שנותרו]],הפחתה8[[#This Row],[תשלומים
שנותרו]])</f>
        <v>107</v>
      </c>
    </row>
    <row r="257" spans="1:10" ht="15" customHeight="1" x14ac:dyDescent="0.25">
      <c r="A257" s="8"/>
      <c r="B257" s="11">
        <f>MAX(הפחתה[[#This Row],[מס'']],הפחתה5[[#This Row],[מס'']],הפחתה7[[#This Row],[מס'']],הפחתה8[[#This Row],[מס'']])</f>
        <v>254</v>
      </c>
      <c r="C257" s="12">
        <f ca="1">IF(ValuesEntered,IF(הפחתה23[[#This Row],[מס'']]&lt;=תקופת_ההלוואה,IF(ROW()-ROW(הפחתה[[#Headers],[תאריך]])=1,LoanStart,IF(I256&gt;0,EDATE(C256,1),"")),""),"")</f>
        <v>53083</v>
      </c>
      <c r="D257" s="13">
        <f ca="1">SUM(הפחתה[[#This Row],[יתרת פתיחה]],הפחתה5[[#This Row],[יתרת פתיחה]],הפחתה7[[#This Row],[יתרת פתיחה]],הפחתה8[[#This Row],[יתרת פתיחה]])</f>
        <v>386634.59951673041</v>
      </c>
      <c r="E257" s="13">
        <f ca="1">SUM(הפחתה[[#This Row],[ריבית]],הפחתה5[[#This Row],[ריבית]],הפחתה7[[#This Row],[ריבית]],הפחתה8[[#This Row],[ריבית]])</f>
        <v>1580.1258486298459</v>
      </c>
      <c r="F257" s="13">
        <f ca="1">SUM(הפחתה[[#This Row],[קרן]],הפחתה5[[#This Row],[קרן]],הפחתה7[[#This Row],[קרן]],הפחתה8[[#This Row],[קרן]])</f>
        <v>4107.876335869918</v>
      </c>
      <c r="G257" s="13">
        <f ca="1">IF(הפחתה23[[#This Row],[תאריך]]="",0,PropertyTaxAmount)</f>
        <v>0</v>
      </c>
      <c r="H257" s="13">
        <f ca="1">IF(הפחתה23[[#This Row],[תאריך]]="",0,הפחתה23[[#This Row],[ריבית]]+הפחתה23[[#This Row],[קרן]]+הפחתה23[[#This Row],[מס
רכוש]])</f>
        <v>5688.0021844997636</v>
      </c>
      <c r="I257" s="13">
        <f ca="1">IF(הפחתה23[[#This Row],[תאריך]]="",0,הפחתה23[[#This Row],[יתרת פתיחה]]-הפחתה23[[#This Row],[קרן]])</f>
        <v>382526.72318086051</v>
      </c>
      <c r="J257" s="11">
        <f ca="1">MAX(הפחתה[[#This Row],[תשלומים
שנותרו]],הפחתה5[[#This Row],[תשלומים
שנותרו]],הפחתה7[[#This Row],[תשלומים
שנותרו]],הפחתה8[[#This Row],[תשלומים
שנותרו]])</f>
        <v>106</v>
      </c>
    </row>
    <row r="258" spans="1:10" ht="15" customHeight="1" x14ac:dyDescent="0.25">
      <c r="A258" s="8"/>
      <c r="B258" s="11">
        <f>MAX(הפחתה[[#This Row],[מס'']],הפחתה5[[#This Row],[מס'']],הפחתה7[[#This Row],[מס'']],הפחתה8[[#This Row],[מס'']])</f>
        <v>255</v>
      </c>
      <c r="C258" s="12">
        <f ca="1">IF(ValuesEntered,IF(הפחתה23[[#This Row],[מס'']]&lt;=תקופת_ההלוואה,IF(ROW()-ROW(הפחתה[[#Headers],[תאריך]])=1,LoanStart,IF(I257&gt;0,EDATE(C257,1),"")),""),"")</f>
        <v>53114</v>
      </c>
      <c r="D258" s="13">
        <f ca="1">SUM(הפחתה[[#This Row],[יתרת פתיחה]],הפחתה5[[#This Row],[יתרת פתיחה]],הפחתה7[[#This Row],[יתרת פתיחה]],הפחתה8[[#This Row],[יתרת פתיחה]])</f>
        <v>382576.88449193403</v>
      </c>
      <c r="E258" s="13">
        <f ca="1">SUM(הפחתה[[#This Row],[ריבית]],הפחתה5[[#This Row],[ריבית]],הפחתה7[[#This Row],[ריבית]],הפחתה8[[#This Row],[ריבית]])</f>
        <v>1564.250004296897</v>
      </c>
      <c r="F258" s="13">
        <f ca="1">SUM(הפחתה[[#This Row],[קרן]],הפחתה5[[#This Row],[קרן]],הפחתה7[[#This Row],[קרן]],הפחתה8[[#This Row],[קרן]])</f>
        <v>4124.8241345085135</v>
      </c>
      <c r="G258" s="13">
        <f ca="1">IF(הפחתה23[[#This Row],[תאריך]]="",0,PropertyTaxAmount)</f>
        <v>0</v>
      </c>
      <c r="H258" s="13">
        <f ca="1">IF(הפחתה23[[#This Row],[תאריך]]="",0,הפחתה23[[#This Row],[ריבית]]+הפחתה23[[#This Row],[קרן]]+הפחתה23[[#This Row],[מס
רכוש]])</f>
        <v>5689.0741388054103</v>
      </c>
      <c r="I258" s="13">
        <f ca="1">IF(הפחתה23[[#This Row],[תאריך]]="",0,הפחתה23[[#This Row],[יתרת פתיחה]]-הפחתה23[[#This Row],[קרן]])</f>
        <v>378452.06035742554</v>
      </c>
      <c r="J258" s="11">
        <f ca="1">MAX(הפחתה[[#This Row],[תשלומים
שנותרו]],הפחתה5[[#This Row],[תשלומים
שנותרו]],הפחתה7[[#This Row],[תשלומים
שנותרו]],הפחתה8[[#This Row],[תשלומים
שנותרו]])</f>
        <v>105</v>
      </c>
    </row>
    <row r="259" spans="1:10" ht="15" customHeight="1" x14ac:dyDescent="0.25">
      <c r="A259" s="8"/>
      <c r="B259" s="11">
        <f>MAX(הפחתה[[#This Row],[מס'']],הפחתה5[[#This Row],[מס'']],הפחתה7[[#This Row],[מס'']],הפחתה8[[#This Row],[מס'']])</f>
        <v>256</v>
      </c>
      <c r="C259" s="12">
        <f ca="1">IF(ValuesEntered,IF(הפחתה23[[#This Row],[מס'']]&lt;=תקופת_ההלוואה,IF(ROW()-ROW(הפחתה[[#Headers],[תאריך]])=1,LoanStart,IF(I258&gt;0,EDATE(C258,1),"")),""),"")</f>
        <v>53144</v>
      </c>
      <c r="D259" s="13">
        <f ca="1">SUM(הפחתה[[#This Row],[יתרת פתיחה]],הפחתה5[[#This Row],[יתרת פתיחה]],הפחתה7[[#This Row],[יתרת פתיחה]],הפחתה8[[#This Row],[יתרת פתיחה]])</f>
        <v>378501.28433658817</v>
      </c>
      <c r="E259" s="13">
        <f ca="1">SUM(הפחתה[[#This Row],[ריבית]],הפחתה5[[#This Row],[ריבית]],הפחתה7[[#This Row],[ריבית]],הפחתה8[[#This Row],[ריבית]])</f>
        <v>1548.3055387781205</v>
      </c>
      <c r="F259" s="13">
        <f ca="1">SUM(הפחתה[[#This Row],[קרן]],הפחתה5[[#This Row],[קרן]],הפחתה7[[#This Row],[קרן]],הפחתה8[[#This Row],[קרן]])</f>
        <v>4141.8427433577453</v>
      </c>
      <c r="G259" s="13">
        <f ca="1">IF(הפחתה23[[#This Row],[תאריך]]="",0,PropertyTaxAmount)</f>
        <v>0</v>
      </c>
      <c r="H259" s="13">
        <f ca="1">IF(הפחתה23[[#This Row],[תאריך]]="",0,הפחתה23[[#This Row],[ריבית]]+הפחתה23[[#This Row],[קרן]]+הפחתה23[[#This Row],[מס
רכוש]])</f>
        <v>5690.1482821358659</v>
      </c>
      <c r="I259" s="13">
        <f ca="1">IF(הפחתה23[[#This Row],[תאריך]]="",0,הפחתה23[[#This Row],[יתרת פתיחה]]-הפחתה23[[#This Row],[קרן]])</f>
        <v>374359.44159323041</v>
      </c>
      <c r="J259" s="11">
        <f ca="1">MAX(הפחתה[[#This Row],[תשלומים
שנותרו]],הפחתה5[[#This Row],[תשלומים
שנותרו]],הפחתה7[[#This Row],[תשלומים
שנותרו]],הפחתה8[[#This Row],[תשלומים
שנותרו]])</f>
        <v>104</v>
      </c>
    </row>
    <row r="260" spans="1:10" ht="15" customHeight="1" x14ac:dyDescent="0.25">
      <c r="A260" s="8"/>
      <c r="B260" s="11">
        <f>MAX(הפחתה[[#This Row],[מס'']],הפחתה5[[#This Row],[מס'']],הפחתה7[[#This Row],[מס'']],הפחתה8[[#This Row],[מס'']])</f>
        <v>257</v>
      </c>
      <c r="C260" s="12">
        <f ca="1">IF(ValuesEntered,IF(הפחתה23[[#This Row],[מס'']]&lt;=תקופת_ההלוואה,IF(ROW()-ROW(הפחתה[[#Headers],[תאריך]])=1,LoanStart,IF(I259&gt;0,EDATE(C259,1),"")),""),"")</f>
        <v>53175</v>
      </c>
      <c r="D260" s="13">
        <f ca="1">SUM(הפחתה[[#This Row],[יתרת פתיחה]],הפחתה5[[#This Row],[יתרת פתיחה]],הפחתה7[[#This Row],[יתרת פתיחה]],הפחתה8[[#This Row],[יתרת פתיחה]])</f>
        <v>374407.72298123478</v>
      </c>
      <c r="E260" s="13">
        <f ca="1">SUM(הפחתה[[#This Row],[ריבית]],הפחתה5[[#This Row],[ריבית]],הפחתה7[[#This Row],[ריבית]],הפחתה8[[#This Row],[ריבית]])</f>
        <v>1532.2921601517367</v>
      </c>
      <c r="F260" s="13">
        <f ca="1">SUM(הפחתה[[#This Row],[קרן]],הפחתה5[[#This Row],[קרן]],הפחתה7[[#This Row],[קרן]],הפחתה8[[#This Row],[קרן]])</f>
        <v>4158.9324837070308</v>
      </c>
      <c r="G260" s="13">
        <f ca="1">IF(הפחתה23[[#This Row],[תאריך]]="",0,PropertyTaxAmount)</f>
        <v>0</v>
      </c>
      <c r="H260" s="13">
        <f ca="1">IF(הפחתה23[[#This Row],[תאריך]]="",0,הפחתה23[[#This Row],[ריבית]]+הפחתה23[[#This Row],[קרן]]+הפחתה23[[#This Row],[מס
רכוש]])</f>
        <v>5691.2246438587672</v>
      </c>
      <c r="I260" s="13">
        <f ca="1">IF(הפחתה23[[#This Row],[תאריך]]="",0,הפחתה23[[#This Row],[יתרת פתיחה]]-הפחתה23[[#This Row],[קרן]])</f>
        <v>370248.79049752775</v>
      </c>
      <c r="J260" s="11">
        <f ca="1">MAX(הפחתה[[#This Row],[תשלומים
שנותרו]],הפחתה5[[#This Row],[תשלומים
שנותרו]],הפחתה7[[#This Row],[תשלומים
שנותרו]],הפחתה8[[#This Row],[תשלומים
שנותרו]])</f>
        <v>103</v>
      </c>
    </row>
    <row r="261" spans="1:10" ht="15" customHeight="1" x14ac:dyDescent="0.25">
      <c r="A261" s="8"/>
      <c r="B261" s="11">
        <f>MAX(הפחתה[[#This Row],[מס'']],הפחתה5[[#This Row],[מס'']],הפחתה7[[#This Row],[מס'']],הפחתה8[[#This Row],[מס'']])</f>
        <v>258</v>
      </c>
      <c r="C261" s="12">
        <f ca="1">IF(ValuesEntered,IF(הפחתה23[[#This Row],[מס'']]&lt;=תקופת_ההלוואה,IF(ROW()-ROW(הפחתה[[#Headers],[תאריך]])=1,LoanStart,IF(I260&gt;0,EDATE(C260,1),"")),""),"")</f>
        <v>53206</v>
      </c>
      <c r="D261" s="13">
        <f ca="1">SUM(הפחתה[[#This Row],[יתרת פתיחה]],הפחתה5[[#This Row],[יתרת פתיחה]],הפחתה7[[#This Row],[יתרת פתיחה]],הפחתה8[[#This Row],[יתרת פתיחה]])</f>
        <v>370296.12401214801</v>
      </c>
      <c r="E261" s="13">
        <f ca="1">SUM(הפחתה[[#This Row],[ריבית]],הפחתה5[[#This Row],[ריבית]],הפחתה7[[#This Row],[ריבית]],הפחתה8[[#This Row],[ריבית]])</f>
        <v>1516.2095752091175</v>
      </c>
      <c r="F261" s="13">
        <f ca="1">SUM(הפחתה[[#This Row],[קרן]],הפחתה5[[#This Row],[קרן]],הפחתה7[[#This Row],[קרן]],הפחתה8[[#This Row],[קרן]])</f>
        <v>4176.0936800259306</v>
      </c>
      <c r="G261" s="13">
        <f ca="1">IF(הפחתה23[[#This Row],[תאריך]]="",0,PropertyTaxAmount)</f>
        <v>0</v>
      </c>
      <c r="H261" s="13">
        <f ca="1">IF(הפחתה23[[#This Row],[תאריך]]="",0,הפחתה23[[#This Row],[ריבית]]+הפחתה23[[#This Row],[קרן]]+הפחתה23[[#This Row],[מס
רכוש]])</f>
        <v>5692.3032552350478</v>
      </c>
      <c r="I261" s="13">
        <f ca="1">IF(הפחתה23[[#This Row],[תאריך]]="",0,הפחתה23[[#This Row],[יתרת פתיחה]]-הפחתה23[[#This Row],[קרן]])</f>
        <v>366120.03033212206</v>
      </c>
      <c r="J261" s="11">
        <f ca="1">MAX(הפחתה[[#This Row],[תשלומים
שנותרו]],הפחתה5[[#This Row],[תשלומים
שנותרו]],הפחתה7[[#This Row],[תשלומים
שנותרו]],הפחתה8[[#This Row],[תשלומים
שנותרו]])</f>
        <v>102</v>
      </c>
    </row>
    <row r="262" spans="1:10" ht="15" customHeight="1" x14ac:dyDescent="0.25">
      <c r="A262" s="8"/>
      <c r="B262" s="11">
        <f>MAX(הפחתה[[#This Row],[מס'']],הפחתה5[[#This Row],[מס'']],הפחתה7[[#This Row],[מס'']],הפחתה8[[#This Row],[מס'']])</f>
        <v>259</v>
      </c>
      <c r="C262" s="12">
        <f ca="1">IF(ValuesEntered,IF(הפחתה23[[#This Row],[מס'']]&lt;=תקופת_ההלוואה,IF(ROW()-ROW(הפחתה[[#Headers],[תאריך]])=1,LoanStart,IF(I261&gt;0,EDATE(C261,1),"")),""),"")</f>
        <v>53236</v>
      </c>
      <c r="D262" s="13">
        <f ca="1">SUM(הפחתה[[#This Row],[יתרת פתיחה]],הפחתה5[[#This Row],[יתרת פתיחה]],הפחתה7[[#This Row],[יתרת פתיחה]],הפחתה8[[#This Row],[יתרת פתיחה]])</f>
        <v>366166.41066802054</v>
      </c>
      <c r="E262" s="13">
        <f ca="1">SUM(הפחתה[[#This Row],[ריבית]],הפחתה5[[#This Row],[ריבית]],הפחתה7[[#This Row],[ריבית]],הפחתה8[[#This Row],[ריבית]])</f>
        <v>1500.0574894454144</v>
      </c>
      <c r="F262" s="13">
        <f ca="1">SUM(הפחתה[[#This Row],[קרן]],הפחתה5[[#This Row],[קרן]],הפחתה7[[#This Row],[קרן]],הפחתה8[[#This Row],[קרן]])</f>
        <v>4193.3266601526884</v>
      </c>
      <c r="G262" s="13">
        <f ca="1">IF(הפחתה23[[#This Row],[תאריך]]="",0,PropertyTaxAmount)</f>
        <v>0</v>
      </c>
      <c r="H262" s="13">
        <f ca="1">IF(הפחתה23[[#This Row],[תאריך]]="",0,הפחתה23[[#This Row],[ריבית]]+הפחתה23[[#This Row],[קרן]]+הפחתה23[[#This Row],[מס
רכוש]])</f>
        <v>5693.3841495981032</v>
      </c>
      <c r="I262" s="13">
        <f ca="1">IF(הפחתה23[[#This Row],[תאריך]]="",0,הפחתה23[[#This Row],[יתרת פתיחה]]-הפחתה23[[#This Row],[קרן]])</f>
        <v>361973.08400786784</v>
      </c>
      <c r="J262" s="11">
        <f ca="1">MAX(הפחתה[[#This Row],[תשלומים
שנותרו]],הפחתה5[[#This Row],[תשלומים
שנותרו]],הפחתה7[[#This Row],[תשלומים
שנותרו]],הפחתה8[[#This Row],[תשלומים
שנותרו]])</f>
        <v>101</v>
      </c>
    </row>
    <row r="263" spans="1:10" ht="15" customHeight="1" x14ac:dyDescent="0.25">
      <c r="A263" s="8"/>
      <c r="B263" s="11">
        <f>MAX(הפחתה[[#This Row],[מס'']],הפחתה5[[#This Row],[מס'']],הפחתה7[[#This Row],[מס'']],הפחתה8[[#This Row],[מס'']])</f>
        <v>260</v>
      </c>
      <c r="C263" s="12">
        <f ca="1">IF(ValuesEntered,IF(הפחתה23[[#This Row],[מס'']]&lt;=תקופת_ההלוואה,IF(ROW()-ROW(הפחתה[[#Headers],[תאריך]])=1,LoanStart,IF(I262&gt;0,EDATE(C262,1),"")),""),"")</f>
        <v>53267</v>
      </c>
      <c r="D263" s="13">
        <f ca="1">SUM(הפחתה[[#This Row],[יתרת פתיחה]],הפחתה5[[#This Row],[יתרת פתיחה]],הפחתה7[[#This Row],[יתרת פתיחה]],הפחתה8[[#This Row],[יתרת פתיחה]])</f>
        <v>362018.50583645795</v>
      </c>
      <c r="E263" s="13">
        <f ca="1">SUM(הפחתה[[#This Row],[ריבית]],הפחתה5[[#This Row],[ריבית]],הפחתה7[[#This Row],[ריבית]],הפחתה8[[#This Row],[ריבית]])</f>
        <v>1483.8356070497593</v>
      </c>
      <c r="F263" s="13">
        <f ca="1">SUM(הפחתה[[#This Row],[קרן]],הפחתה5[[#This Row],[קרן]],הפחתה7[[#This Row],[קרן]],הפחתה8[[#This Row],[קרן]])</f>
        <v>4210.6317555049845</v>
      </c>
      <c r="G263" s="13">
        <f ca="1">IF(הפחתה23[[#This Row],[תאריך]]="",0,PropertyTaxAmount)</f>
        <v>0</v>
      </c>
      <c r="H263" s="13">
        <f ca="1">IF(הפחתה23[[#This Row],[תאריך]]="",0,הפחתה23[[#This Row],[ריבית]]+הפחתה23[[#This Row],[קרן]]+הפחתה23[[#This Row],[מס
רכוש]])</f>
        <v>5694.4673625547439</v>
      </c>
      <c r="I263" s="13">
        <f ca="1">IF(הפחתה23[[#This Row],[תאריך]]="",0,הפחתה23[[#This Row],[יתרת פתיחה]]-הפחתה23[[#This Row],[קרן]])</f>
        <v>357807.87408095296</v>
      </c>
      <c r="J263" s="11">
        <f ca="1">MAX(הפחתה[[#This Row],[תשלומים
שנותרו]],הפחתה5[[#This Row],[תשלומים
שנותרו]],הפחתה7[[#This Row],[תשלומים
שנותרו]],הפחתה8[[#This Row],[תשלומים
שנותרו]])</f>
        <v>100</v>
      </c>
    </row>
    <row r="264" spans="1:10" ht="15" customHeight="1" x14ac:dyDescent="0.25">
      <c r="A264" s="8"/>
      <c r="B264" s="11">
        <f>MAX(הפחתה[[#This Row],[מס'']],הפחתה5[[#This Row],[מס'']],הפחתה7[[#This Row],[מס'']],הפחתה8[[#This Row],[מס'']])</f>
        <v>261</v>
      </c>
      <c r="C264" s="12">
        <f ca="1">IF(ValuesEntered,IF(הפחתה23[[#This Row],[מס'']]&lt;=תקופת_ההלוואה,IF(ROW()-ROW(הפחתה[[#Headers],[תאריך]])=1,LoanStart,IF(I263&gt;0,EDATE(C263,1),"")),""),"")</f>
        <v>53297</v>
      </c>
      <c r="D264" s="13">
        <f ca="1">SUM(הפחתה[[#This Row],[יתרת פתיחה]],הפחתה5[[#This Row],[יתרת פתיחה]],הפחתה7[[#This Row],[יתרת פתיחה]],הפחתה8[[#This Row],[יתרת פתיחה]])</f>
        <v>357852.33205025818</v>
      </c>
      <c r="E264" s="13">
        <f ca="1">SUM(הפחתה[[#This Row],[ריבית]],הפחתה5[[#This Row],[ריבית]],הפחתה7[[#This Row],[ריבית]],הפחתה8[[#This Row],[ריבית]])</f>
        <v>1467.5436308949927</v>
      </c>
      <c r="F264" s="13">
        <f ca="1">SUM(הפחתה[[#This Row],[קרן]],הפחתה5[[#This Row],[קרן]],הפחתה7[[#This Row],[קרן]],הפחתה8[[#This Row],[קרן]])</f>
        <v>4228.0093013161841</v>
      </c>
      <c r="G264" s="13">
        <f ca="1">IF(הפחתה23[[#This Row],[תאריך]]="",0,PropertyTaxAmount)</f>
        <v>0</v>
      </c>
      <c r="H264" s="13">
        <f ca="1">IF(הפחתה23[[#This Row],[תאריך]]="",0,הפחתה23[[#This Row],[ריבית]]+הפחתה23[[#This Row],[קרן]]+הפחתה23[[#This Row],[מס
רכוש]])</f>
        <v>5695.552932211177</v>
      </c>
      <c r="I264" s="13">
        <f ca="1">IF(הפחתה23[[#This Row],[תאריך]]="",0,הפחתה23[[#This Row],[יתרת פתיחה]]-הפחתה23[[#This Row],[קרן]])</f>
        <v>353624.32274894201</v>
      </c>
      <c r="J264" s="11">
        <f ca="1">MAX(הפחתה[[#This Row],[תשלומים
שנותרו]],הפחתה5[[#This Row],[תשלומים
שנותרו]],הפחתה7[[#This Row],[תשלומים
שנותרו]],הפחתה8[[#This Row],[תשלומים
שנותרו]])</f>
        <v>99</v>
      </c>
    </row>
    <row r="265" spans="1:10" ht="15" customHeight="1" x14ac:dyDescent="0.25">
      <c r="A265" s="8"/>
      <c r="B265" s="11">
        <f>MAX(הפחתה[[#This Row],[מס'']],הפחתה5[[#This Row],[מס'']],הפחתה7[[#This Row],[מס'']],הפחתה8[[#This Row],[מס'']])</f>
        <v>262</v>
      </c>
      <c r="C265" s="12">
        <f ca="1">IF(ValuesEntered,IF(הפחתה23[[#This Row],[מס'']]&lt;=תקופת_ההלוואה,IF(ROW()-ROW(הפחתה[[#Headers],[תאריך]])=1,LoanStart,IF(I264&gt;0,EDATE(C264,1),"")),""),"")</f>
        <v>53328</v>
      </c>
      <c r="D265" s="13">
        <f ca="1">SUM(הפחתה[[#This Row],[יתרת פתיחה]],הפחתה5[[#This Row],[יתרת פתיחה]],הפחתה7[[#This Row],[יתרת פתיחה]],הפחתה8[[#This Row],[יתרת פתיחה]])</f>
        <v>353667.81148345064</v>
      </c>
      <c r="E265" s="13">
        <f ca="1">SUM(הפחתה[[#This Row],[ריבית]],הפחתה5[[#This Row],[ריבית]],הפחתה7[[#This Row],[ריבית]],הפחתה8[[#This Row],[ריבית]])</f>
        <v>1451.1812625268644</v>
      </c>
      <c r="F265" s="13">
        <f ca="1">SUM(הפחתה[[#This Row],[קרן]],הפחתה5[[#This Row],[קרן]],הפחתה7[[#This Row],[קרן]],הפחתה8[[#This Row],[קרן]])</f>
        <v>4245.4596369009851</v>
      </c>
      <c r="G265" s="13">
        <f ca="1">IF(הפחתה23[[#This Row],[תאריך]]="",0,PropertyTaxAmount)</f>
        <v>0</v>
      </c>
      <c r="H265" s="13">
        <f ca="1">IF(הפחתה23[[#This Row],[תאריך]]="",0,הפחתה23[[#This Row],[ריבית]]+הפחתה23[[#This Row],[קרן]]+הפחתה23[[#This Row],[מס
רכוש]])</f>
        <v>5696.6408994278499</v>
      </c>
      <c r="I265" s="13">
        <f ca="1">IF(הפחתה23[[#This Row],[תאריך]]="",0,הפחתה23[[#This Row],[יתרת פתיחה]]-הפחתה23[[#This Row],[קרן]])</f>
        <v>349422.35184654966</v>
      </c>
      <c r="J265" s="11">
        <f ca="1">MAX(הפחתה[[#This Row],[תשלומים
שנותרו]],הפחתה5[[#This Row],[תשלומים
שנותרו]],הפחתה7[[#This Row],[תשלומים
שנותרו]],הפחתה8[[#This Row],[תשלומים
שנותרו]])</f>
        <v>98</v>
      </c>
    </row>
    <row r="266" spans="1:10" ht="15" customHeight="1" x14ac:dyDescent="0.25">
      <c r="A266" s="8"/>
      <c r="B266" s="11">
        <f>MAX(הפחתה[[#This Row],[מס'']],הפחתה5[[#This Row],[מס'']],הפחתה7[[#This Row],[מס'']],הפחתה8[[#This Row],[מס'']])</f>
        <v>263</v>
      </c>
      <c r="C266" s="12">
        <f ca="1">IF(ValuesEntered,IF(הפחתה23[[#This Row],[מס'']]&lt;=תקופת_ההלוואה,IF(ROW()-ROW(הפחתה[[#Headers],[תאריך]])=1,LoanStart,IF(I265&gt;0,EDATE(C265,1),"")),""),"")</f>
        <v>53359</v>
      </c>
      <c r="D266" s="13">
        <f ca="1">SUM(הפחתה[[#This Row],[יתרת פתיחה]],הפחתה5[[#This Row],[יתרת פתיחה]],הפחתה7[[#This Row],[יתרת פתיחה]],הפחתה8[[#This Row],[יתרת פתיחה]])</f>
        <v>349464.86594706465</v>
      </c>
      <c r="E266" s="13">
        <f ca="1">SUM(הפחתה[[#This Row],[ריבית]],הפחתה5[[#This Row],[ריבית]],הפחתה7[[#This Row],[ריבית]],הפחתה8[[#This Row],[ריבית]])</f>
        <v>1434.7482021526394</v>
      </c>
      <c r="F266" s="13">
        <f ca="1">SUM(הפחתה[[#This Row],[קרן]],הפחתה5[[#This Row],[קרן]],הפחתה7[[#This Row],[קרן]],הפחתה8[[#This Row],[קרן]])</f>
        <v>4262.9831059551043</v>
      </c>
      <c r="G266" s="13">
        <f ca="1">IF(הפחתה23[[#This Row],[תאריך]]="",0,PropertyTaxAmount)</f>
        <v>0</v>
      </c>
      <c r="H266" s="13">
        <f ca="1">IF(הפחתה23[[#This Row],[תאריך]]="",0,הפחתה23[[#This Row],[ריבית]]+הפחתה23[[#This Row],[קרן]]+הפחתה23[[#This Row],[מס
רכוש]])</f>
        <v>5697.7313081077436</v>
      </c>
      <c r="I266" s="13">
        <f ca="1">IF(הפחתה23[[#This Row],[תאריך]]="",0,הפחתה23[[#This Row],[יתרת פתיחה]]-הפחתה23[[#This Row],[קרן]])</f>
        <v>345201.88284110953</v>
      </c>
      <c r="J266" s="11">
        <f ca="1">MAX(הפחתה[[#This Row],[תשלומים
שנותרו]],הפחתה5[[#This Row],[תשלומים
שנותרו]],הפחתה7[[#This Row],[תשלומים
שנותרו]],הפחתה8[[#This Row],[תשלומים
שנותרו]])</f>
        <v>97</v>
      </c>
    </row>
    <row r="267" spans="1:10" ht="15" customHeight="1" x14ac:dyDescent="0.25">
      <c r="A267" s="8"/>
      <c r="B267" s="11">
        <f>MAX(הפחתה[[#This Row],[מס'']],הפחתה5[[#This Row],[מס'']],הפחתה7[[#This Row],[מס'']],הפחתה8[[#This Row],[מס'']])</f>
        <v>264</v>
      </c>
      <c r="C267" s="12">
        <f ca="1">IF(ValuesEntered,IF(הפחתה23[[#This Row],[מס'']]&lt;=תקופת_ההלוואה,IF(ROW()-ROW(הפחתה[[#Headers],[תאריך]])=1,LoanStart,IF(I266&gt;0,EDATE(C266,1),"")),""),"")</f>
        <v>53387</v>
      </c>
      <c r="D267" s="13">
        <f ca="1">SUM(הפחתה[[#This Row],[יתרת פתיחה]],הפחתה5[[#This Row],[יתרת פתיחה]],הפחתה7[[#This Row],[יתרת פתיחה]],הפחתה8[[#This Row],[יתרת פתיחה]])</f>
        <v>345243.41688459332</v>
      </c>
      <c r="E267" s="13">
        <f ca="1">SUM(הפחתה[[#This Row],[ריבית]],הפחתה5[[#This Row],[ריבית]],הפחתה7[[#This Row],[ריבית]],הפחתה8[[#This Row],[ריבית]])</f>
        <v>1418.2441486290252</v>
      </c>
      <c r="F267" s="13">
        <f ca="1">SUM(הפחתה[[#This Row],[קרן]],הפחתה5[[#This Row],[קרן]],הפחתה7[[#This Row],[קרן]],הפחתה8[[#This Row],[קרן]])</f>
        <v>4280.5800568944414</v>
      </c>
      <c r="G267" s="13">
        <f ca="1">IF(הפחתה23[[#This Row],[תאריך]]="",0,PropertyTaxAmount)</f>
        <v>0</v>
      </c>
      <c r="H267" s="13">
        <f ca="1">IF(הפחתה23[[#This Row],[תאריך]]="",0,הפחתה23[[#This Row],[ריבית]]+הפחתה23[[#This Row],[קרן]]+הפחתה23[[#This Row],[מס
רכוש]])</f>
        <v>5698.8242055234668</v>
      </c>
      <c r="I267" s="13">
        <f ca="1">IF(הפחתה23[[#This Row],[תאריך]]="",0,הפחתה23[[#This Row],[יתרת פתיחה]]-הפחתה23[[#This Row],[קרן]])</f>
        <v>340962.83682769886</v>
      </c>
      <c r="J267" s="11">
        <f ca="1">MAX(הפחתה[[#This Row],[תשלומים
שנותרו]],הפחתה5[[#This Row],[תשלומים
שנותרו]],הפחתה7[[#This Row],[תשלומים
שנותרו]],הפחתה8[[#This Row],[תשלומים
שנותרו]])</f>
        <v>96</v>
      </c>
    </row>
    <row r="268" spans="1:10" ht="15" customHeight="1" x14ac:dyDescent="0.25">
      <c r="A268" s="8"/>
      <c r="B268" s="11">
        <f>MAX(הפחתה[[#This Row],[מס'']],הפחתה5[[#This Row],[מס'']],הפחתה7[[#This Row],[מס'']],הפחתה8[[#This Row],[מס'']])</f>
        <v>265</v>
      </c>
      <c r="C268" s="12">
        <f ca="1">IF(ValuesEntered,IF(הפחתה23[[#This Row],[מס'']]&lt;=תקופת_ההלוואה,IF(ROW()-ROW(הפחתה[[#Headers],[תאריך]])=1,LoanStart,IF(I267&gt;0,EDATE(C267,1),"")),""),"")</f>
        <v>53418</v>
      </c>
      <c r="D268" s="13">
        <f ca="1">SUM(הפחתה[[#This Row],[יתרת פתיחה]],הפחתה5[[#This Row],[יתרת פתיחה]],הפחתה7[[#This Row],[יתרת פתיחה]],הפחתה8[[#This Row],[יתרת פתיחה]])</f>
        <v>341003.38536711258</v>
      </c>
      <c r="E268" s="13">
        <f ca="1">SUM(הפחתה[[#This Row],[ריבית]],הפחתה5[[#This Row],[ריבית]],הפחתה7[[#This Row],[ריבית]],הפחתה8[[#This Row],[ריבית]])</f>
        <v>1401.6687994493445</v>
      </c>
      <c r="F268" s="13">
        <f ca="1">SUM(הפחתה[[#This Row],[קרן]],הפחתה5[[#This Row],[קרן]],הפחתה7[[#This Row],[קרן]],הפחתה8[[#This Row],[קרן]])</f>
        <v>4298.2508432403238</v>
      </c>
      <c r="G268" s="13">
        <f ca="1">IF(הפחתה23[[#This Row],[תאריך]]="",0,PropertyTaxAmount)</f>
        <v>0</v>
      </c>
      <c r="H268" s="13">
        <f ca="1">IF(הפחתה23[[#This Row],[תאריך]]="",0,הפחתה23[[#This Row],[ריבית]]+הפחתה23[[#This Row],[קרן]]+הפחתה23[[#This Row],[מס
רכוש]])</f>
        <v>5699.9196426896688</v>
      </c>
      <c r="I268" s="13">
        <f ca="1">IF(הפחתה23[[#This Row],[תאריך]]="",0,הפחתה23[[#This Row],[יתרת פתיחה]]-הפחתה23[[#This Row],[קרן]])</f>
        <v>336705.13452387229</v>
      </c>
      <c r="J268" s="11">
        <f ca="1">MAX(הפחתה[[#This Row],[תשלומים
שנותרו]],הפחתה5[[#This Row],[תשלומים
שנותרו]],הפחתה7[[#This Row],[תשלומים
שנותרו]],הפחתה8[[#This Row],[תשלומים
שנותרו]])</f>
        <v>95</v>
      </c>
    </row>
    <row r="269" spans="1:10" ht="15" customHeight="1" x14ac:dyDescent="0.25">
      <c r="A269" s="8"/>
      <c r="B269" s="11">
        <f>MAX(הפחתה[[#This Row],[מס'']],הפחתה5[[#This Row],[מס'']],הפחתה7[[#This Row],[מס'']],הפחתה8[[#This Row],[מס'']])</f>
        <v>266</v>
      </c>
      <c r="C269" s="12">
        <f ca="1">IF(ValuesEntered,IF(הפחתה23[[#This Row],[מס'']]&lt;=תקופת_ההלוואה,IF(ROW()-ROW(הפחתה[[#Headers],[תאריך]])=1,LoanStart,IF(I268&gt;0,EDATE(C268,1),"")),""),"")</f>
        <v>53448</v>
      </c>
      <c r="D269" s="13">
        <f ca="1">SUM(הפחתה[[#This Row],[יתרת פתיחה]],הפחתה5[[#This Row],[יתרת פתיחה]],הפחתה7[[#This Row],[יתרת פתיחה]],הפחתה8[[#This Row],[יתרת פתיחה]])</f>
        <v>336744.69208800874</v>
      </c>
      <c r="E269" s="13">
        <f ca="1">SUM(הפחתה[[#This Row],[ריבית]],הפחתה5[[#This Row],[ריבית]],הפחתה7[[#This Row],[ריבית]],הפחתה8[[#This Row],[ריבית]])</f>
        <v>1385.0218507298384</v>
      </c>
      <c r="F269" s="13">
        <f ca="1">SUM(הפחתה[[#This Row],[קרן]],הפחתה5[[#This Row],[קרן]],הפחתה7[[#This Row],[קרן]],הפחתה8[[#This Row],[קרן]])</f>
        <v>4315.9958240586329</v>
      </c>
      <c r="G269" s="13">
        <f ca="1">IF(הפחתה23[[#This Row],[תאריך]]="",0,PropertyTaxAmount)</f>
        <v>0</v>
      </c>
      <c r="H269" s="13">
        <f ca="1">IF(הפחתה23[[#This Row],[תאריך]]="",0,הפחתה23[[#This Row],[ריבית]]+הפחתה23[[#This Row],[קרן]]+הפחתה23[[#This Row],[מס
רכוש]])</f>
        <v>5701.0176747884716</v>
      </c>
      <c r="I269" s="13">
        <f ca="1">IF(הפחתה23[[#This Row],[תאריך]]="",0,הפחתה23[[#This Row],[יתרת פתיחה]]-הפחתה23[[#This Row],[קרן]])</f>
        <v>332428.69626395009</v>
      </c>
      <c r="J269" s="11">
        <f ca="1">MAX(הפחתה[[#This Row],[תשלומים
שנותרו]],הפחתה5[[#This Row],[תשלומים
שנותרו]],הפחתה7[[#This Row],[תשלומים
שנותרו]],הפחתה8[[#This Row],[תשלומים
שנותרו]])</f>
        <v>94</v>
      </c>
    </row>
    <row r="270" spans="1:10" ht="15" customHeight="1" x14ac:dyDescent="0.25">
      <c r="A270" s="8"/>
      <c r="B270" s="11">
        <f>MAX(הפחתה[[#This Row],[מס'']],הפחתה5[[#This Row],[מס'']],הפחתה7[[#This Row],[מס'']],הפחתה8[[#This Row],[מס'']])</f>
        <v>267</v>
      </c>
      <c r="C270" s="12">
        <f ca="1">IF(ValuesEntered,IF(הפחתה23[[#This Row],[מס'']]&lt;=תקופת_ההלוואה,IF(ROW()-ROW(הפחתה[[#Headers],[תאריך]])=1,LoanStart,IF(I269&gt;0,EDATE(C269,1),"")),""),"")</f>
        <v>53479</v>
      </c>
      <c r="D270" s="13">
        <f ca="1">SUM(הפחתה[[#This Row],[יתרת פתיחה]],הפחתה5[[#This Row],[יתרת פתיחה]],הפחתה7[[#This Row],[יתרת פתיחה]],הפחתה8[[#This Row],[יתרת פתיחה]])</f>
        <v>332467.25735725998</v>
      </c>
      <c r="E270" s="13">
        <f ca="1">SUM(הפחתה[[#This Row],[ריבית]],הפחתה5[[#This Row],[ריבית]],הפחתה7[[#This Row],[ריבית]],הפחתה8[[#This Row],[ריבית]])</f>
        <v>1368.3029971949777</v>
      </c>
      <c r="F270" s="13">
        <f ca="1">SUM(הפחתה[[#This Row],[קרן]],הפחתה5[[#This Row],[קרן]],הפחתה7[[#This Row],[קרן]],הפחתה8[[#This Row],[קרן]])</f>
        <v>4333.8153644623144</v>
      </c>
      <c r="G270" s="13">
        <f ca="1">IF(הפחתה23[[#This Row],[תאריך]]="",0,PropertyTaxAmount)</f>
        <v>0</v>
      </c>
      <c r="H270" s="13">
        <f ca="1">IF(הפחתה23[[#This Row],[תאריך]]="",0,הפחתה23[[#This Row],[ריבית]]+הפחתה23[[#This Row],[קרן]]+הפחתה23[[#This Row],[מס
רכוש]])</f>
        <v>5702.1183616572926</v>
      </c>
      <c r="I270" s="13">
        <f ca="1">IF(הפחתה23[[#This Row],[תאריך]]="",0,הפחתה23[[#This Row],[יתרת פתיחה]]-הפחתה23[[#This Row],[קרן]])</f>
        <v>328133.44199279766</v>
      </c>
      <c r="J270" s="11">
        <f ca="1">MAX(הפחתה[[#This Row],[תשלומים
שנותרו]],הפחתה5[[#This Row],[תשלומים
שנותרו]],הפחתה7[[#This Row],[תשלומים
שנותרו]],הפחתה8[[#This Row],[תשלומים
שנותרו]])</f>
        <v>93</v>
      </c>
    </row>
    <row r="271" spans="1:10" ht="15" customHeight="1" x14ac:dyDescent="0.25">
      <c r="A271" s="8"/>
      <c r="B271" s="11">
        <f>MAX(הפחתה[[#This Row],[מס'']],הפחתה5[[#This Row],[מס'']],הפחתה7[[#This Row],[מס'']],הפחתה8[[#This Row],[מס'']])</f>
        <v>268</v>
      </c>
      <c r="C271" s="12">
        <f ca="1">IF(ValuesEntered,IF(הפחתה23[[#This Row],[מס'']]&lt;=תקופת_ההלוואה,IF(ROW()-ROW(הפחתה[[#Headers],[תאריך]])=1,LoanStart,IF(I270&gt;0,EDATE(C270,1),"")),""),"")</f>
        <v>53509</v>
      </c>
      <c r="D271" s="13">
        <f ca="1">SUM(הפחתה[[#This Row],[יתרת פתיחה]],הפחתה5[[#This Row],[יתרת פתיחה]],הפחתה7[[#This Row],[יתרת פתיחה]],הפחתה8[[#This Row],[יתרת פתיחה]])</f>
        <v>328171.00109520764</v>
      </c>
      <c r="E271" s="13">
        <f ca="1">SUM(הפחתה[[#This Row],[ריבית]],הפחתה5[[#This Row],[ריבית]],הפחתה7[[#This Row],[ריבית]],הפחתה8[[#This Row],[ריבית]])</f>
        <v>1351.5119321616435</v>
      </c>
      <c r="F271" s="13">
        <f ca="1">SUM(הפחתה[[#This Row],[קרן]],הפחתה5[[#This Row],[קרן]],הפחתה7[[#This Row],[קרן]],הפחתה8[[#This Row],[קרן]])</f>
        <v>4351.7098361887183</v>
      </c>
      <c r="G271" s="13">
        <f ca="1">IF(הפחתה23[[#This Row],[תאריך]]="",0,PropertyTaxAmount)</f>
        <v>0</v>
      </c>
      <c r="H271" s="13">
        <f ca="1">IF(הפחתה23[[#This Row],[תאריך]]="",0,הפחתה23[[#This Row],[ריבית]]+הפחתה23[[#This Row],[קרן]]+הפחתה23[[#This Row],[מס
רכוש]])</f>
        <v>5703.2217683503623</v>
      </c>
      <c r="I271" s="13">
        <f ca="1">IF(הפחתה23[[#This Row],[תאריך]]="",0,הפחתה23[[#This Row],[יתרת פתיחה]]-הפחתה23[[#This Row],[קרן]])</f>
        <v>323819.29125901894</v>
      </c>
      <c r="J271" s="11">
        <f ca="1">MAX(הפחתה[[#This Row],[תשלומים
שנותרו]],הפחתה5[[#This Row],[תשלומים
שנותרו]],הפחתה7[[#This Row],[תשלומים
שנותרו]],הפחתה8[[#This Row],[תשלומים
שנותרו]])</f>
        <v>92</v>
      </c>
    </row>
    <row r="272" spans="1:10" ht="15" customHeight="1" x14ac:dyDescent="0.25">
      <c r="A272" s="8"/>
      <c r="B272" s="11">
        <f>MAX(הפחתה[[#This Row],[מס'']],הפחתה5[[#This Row],[מס'']],הפחתה7[[#This Row],[מס'']],הפחתה8[[#This Row],[מס'']])</f>
        <v>269</v>
      </c>
      <c r="C272" s="12">
        <f ca="1">IF(ValuesEntered,IF(הפחתה23[[#This Row],[מס'']]&lt;=תקופת_ההלוואה,IF(ROW()-ROW(הפחתה[[#Headers],[תאריך]])=1,LoanStart,IF(I271&gt;0,EDATE(C271,1),"")),""),"")</f>
        <v>53540</v>
      </c>
      <c r="D272" s="13">
        <f ca="1">SUM(הפחתה[[#This Row],[יתרת פתיחה]],הפחתה5[[#This Row],[יתרת פתיחה]],הפחתה7[[#This Row],[יתרת פתיחה]],הפחתה8[[#This Row],[יתרת פתיחה]])</f>
        <v>323855.84282574221</v>
      </c>
      <c r="E272" s="13">
        <f ca="1">SUM(הפחתה[[#This Row],[ריבית]],הפחתה5[[#This Row],[ריבית]],הפחתה7[[#This Row],[ריבית]],הפחתה8[[#This Row],[ריבית]])</f>
        <v>1334.6483475220007</v>
      </c>
      <c r="F272" s="13">
        <f ca="1">SUM(הפחתה[[#This Row],[קרן]],הפחתה5[[#This Row],[קרן]],הפחתה7[[#This Row],[קרן]],הפחתה8[[#This Row],[קרן]])</f>
        <v>4369.6796182657426</v>
      </c>
      <c r="G272" s="13">
        <f ca="1">IF(הפחתה23[[#This Row],[תאריך]]="",0,PropertyTaxAmount)</f>
        <v>0</v>
      </c>
      <c r="H272" s="13">
        <f ca="1">IF(הפחתה23[[#This Row],[תאריך]]="",0,הפחתה23[[#This Row],[ריבית]]+הפחתה23[[#This Row],[קרן]]+הפחתה23[[#This Row],[מס
רכוש]])</f>
        <v>5704.3279657877429</v>
      </c>
      <c r="I272" s="13">
        <f ca="1">IF(הפחתה23[[#This Row],[תאריך]]="",0,הפחתה23[[#This Row],[יתרת פתיחה]]-הפחתה23[[#This Row],[קרן]])</f>
        <v>319486.16320747643</v>
      </c>
      <c r="J272" s="11">
        <f ca="1">MAX(הפחתה[[#This Row],[תשלומים
שנותרו]],הפחתה5[[#This Row],[תשלומים
שנותרו]],הפחתה7[[#This Row],[תשלומים
שנותרו]],הפחתה8[[#This Row],[תשלומים
שנותרו]])</f>
        <v>91</v>
      </c>
    </row>
    <row r="273" spans="1:10" ht="15" customHeight="1" x14ac:dyDescent="0.25">
      <c r="A273" s="8"/>
      <c r="B273" s="11">
        <f>MAX(הפחתה[[#This Row],[מס'']],הפחתה5[[#This Row],[מס'']],הפחתה7[[#This Row],[מס'']],הפחתה8[[#This Row],[מס'']])</f>
        <v>270</v>
      </c>
      <c r="C273" s="12">
        <f ca="1">IF(ValuesEntered,IF(הפחתה23[[#This Row],[מס'']]&lt;=תקופת_ההלוואה,IF(ROW()-ROW(הפחתה[[#Headers],[תאריך]])=1,LoanStart,IF(I272&gt;0,EDATE(C272,1),"")),""),"")</f>
        <v>53571</v>
      </c>
      <c r="D273" s="13">
        <f ca="1">SUM(הפחתה[[#This Row],[יתרת פתיחה]],הפחתה5[[#This Row],[יתרת פתיחה]],הפחתה7[[#This Row],[יתרת פתיחה]],הפחתה8[[#This Row],[יתרת פתיחה]])</f>
        <v>319521.70166881301</v>
      </c>
      <c r="E273" s="13">
        <f ca="1">SUM(הפחתה[[#This Row],[ריבית]],הפחתה5[[#This Row],[ריבית]],הפחתה7[[#This Row],[ריבית]],הפחתה8[[#This Row],[ריבית]])</f>
        <v>1317.7119337248553</v>
      </c>
      <c r="F273" s="13">
        <f ca="1">SUM(הפחתה[[#This Row],[קרן]],הפחתה5[[#This Row],[קרן]],הפחתה7[[#This Row],[קרן]],הפחתה8[[#This Row],[קרן]])</f>
        <v>4387.7250977838839</v>
      </c>
      <c r="G273" s="13">
        <f ca="1">IF(הפחתה23[[#This Row],[תאריך]]="",0,PropertyTaxAmount)</f>
        <v>0</v>
      </c>
      <c r="H273" s="13">
        <f ca="1">IF(הפחתה23[[#This Row],[תאריך]]="",0,הפחתה23[[#This Row],[ריבית]]+הפחתה23[[#This Row],[קרן]]+הפחתה23[[#This Row],[מס
רכוש]])</f>
        <v>5705.437031508739</v>
      </c>
      <c r="I273" s="13">
        <f ca="1">IF(הפחתה23[[#This Row],[תאריך]]="",0,הפחתה23[[#This Row],[יתרת פתיחה]]-הפחתה23[[#This Row],[קרן]])</f>
        <v>315133.97657102911</v>
      </c>
      <c r="J273" s="11">
        <f ca="1">MAX(הפחתה[[#This Row],[תשלומים
שנותרו]],הפחתה5[[#This Row],[תשלומים
שנותרו]],הפחתה7[[#This Row],[תשלומים
שנותרו]],הפחתה8[[#This Row],[תשלומים
שנותרו]])</f>
        <v>90</v>
      </c>
    </row>
    <row r="274" spans="1:10" ht="15" customHeight="1" x14ac:dyDescent="0.25">
      <c r="A274" s="8"/>
      <c r="B274" s="11">
        <f>MAX(הפחתה[[#This Row],[מס'']],הפחתה5[[#This Row],[מס'']],הפחתה7[[#This Row],[מס'']],הפחתה8[[#This Row],[מס'']])</f>
        <v>271</v>
      </c>
      <c r="C274" s="12">
        <f ca="1">IF(ValuesEntered,IF(הפחתה23[[#This Row],[מס'']]&lt;=תקופת_ההלוואה,IF(ROW()-ROW(הפחתה[[#Headers],[תאריך]])=1,LoanStart,IF(I273&gt;0,EDATE(C273,1),"")),""),"")</f>
        <v>53601</v>
      </c>
      <c r="D274" s="13">
        <f ca="1">SUM(הפחתה[[#This Row],[יתרת פתיחה]],הפחתה5[[#This Row],[יתרת פתיחה]],הפחתה7[[#This Row],[יתרת פתיחה]],הפחתה8[[#This Row],[יתרת פתיחה]])</f>
        <v>315168.49633215653</v>
      </c>
      <c r="E274" s="13">
        <f ca="1">SUM(הפחתה[[#This Row],[ריבית]],הפחתה5[[#This Row],[ריבית]],הפחתה7[[#This Row],[ריבית]],הפחתה8[[#This Row],[ריבית]])</f>
        <v>1300.7023797552608</v>
      </c>
      <c r="F274" s="13">
        <f ca="1">SUM(הפחתה[[#This Row],[קרן]],הפחתה5[[#This Row],[קרן]],הפחתה7[[#This Row],[קרן]],הפחתה8[[#This Row],[קרן]])</f>
        <v>4405.8466707952875</v>
      </c>
      <c r="G274" s="13">
        <f ca="1">IF(הפחתה23[[#This Row],[תאריך]]="",0,PropertyTaxAmount)</f>
        <v>0</v>
      </c>
      <c r="H274" s="13">
        <f ca="1">IF(הפחתה23[[#This Row],[תאריך]]="",0,הפחתה23[[#This Row],[ריבית]]+הפחתה23[[#This Row],[קרן]]+הפחתה23[[#This Row],[מס
רכוש]])</f>
        <v>5706.5490505505486</v>
      </c>
      <c r="I274" s="13">
        <f ca="1">IF(הפחתה23[[#This Row],[תאריך]]="",0,הפחתה23[[#This Row],[יתרת פתיחה]]-הפחתה23[[#This Row],[קרן]])</f>
        <v>310762.64966136124</v>
      </c>
      <c r="J274" s="11">
        <f ca="1">MAX(הפחתה[[#This Row],[תשלומים
שנותרו]],הפחתה5[[#This Row],[תשלומים
שנותרו]],הפחתה7[[#This Row],[תשלומים
שנותרו]],הפחתה8[[#This Row],[תשלומים
שנותרו]])</f>
        <v>89</v>
      </c>
    </row>
    <row r="275" spans="1:10" ht="15" customHeight="1" x14ac:dyDescent="0.25">
      <c r="A275" s="8"/>
      <c r="B275" s="11">
        <f>MAX(הפחתה[[#This Row],[מס'']],הפחתה5[[#This Row],[מס'']],הפחתה7[[#This Row],[מס'']],הפחתה8[[#This Row],[מס'']])</f>
        <v>272</v>
      </c>
      <c r="C275" s="12">
        <f ca="1">IF(ValuesEntered,IF(הפחתה23[[#This Row],[מס'']]&lt;=תקופת_ההלוואה,IF(ROW()-ROW(הפחתה[[#Headers],[תאריך]])=1,LoanStart,IF(I274&gt;0,EDATE(C274,1),"")),""),"")</f>
        <v>53632</v>
      </c>
      <c r="D275" s="13">
        <f ca="1">SUM(הפחתה[[#This Row],[יתרת פתיחה]],הפחתה5[[#This Row],[יתרת פתיחה]],הפחתה7[[#This Row],[יתרת פתיחה]],הפחתה8[[#This Row],[יתרת פתיחה]])</f>
        <v>310796.14510211209</v>
      </c>
      <c r="E275" s="13">
        <f ca="1">SUM(הפחתה[[#This Row],[ריבית]],הפחתה5[[#This Row],[ריבית]],הפחתה7[[#This Row],[ריבית]],הפחתה8[[#This Row],[ריבית]])</f>
        <v>1283.6193731120652</v>
      </c>
      <c r="F275" s="13">
        <f ca="1">SUM(הפחתה[[#This Row],[קרן]],הפחתה5[[#This Row],[קרן]],הפחתה7[[#This Row],[קרן]],הפחתה8[[#This Row],[קרן]])</f>
        <v>4424.0447433659601</v>
      </c>
      <c r="G275" s="13">
        <f ca="1">IF(הפחתה23[[#This Row],[תאריך]]="",0,PropertyTaxAmount)</f>
        <v>0</v>
      </c>
      <c r="H275" s="13">
        <f ca="1">IF(הפחתה23[[#This Row],[תאריך]]="",0,הפחתה23[[#This Row],[ריבית]]+הפחתה23[[#This Row],[קרן]]+הפחתה23[[#This Row],[מס
רכוש]])</f>
        <v>5707.6641164780249</v>
      </c>
      <c r="I275" s="13">
        <f ca="1">IF(הפחתה23[[#This Row],[תאריך]]="",0,הפחתה23[[#This Row],[יתרת פתיחה]]-הפחתה23[[#This Row],[קרן]])</f>
        <v>306372.10035874613</v>
      </c>
      <c r="J275" s="11">
        <f ca="1">MAX(הפחתה[[#This Row],[תשלומים
שנותרו]],הפחתה5[[#This Row],[תשלומים
שנותרו]],הפחתה7[[#This Row],[תשלומים
שנותרו]],הפחתה8[[#This Row],[תשלומים
שנותרו]])</f>
        <v>88</v>
      </c>
    </row>
    <row r="276" spans="1:10" ht="15" customHeight="1" x14ac:dyDescent="0.25">
      <c r="A276" s="8"/>
      <c r="B276" s="11">
        <f>MAX(הפחתה[[#This Row],[מס'']],הפחתה5[[#This Row],[מס'']],הפחתה7[[#This Row],[מס'']],הפחתה8[[#This Row],[מס'']])</f>
        <v>273</v>
      </c>
      <c r="C276" s="12">
        <f ca="1">IF(ValuesEntered,IF(הפחתה23[[#This Row],[מס'']]&lt;=תקופת_ההלוואה,IF(ROW()-ROW(הפחתה[[#Headers],[תאריך]])=1,LoanStart,IF(I275&gt;0,EDATE(C275,1),"")),""),"")</f>
        <v>53662</v>
      </c>
      <c r="D276" s="13">
        <f ca="1">SUM(הפחתה[[#This Row],[יתרת פתיחה]],הפחתה5[[#This Row],[יתרת פתיחה]],הפחתה7[[#This Row],[יתרת פתיחה]],הפחתה8[[#This Row],[יתרת פתיחה]])</f>
        <v>306404.56583337369</v>
      </c>
      <c r="E276" s="13">
        <f ca="1">SUM(הפחתה[[#This Row],[ריבית]],הפחתה5[[#This Row],[ריבית]],הפחתה7[[#This Row],[ריבית]],הפחתה8[[#This Row],[ריבית]])</f>
        <v>1266.4625997830447</v>
      </c>
      <c r="F276" s="13">
        <f ca="1">SUM(הפחתה[[#This Row],[קרן]],הפחתה5[[#This Row],[קרן]],הפחתה7[[#This Row],[קרן]],הפחתה8[[#This Row],[קרן]])</f>
        <v>4442.3197328138394</v>
      </c>
      <c r="G276" s="13">
        <f ca="1">IF(הפחתה23[[#This Row],[תאריך]]="",0,PropertyTaxAmount)</f>
        <v>0</v>
      </c>
      <c r="H276" s="13">
        <f ca="1">IF(הפחתה23[[#This Row],[תאריך]]="",0,הפחתה23[[#This Row],[ריבית]]+הפחתה23[[#This Row],[קרן]]+הפחתה23[[#This Row],[מס
רכוש]])</f>
        <v>5708.7823325968839</v>
      </c>
      <c r="I276" s="13">
        <f ca="1">IF(הפחתה23[[#This Row],[תאריך]]="",0,הפחתה23[[#This Row],[יתרת פתיחה]]-הפחתה23[[#This Row],[קרן]])</f>
        <v>301962.24610055983</v>
      </c>
      <c r="J276" s="11">
        <f ca="1">MAX(הפחתה[[#This Row],[תשלומים
שנותרו]],הפחתה5[[#This Row],[תשלומים
שנותרו]],הפחתה7[[#This Row],[תשלומים
שנותרו]],הפחתה8[[#This Row],[תשלומים
שנותרו]])</f>
        <v>87</v>
      </c>
    </row>
    <row r="277" spans="1:10" ht="15" customHeight="1" x14ac:dyDescent="0.25">
      <c r="A277" s="8"/>
      <c r="B277" s="11">
        <f>MAX(הפחתה[[#This Row],[מס'']],הפחתה5[[#This Row],[מס'']],הפחתה7[[#This Row],[מס'']],הפחתה8[[#This Row],[מס'']])</f>
        <v>274</v>
      </c>
      <c r="C277" s="12">
        <f ca="1">IF(ValuesEntered,IF(הפחתה23[[#This Row],[מס'']]&lt;=תקופת_ההלוואה,IF(ROW()-ROW(הפחתה[[#Headers],[תאריך]])=1,LoanStart,IF(I276&gt;0,EDATE(C276,1),"")),""),"")</f>
        <v>53693</v>
      </c>
      <c r="D277" s="13">
        <f ca="1">SUM(הפחתה[[#This Row],[יתרת פתיחה]],הפחתה5[[#This Row],[יתרת פתיחה]],הפחתה7[[#This Row],[יתרת פתיחה]],הפחתה8[[#This Row],[יתרת פתיחה]])</f>
        <v>301993.67593748798</v>
      </c>
      <c r="E277" s="13">
        <f ca="1">SUM(הפחתה[[#This Row],[ריבית]],הפחתה5[[#This Row],[ריבית]],הפחתה7[[#This Row],[ריבית]],הפחתה8[[#This Row],[ריבית]])</f>
        <v>1249.2317442171873</v>
      </c>
      <c r="F277" s="13">
        <f ca="1">SUM(הפחתה[[#This Row],[קרן]],הפחתה5[[#This Row],[קרן]],הפחתה7[[#This Row],[קרן]],הפחתה8[[#This Row],[קרן]])</f>
        <v>4460.6720691738419</v>
      </c>
      <c r="G277" s="13">
        <f ca="1">IF(הפחתה23[[#This Row],[תאריך]]="",0,PropertyTaxAmount)</f>
        <v>0</v>
      </c>
      <c r="H277" s="13">
        <f ca="1">IF(הפחתה23[[#This Row],[תאריך]]="",0,הפחתה23[[#This Row],[ריבית]]+הפחתה23[[#This Row],[קרן]]+הפחתה23[[#This Row],[מס
רכוש]])</f>
        <v>5709.903813391029</v>
      </c>
      <c r="I277" s="13">
        <f ca="1">IF(הפחתה23[[#This Row],[תאריך]]="",0,הפחתה23[[#This Row],[יתרת פתיחה]]-הפחתה23[[#This Row],[קרן]])</f>
        <v>297533.00386831415</v>
      </c>
      <c r="J277" s="11">
        <f ca="1">MAX(הפחתה[[#This Row],[תשלומים
שנותרו]],הפחתה5[[#This Row],[תשלומים
שנותרו]],הפחתה7[[#This Row],[תשלומים
שנותרו]],הפחתה8[[#This Row],[תשלומים
שנותרו]])</f>
        <v>86</v>
      </c>
    </row>
    <row r="278" spans="1:10" ht="15" customHeight="1" x14ac:dyDescent="0.25">
      <c r="A278" s="8"/>
      <c r="B278" s="11">
        <f>MAX(הפחתה[[#This Row],[מס'']],הפחתה5[[#This Row],[מס'']],הפחתה7[[#This Row],[מס'']],הפחתה8[[#This Row],[מס'']])</f>
        <v>275</v>
      </c>
      <c r="C278" s="12">
        <f ca="1">IF(ValuesEntered,IF(הפחתה23[[#This Row],[מס'']]&lt;=תקופת_ההלוואה,IF(ROW()-ROW(הפחתה[[#Headers],[תאריך]])=1,LoanStart,IF(I277&gt;0,EDATE(C277,1),"")),""),"")</f>
        <v>53724</v>
      </c>
      <c r="D278" s="13">
        <f ca="1">SUM(הפחתה[[#This Row],[יתרת פתיחה]],הפחתה5[[#This Row],[יתרת פתיחה]],הפחתה7[[#This Row],[יתרת פתיחה]],הפחתה8[[#This Row],[יתרת פתיחה]])</f>
        <v>297563.39236986969</v>
      </c>
      <c r="E278" s="13">
        <f ca="1">SUM(הפחתה[[#This Row],[ריבית]],הפחתה5[[#This Row],[ריבית]],הפחתה7[[#This Row],[ריבית]],הפחתה8[[#This Row],[ריבית]])</f>
        <v>1231.9264892935801</v>
      </c>
      <c r="F278" s="13">
        <f ca="1">SUM(הפחתה[[#This Row],[קרן]],הפחתה5[[#This Row],[קרן]],הפחתה7[[#This Row],[קרן]],הפחתה8[[#This Row],[קרן]])</f>
        <v>4479.1021969421045</v>
      </c>
      <c r="G278" s="13">
        <f ca="1">IF(הפחתה23[[#This Row],[תאריך]]="",0,PropertyTaxAmount)</f>
        <v>0</v>
      </c>
      <c r="H278" s="13">
        <f ca="1">IF(הפחתה23[[#This Row],[תאריך]]="",0,הפחתה23[[#This Row],[ריבית]]+הפחתה23[[#This Row],[קרן]]+הפחתה23[[#This Row],[מס
רכוש]])</f>
        <v>5711.0286862356843</v>
      </c>
      <c r="I278" s="13">
        <f ca="1">IF(הפחתה23[[#This Row],[תאריך]]="",0,הפחתה23[[#This Row],[יתרת פתיחה]]-הפחתה23[[#This Row],[קרן]])</f>
        <v>293084.29017292761</v>
      </c>
      <c r="J278" s="11">
        <f ca="1">MAX(הפחתה[[#This Row],[תשלומים
שנותרו]],הפחתה5[[#This Row],[תשלומים
שנותרו]],הפחתה7[[#This Row],[תשלומים
שנותרו]],הפחתה8[[#This Row],[תשלומים
שנותרו]])</f>
        <v>85</v>
      </c>
    </row>
    <row r="279" spans="1:10" ht="15" customHeight="1" x14ac:dyDescent="0.25">
      <c r="A279" s="8"/>
      <c r="B279" s="11">
        <f>MAX(הפחתה[[#This Row],[מס'']],הפחתה5[[#This Row],[מס'']],הפחתה7[[#This Row],[מס'']],הפחתה8[[#This Row],[מס'']])</f>
        <v>276</v>
      </c>
      <c r="C279" s="12">
        <f ca="1">IF(ValuesEntered,IF(הפחתה23[[#This Row],[מס'']]&lt;=תקופת_ההלוואה,IF(ROW()-ROW(הפחתה[[#Headers],[תאריך]])=1,LoanStart,IF(I278&gt;0,EDATE(C278,1),"")),""),"")</f>
        <v>53752</v>
      </c>
      <c r="D279" s="13">
        <f ca="1">SUM(הפחתה[[#This Row],[יתרת פתיחה]],הפחתה5[[#This Row],[יתרת פתיחה]],הפחתה7[[#This Row],[יתרת פתיחה]],הפחתה8[[#This Row],[יתרת פתיחה]])</f>
        <v>293113.63161505363</v>
      </c>
      <c r="E279" s="13">
        <f ca="1">SUM(הפחתה[[#This Row],[ריבית]],הפחתה5[[#This Row],[ריבית]],הפחתה7[[#This Row],[ריבית]],הפחתה8[[#This Row],[ריבית]])</f>
        <v>1214.5465162862372</v>
      </c>
      <c r="F279" s="13">
        <f ca="1">SUM(הפחתה[[#This Row],[קרן]],הפחתה5[[#This Row],[קרן]],הפחתה7[[#This Row],[קרן]],הפחתה8[[#This Row],[קרן]])</f>
        <v>4497.6105771661405</v>
      </c>
      <c r="G279" s="13">
        <f ca="1">IF(הפחתה23[[#This Row],[תאריך]]="",0,PropertyTaxAmount)</f>
        <v>0</v>
      </c>
      <c r="H279" s="13">
        <f ca="1">IF(הפחתה23[[#This Row],[תאריך]]="",0,הפחתה23[[#This Row],[ריבית]]+הפחתה23[[#This Row],[קרן]]+הפחתה23[[#This Row],[מס
רכוש]])</f>
        <v>5712.1570934523779</v>
      </c>
      <c r="I279" s="13">
        <f ca="1">IF(הפחתה23[[#This Row],[תאריך]]="",0,הפחתה23[[#This Row],[יתרת פתיחה]]-הפחתה23[[#This Row],[קרן]])</f>
        <v>288616.02103788749</v>
      </c>
      <c r="J279" s="11">
        <f ca="1">MAX(הפחתה[[#This Row],[תשלומים
שנותרו]],הפחתה5[[#This Row],[תשלומים
שנותרו]],הפחתה7[[#This Row],[תשלומים
שנותרו]],הפחתה8[[#This Row],[תשלומים
שנותרו]])</f>
        <v>84</v>
      </c>
    </row>
    <row r="280" spans="1:10" ht="15" customHeight="1" x14ac:dyDescent="0.25">
      <c r="A280" s="8"/>
      <c r="B280" s="11">
        <f>MAX(הפחתה[[#This Row],[מס'']],הפחתה5[[#This Row],[מס'']],הפחתה7[[#This Row],[מס'']],הפחתה8[[#This Row],[מס'']])</f>
        <v>277</v>
      </c>
      <c r="C280" s="12">
        <f ca="1">IF(ValuesEntered,IF(הפחתה23[[#This Row],[מס'']]&lt;=תקופת_ההלוואה,IF(ROW()-ROW(הפחתה[[#Headers],[תאריך]])=1,LoanStart,IF(I279&gt;0,EDATE(C279,1),"")),""),"")</f>
        <v>53783</v>
      </c>
      <c r="D280" s="13">
        <f ca="1">SUM(הפחתה[[#This Row],[יתרת פתיחה]],הפחתה5[[#This Row],[יתרת פתיחה]],הפחתה7[[#This Row],[יתרת פתיחה]],הפחתה8[[#This Row],[יתרת פתיחה]])</f>
        <v>288644.30966983427</v>
      </c>
      <c r="E280" s="13">
        <f ca="1">SUM(הפחתה[[#This Row],[ריבית]],הפחתה5[[#This Row],[ריבית]],הפחתה7[[#This Row],[ריבית]],הפחתה8[[#This Row],[ריבית]])</f>
        <v>1197.0915048240286</v>
      </c>
      <c r="F280" s="13">
        <f ca="1">SUM(הפחתה[[#This Row],[קרן]],הפחתה5[[#This Row],[קרן]],הפחתה7[[#This Row],[קרן]],הפחתה8[[#This Row],[קרן]])</f>
        <v>4516.197689967139</v>
      </c>
      <c r="G280" s="13">
        <f ca="1">IF(הפחתה23[[#This Row],[תאריך]]="",0,PropertyTaxAmount)</f>
        <v>0</v>
      </c>
      <c r="H280" s="13">
        <f ca="1">IF(הפחתה23[[#This Row],[תאריך]]="",0,הפחתה23[[#This Row],[ריבית]]+הפחתה23[[#This Row],[קרן]]+הפחתה23[[#This Row],[מס
רכוש]])</f>
        <v>5713.2891947911676</v>
      </c>
      <c r="I280" s="13">
        <f ca="1">IF(הפחתה23[[#This Row],[תאריך]]="",0,הפחתה23[[#This Row],[יתרת פתיחה]]-הפחתה23[[#This Row],[קרן]])</f>
        <v>284128.11197986716</v>
      </c>
      <c r="J280" s="11">
        <f ca="1">MAX(הפחתה[[#This Row],[תשלומים
שנותרו]],הפחתה5[[#This Row],[תשלומים
שנותרו]],הפחתה7[[#This Row],[תשלומים
שנותרו]],הפחתה8[[#This Row],[תשלומים
שנותרו]])</f>
        <v>83</v>
      </c>
    </row>
    <row r="281" spans="1:10" ht="15" customHeight="1" x14ac:dyDescent="0.25">
      <c r="A281" s="8"/>
      <c r="B281" s="11">
        <f>MAX(הפחתה[[#This Row],[מס'']],הפחתה5[[#This Row],[מס'']],הפחתה7[[#This Row],[מס'']],הפחתה8[[#This Row],[מס'']])</f>
        <v>278</v>
      </c>
      <c r="C281" s="12">
        <f ca="1">IF(ValuesEntered,IF(הפחתה23[[#This Row],[מס'']]&lt;=תקופת_ההלוואה,IF(ROW()-ROW(הפחתה[[#Headers],[תאריך]])=1,LoanStart,IF(I280&gt;0,EDATE(C280,1),"")),""),"")</f>
        <v>53813</v>
      </c>
      <c r="D281" s="13">
        <f ca="1">SUM(הפחתה[[#This Row],[יתרת פתיחה]],הפחתה5[[#This Row],[יתרת פתיחה]],הפחתה7[[#This Row],[יתרת פתיחה]],הפחתה8[[#This Row],[יתרת פתיחה]])</f>
        <v>284155.34202385589</v>
      </c>
      <c r="E281" s="13">
        <f ca="1">SUM(הפחתה[[#This Row],[ריבית]],הפחתה5[[#This Row],[ריבית]],הפחתה7[[#This Row],[ריבית]],הפחתה8[[#This Row],[ריבית]])</f>
        <v>1179.5611328446653</v>
      </c>
      <c r="F281" s="13">
        <f ca="1">SUM(הפחתה[[#This Row],[קרן]],הפחתה5[[#This Row],[קרן]],הפחתה7[[#This Row],[קרן]],הפחתה8[[#This Row],[קרן]])</f>
        <v>4534.8640376067169</v>
      </c>
      <c r="G281" s="13">
        <f ca="1">IF(הפחתה23[[#This Row],[תאריך]]="",0,PropertyTaxAmount)</f>
        <v>0</v>
      </c>
      <c r="H281" s="13">
        <f ca="1">IF(הפחתה23[[#This Row],[תאריך]]="",0,הפחתה23[[#This Row],[ריבית]]+הפחתה23[[#This Row],[קרן]]+הפחתה23[[#This Row],[מס
רכוש]])</f>
        <v>5714.4251704513827</v>
      </c>
      <c r="I281" s="13">
        <f ca="1">IF(הפחתה23[[#This Row],[תאריך]]="",0,הפחתה23[[#This Row],[יתרת פתיחה]]-הפחתה23[[#This Row],[קרן]])</f>
        <v>279620.4779862492</v>
      </c>
      <c r="J281" s="11">
        <f ca="1">MAX(הפחתה[[#This Row],[תשלומים
שנותרו]],הפחתה5[[#This Row],[תשלומים
שנותרו]],הפחתה7[[#This Row],[תשלומים
שנותרו]],הפחתה8[[#This Row],[תשלומים
שנותרו]])</f>
        <v>82</v>
      </c>
    </row>
    <row r="282" spans="1:10" ht="15" customHeight="1" x14ac:dyDescent="0.25">
      <c r="A282" s="8"/>
      <c r="B282" s="11">
        <f>MAX(הפחתה[[#This Row],[מס'']],הפחתה5[[#This Row],[מס'']],הפחתה7[[#This Row],[מס'']],הפחתה8[[#This Row],[מס'']])</f>
        <v>279</v>
      </c>
      <c r="C282" s="12">
        <f ca="1">IF(ValuesEntered,IF(הפחתה23[[#This Row],[מס'']]&lt;=תקופת_ההלוואה,IF(ROW()-ROW(הפחתה[[#Headers],[תאריך]])=1,LoanStart,IF(I281&gt;0,EDATE(C281,1),"")),""),"")</f>
        <v>53844</v>
      </c>
      <c r="D282" s="13">
        <f ca="1">SUM(הפחתה[[#This Row],[יתרת פתיחה]],הפחתה5[[#This Row],[יתרת פתיחה]],הפחתה7[[#This Row],[יתרת פתיחה]],הפחתה8[[#This Row],[יתרת פתיחה]])</f>
        <v>279646.64363710675</v>
      </c>
      <c r="E282" s="13">
        <f ca="1">SUM(הפחתה[[#This Row],[ריבית]],הפחתה5[[#This Row],[ריבית]],הפחתה7[[#This Row],[ריבית]],הפחתה8[[#This Row],[ריבית]])</f>
        <v>1161.9550765413921</v>
      </c>
      <c r="F282" s="13">
        <f ca="1">SUM(הפחתה[[#This Row],[קרן]],הפחתה5[[#This Row],[קרן]],הפחתה7[[#This Row],[קרן]],הפחתה8[[#This Row],[קרן]])</f>
        <v>4553.6101482461709</v>
      </c>
      <c r="G282" s="13">
        <f ca="1">IF(הפחתה23[[#This Row],[תאריך]]="",0,PropertyTaxAmount)</f>
        <v>0</v>
      </c>
      <c r="H282" s="13">
        <f ca="1">IF(הפחתה23[[#This Row],[תאריך]]="",0,הפחתה23[[#This Row],[ריבית]]+הפחתה23[[#This Row],[קרן]]+הפחתה23[[#This Row],[מס
רכוש]])</f>
        <v>5715.5652247875632</v>
      </c>
      <c r="I282" s="13">
        <f ca="1">IF(הפחתה23[[#This Row],[תאריך]]="",0,הפחתה23[[#This Row],[יתרת פתיחה]]-הפחתה23[[#This Row],[קרן]])</f>
        <v>275093.03348886059</v>
      </c>
      <c r="J282" s="11">
        <f ca="1">MAX(הפחתה[[#This Row],[תשלומים
שנותרו]],הפחתה5[[#This Row],[תשלומים
שנותרו]],הפחתה7[[#This Row],[תשלומים
שנותרו]],הפחתה8[[#This Row],[תשלומים
שנותרו]])</f>
        <v>81</v>
      </c>
    </row>
    <row r="283" spans="1:10" ht="15" customHeight="1" x14ac:dyDescent="0.25">
      <c r="A283" s="8"/>
      <c r="B283" s="11">
        <f>MAX(הפחתה[[#This Row],[מס'']],הפחתה5[[#This Row],[מס'']],הפחתה7[[#This Row],[מס'']],הפחתה8[[#This Row],[מס'']])</f>
        <v>280</v>
      </c>
      <c r="C283" s="12">
        <f ca="1">IF(ValuesEntered,IF(הפחתה23[[#This Row],[מס'']]&lt;=תקופת_ההלוואה,IF(ROW()-ROW(הפחתה[[#Headers],[תאריך]])=1,LoanStart,IF(I282&gt;0,EDATE(C282,1),"")),""),"")</f>
        <v>53874</v>
      </c>
      <c r="D283" s="13">
        <f ca="1">SUM(הפחתה[[#This Row],[יתרת פתיחה]],הפחתה5[[#This Row],[יתרת פתיחה]],הפחתה7[[#This Row],[יתרת פתיחה]],הפחתה8[[#This Row],[יתרת פתיחה]])</f>
        <v>275118.12891361798</v>
      </c>
      <c r="E283" s="13">
        <f ca="1">SUM(הפחתה[[#This Row],[ריבית]],הפחתה5[[#This Row],[ריבית]],הפחתה7[[#This Row],[ריבית]],הפחתה8[[#This Row],[ריבית]])</f>
        <v>1144.2730103006843</v>
      </c>
      <c r="F283" s="13">
        <f ca="1">SUM(הפחתה[[#This Row],[קרן]],הפחתה5[[#This Row],[קרן]],הפחתה7[[#This Row],[קרן]],הפחתה8[[#This Row],[קרן]])</f>
        <v>4572.4365805954731</v>
      </c>
      <c r="G283" s="13">
        <f ca="1">IF(הפחתה23[[#This Row],[תאריך]]="",0,PropertyTaxAmount)</f>
        <v>0</v>
      </c>
      <c r="H283" s="13">
        <f ca="1">IF(הפחתה23[[#This Row],[תאריך]]="",0,הפחתה23[[#This Row],[ריבית]]+הפחתה23[[#This Row],[קרן]]+הפחתה23[[#This Row],[מס
רכוש]])</f>
        <v>5716.7095908961574</v>
      </c>
      <c r="I283" s="13">
        <f ca="1">IF(הפחתה23[[#This Row],[תאריך]]="",0,הפחתה23[[#This Row],[יתרת פתיחה]]-הפחתה23[[#This Row],[קרן]])</f>
        <v>270545.69233302248</v>
      </c>
      <c r="J283" s="11">
        <f ca="1">MAX(הפחתה[[#This Row],[תשלומים
שנותרו]],הפחתה5[[#This Row],[תשלומים
שנותרו]],הפחתה7[[#This Row],[תשלומים
שנותרו]],הפחתה8[[#This Row],[תשלומים
שנותרו]])</f>
        <v>80</v>
      </c>
    </row>
    <row r="284" spans="1:10" ht="15" customHeight="1" x14ac:dyDescent="0.25">
      <c r="A284" s="8"/>
      <c r="B284" s="11">
        <f>MAX(הפחתה[[#This Row],[מס'']],הפחתה5[[#This Row],[מס'']],הפחתה7[[#This Row],[מס'']],הפחתה8[[#This Row],[מס'']])</f>
        <v>281</v>
      </c>
      <c r="C284" s="12">
        <f ca="1">IF(ValuesEntered,IF(הפחתה23[[#This Row],[מס'']]&lt;=תקופת_ההלוואה,IF(ROW()-ROW(הפחתה[[#Headers],[תאריך]])=1,LoanStart,IF(I283&gt;0,EDATE(C283,1),"")),""),"")</f>
        <v>53905</v>
      </c>
      <c r="D284" s="13">
        <f ca="1">SUM(הפחתה[[#This Row],[יתרת פתיחה]],הפחתה5[[#This Row],[יתרת פתיחה]],הפחתה7[[#This Row],[יתרת פתיחה]],הפחתה8[[#This Row],[יתרת פתיחה]])</f>
        <v>270569.71167047176</v>
      </c>
      <c r="E284" s="13">
        <f ca="1">SUM(הפחתה[[#This Row],[ריבית]],הפחתה5[[#This Row],[ריבית]],הפחתה7[[#This Row],[ריבית]],הפחתה8[[#This Row],[ריבית]])</f>
        <v>1126.5146066287059</v>
      </c>
      <c r="F284" s="13">
        <f ca="1">SUM(הפחתה[[#This Row],[קרן]],הפחתה5[[#This Row],[קרן]],הפחתה7[[#This Row],[קרן]],הפחתה8[[#This Row],[קרן]])</f>
        <v>4591.3439297181412</v>
      </c>
      <c r="G284" s="13">
        <f ca="1">IF(הפחתה23[[#This Row],[תאריך]]="",0,PropertyTaxAmount)</f>
        <v>0</v>
      </c>
      <c r="H284" s="13">
        <f ca="1">IF(הפחתה23[[#This Row],[תאריך]]="",0,הפחתה23[[#This Row],[ריבית]]+הפחתה23[[#This Row],[קרן]]+הפחתה23[[#This Row],[מס
רכוש]])</f>
        <v>5717.8585363468474</v>
      </c>
      <c r="I284" s="13">
        <f ca="1">IF(הפחתה23[[#This Row],[תאריך]]="",0,הפחתה23[[#This Row],[יתרת פתיחה]]-הפחתה23[[#This Row],[קרן]])</f>
        <v>265978.36774075363</v>
      </c>
      <c r="J284" s="11">
        <f ca="1">MAX(הפחתה[[#This Row],[תשלומים
שנותרו]],הפחתה5[[#This Row],[תשלומים
שנותרו]],הפחתה7[[#This Row],[תשלומים
שנותרו]],הפחתה8[[#This Row],[תשלומים
שנותרו]])</f>
        <v>79</v>
      </c>
    </row>
    <row r="285" spans="1:10" ht="15" customHeight="1" x14ac:dyDescent="0.25">
      <c r="A285" s="8"/>
      <c r="B285" s="11">
        <f>MAX(הפחתה[[#This Row],[מס'']],הפחתה5[[#This Row],[מס'']],הפחתה7[[#This Row],[מס'']],הפחתה8[[#This Row],[מס'']])</f>
        <v>282</v>
      </c>
      <c r="C285" s="12">
        <f ca="1">IF(ValuesEntered,IF(הפחתה23[[#This Row],[מס'']]&lt;=תקופת_ההלוואה,IF(ROW()-ROW(הפחתה[[#Headers],[תאריך]])=1,LoanStart,IF(I284&gt;0,EDATE(C284,1),"")),""),"")</f>
        <v>53936</v>
      </c>
      <c r="D285" s="13">
        <f ca="1">SUM(הפחתה[[#This Row],[יתרת פתיחה]],הפחתה5[[#This Row],[יתרת פתיחה]],הפחתה7[[#This Row],[יתרת פתיחה]],הפחתה8[[#This Row],[יתרת פתיחה]])</f>
        <v>266001.30510095513</v>
      </c>
      <c r="E285" s="13">
        <f ca="1">SUM(הפחתה[[#This Row],[ריבית]],הפחתה5[[#This Row],[ריבית]],הפחתה7[[#This Row],[ריבית]],הפחתה8[[#This Row],[ריבית]])</f>
        <v>1108.679536063604</v>
      </c>
      <c r="F285" s="13">
        <f ca="1">SUM(הפחתה[[#This Row],[קרן]],הפחתה5[[#This Row],[קרן]],הפחתה7[[#This Row],[קרן]],הפחתה8[[#This Row],[קרן]])</f>
        <v>4610.3328343559924</v>
      </c>
      <c r="G285" s="13">
        <f ca="1">IF(הפחתה23[[#This Row],[תאריך]]="",0,PropertyTaxAmount)</f>
        <v>0</v>
      </c>
      <c r="H285" s="13">
        <f ca="1">IF(הפחתה23[[#This Row],[תאריך]]="",0,הפחתה23[[#This Row],[ריבית]]+הפחתה23[[#This Row],[קרן]]+הפחתה23[[#This Row],[מס
רכוש]])</f>
        <v>5719.0123704195967</v>
      </c>
      <c r="I285" s="13">
        <f ca="1">IF(הפחתה23[[#This Row],[תאריך]]="",0,הפחתה23[[#This Row],[יתרת פתיחה]]-הפחתה23[[#This Row],[קרן]])</f>
        <v>261390.97226659913</v>
      </c>
      <c r="J285" s="11">
        <f ca="1">MAX(הפחתה[[#This Row],[תשלומים
שנותרו]],הפחתה5[[#This Row],[תשלומים
שנותרו]],הפחתה7[[#This Row],[תשלומים
שנותרו]],הפחתה8[[#This Row],[תשלומים
שנותרו]])</f>
        <v>78</v>
      </c>
    </row>
    <row r="286" spans="1:10" ht="15" customHeight="1" x14ac:dyDescent="0.25">
      <c r="A286" s="8"/>
      <c r="B286" s="11">
        <f>MAX(הפחתה[[#This Row],[מס'']],הפחתה5[[#This Row],[מס'']],הפחתה7[[#This Row],[מס'']],הפחתה8[[#This Row],[מס'']])</f>
        <v>283</v>
      </c>
      <c r="C286" s="12">
        <f ca="1">IF(ValuesEntered,IF(הפחתה23[[#This Row],[מס'']]&lt;=תקופת_ההלוואה,IF(ROW()-ROW(הפחתה[[#Headers],[תאריך]])=1,LoanStart,IF(I285&gt;0,EDATE(C285,1),"")),""),"")</f>
        <v>53966</v>
      </c>
      <c r="D286" s="13">
        <f ca="1">SUM(הפחתה[[#This Row],[יתרת פתיחה]],הפחתה5[[#This Row],[יתרת פתיחה]],הפחתה7[[#This Row],[יתרת פתיחה]],הפחתה8[[#This Row],[יתרת פתיחה]])</f>
        <v>261412.8217303296</v>
      </c>
      <c r="E286" s="13">
        <f ca="1">SUM(הפחתה[[#This Row],[ריבית]],הפחתה5[[#This Row],[ריבית]],הפחתה7[[#This Row],[ריבית]],הפחתה8[[#This Row],[ריבית]])</f>
        <v>1090.7674670697336</v>
      </c>
      <c r="F286" s="13">
        <f ca="1">SUM(הפחתה[[#This Row],[קרן]],הפחתה5[[#This Row],[קרן]],הפחתה7[[#This Row],[קרן]],הפחתה8[[#This Row],[קרן]])</f>
        <v>4629.4039862790587</v>
      </c>
      <c r="G286" s="13">
        <f ca="1">IF(הפחתה23[[#This Row],[תאריך]]="",0,PropertyTaxAmount)</f>
        <v>0</v>
      </c>
      <c r="H286" s="13">
        <f ca="1">IF(הפחתה23[[#This Row],[תאריך]]="",0,הפחתה23[[#This Row],[ריבית]]+הפחתה23[[#This Row],[קרן]]+הפחתה23[[#This Row],[מס
רכוש]])</f>
        <v>5720.1714533487921</v>
      </c>
      <c r="I286" s="13">
        <f ca="1">IF(הפחתה23[[#This Row],[תאריך]]="",0,הפחתה23[[#This Row],[יתרת פתיחה]]-הפחתה23[[#This Row],[קרן]])</f>
        <v>256783.41774405053</v>
      </c>
      <c r="J286" s="11">
        <f ca="1">MAX(הפחתה[[#This Row],[תשלומים
שנותרו]],הפחתה5[[#This Row],[תשלומים
שנותרו]],הפחתה7[[#This Row],[תשלומים
שנותרו]],הפחתה8[[#This Row],[תשלומים
שנותרו]])</f>
        <v>77</v>
      </c>
    </row>
    <row r="287" spans="1:10" ht="15" customHeight="1" x14ac:dyDescent="0.25">
      <c r="A287" s="8"/>
      <c r="B287" s="11">
        <f>MAX(הפחתה[[#This Row],[מס'']],הפחתה5[[#This Row],[מס'']],הפחתה7[[#This Row],[מס'']],הפחתה8[[#This Row],[מס'']])</f>
        <v>284</v>
      </c>
      <c r="C287" s="12">
        <f ca="1">IF(ValuesEntered,IF(הפחתה23[[#This Row],[מס'']]&lt;=תקופת_ההלוואה,IF(ROW()-ROW(הפחתה[[#Headers],[תאריך]])=1,LoanStart,IF(I286&gt;0,EDATE(C286,1),"")),""),"")</f>
        <v>53997</v>
      </c>
      <c r="D287" s="13">
        <f ca="1">SUM(הפחתה[[#This Row],[יתרת פתיחה]],הפחתה5[[#This Row],[יתרת פתיחה]],הפחתה7[[#This Row],[יתרת פתיחה]],הפחתה8[[#This Row],[יתרת פתיחה]])</f>
        <v>256804.17336217937</v>
      </c>
      <c r="E287" s="13">
        <f ca="1">SUM(הפחתה[[#This Row],[ריבית]],הפחתה5[[#This Row],[ריבית]],הפחתה7[[#This Row],[ריבית]],הפחתה8[[#This Row],[ריבית]])</f>
        <v>1072.7780659085324</v>
      </c>
      <c r="F287" s="13">
        <f ca="1">SUM(הפחתה[[#This Row],[קרן]],הפחתה5[[#This Row],[קרן]],הפחתה7[[#This Row],[קרן]],הפחתה8[[#This Row],[קרן]])</f>
        <v>4648.5581423735948</v>
      </c>
      <c r="G287" s="13">
        <f ca="1">IF(הפחתה23[[#This Row],[תאריך]]="",0,PropertyTaxAmount)</f>
        <v>0</v>
      </c>
      <c r="H287" s="13">
        <f ca="1">IF(הפחתה23[[#This Row],[תאריך]]="",0,הפחתה23[[#This Row],[ריבית]]+הפחתה23[[#This Row],[קרן]]+הפחתה23[[#This Row],[מס
רכוש]])</f>
        <v>5721.3362082821277</v>
      </c>
      <c r="I287" s="13">
        <f ca="1">IF(הפחתה23[[#This Row],[תאריך]]="",0,הפחתה23[[#This Row],[יתרת פתיחה]]-הפחתה23[[#This Row],[קרן]])</f>
        <v>252155.61521980577</v>
      </c>
      <c r="J287" s="11">
        <f ca="1">MAX(הפחתה[[#This Row],[תשלומים
שנותרו]],הפחתה5[[#This Row],[תשלומים
שנותרו]],הפחתה7[[#This Row],[תשלומים
שנותרו]],הפחתה8[[#This Row],[תשלומים
שנותרו]])</f>
        <v>76</v>
      </c>
    </row>
    <row r="288" spans="1:10" ht="15" customHeight="1" x14ac:dyDescent="0.25">
      <c r="A288" s="8"/>
      <c r="B288" s="11">
        <f>MAX(הפחתה[[#This Row],[מס'']],הפחתה5[[#This Row],[מס'']],הפחתה7[[#This Row],[מס'']],הפחתה8[[#This Row],[מס'']])</f>
        <v>285</v>
      </c>
      <c r="C288" s="12">
        <f ca="1">IF(ValuesEntered,IF(הפחתה23[[#This Row],[מס'']]&lt;=תקופת_ההלוואה,IF(ROW()-ROW(הפחתה[[#Headers],[תאריך]])=1,LoanStart,IF(I287&gt;0,EDATE(C287,1),"")),""),"")</f>
        <v>54027</v>
      </c>
      <c r="D288" s="13">
        <f ca="1">SUM(הפחתה[[#This Row],[יתרת פתיחה]],הפחתה5[[#This Row],[יתרת פתיחה]],הפחתה7[[#This Row],[יתרת פתיחה]],הפחתה8[[#This Row],[יתרת פתיחה]])</f>
        <v>252175.27101258392</v>
      </c>
      <c r="E288" s="13">
        <f ca="1">SUM(הפחתה[[#This Row],[ריבית]],הפחתה5[[#This Row],[ריבית]],הפחתה7[[#This Row],[ריבית]],הפחתה8[[#This Row],[ריבית]])</f>
        <v>1054.7109964787974</v>
      </c>
      <c r="F288" s="13">
        <f ca="1">SUM(הפחתה[[#This Row],[קרן]],הפחתה5[[#This Row],[קרן]],הפחתה7[[#This Row],[קרן]],הפחתה8[[#This Row],[קרן]])</f>
        <v>4667.7961404925445</v>
      </c>
      <c r="G288" s="13">
        <f ca="1">IF(הפחתה23[[#This Row],[תאריך]]="",0,PropertyTaxAmount)</f>
        <v>0</v>
      </c>
      <c r="H288" s="13">
        <f ca="1">IF(הפחתה23[[#This Row],[תאריך]]="",0,הפחתה23[[#This Row],[ריבית]]+הפחתה23[[#This Row],[קרן]]+הפחתה23[[#This Row],[מס
רכוש]])</f>
        <v>5722.5071369713423</v>
      </c>
      <c r="I288" s="13">
        <f ca="1">IF(הפחתה23[[#This Row],[תאריך]]="",0,הפחתה23[[#This Row],[יתרת פתיחה]]-הפחתה23[[#This Row],[קרן]])</f>
        <v>247507.47487209138</v>
      </c>
      <c r="J288" s="11">
        <f ca="1">MAX(הפחתה[[#This Row],[תשלומים
שנותרו]],הפחתה5[[#This Row],[תשלומים
שנותרו]],הפחתה7[[#This Row],[תשלומים
שנותרו]],הפחתה8[[#This Row],[תשלומים
שנותרו]])</f>
        <v>75</v>
      </c>
    </row>
    <row r="289" spans="1:10" ht="15" customHeight="1" x14ac:dyDescent="0.25">
      <c r="A289" s="8"/>
      <c r="B289" s="11">
        <f>MAX(הפחתה[[#This Row],[מס'']],הפחתה5[[#This Row],[מס'']],הפחתה7[[#This Row],[מס'']],הפחתה8[[#This Row],[מס'']])</f>
        <v>286</v>
      </c>
      <c r="C289" s="12">
        <f ca="1">IF(ValuesEntered,IF(הפחתה23[[#This Row],[מס'']]&lt;=תקופת_ההלוואה,IF(ROW()-ROW(הפחתה[[#Headers],[תאריך]])=1,LoanStart,IF(I288&gt;0,EDATE(C288,1),"")),""),"")</f>
        <v>54058</v>
      </c>
      <c r="D289" s="13">
        <f ca="1">SUM(הפחתה[[#This Row],[יתרת פתיחה]],הפחתה5[[#This Row],[יתרת פתיחה]],הפחתה7[[#This Row],[יתרת פתיחה]],הפחתה8[[#This Row],[יתרת פתיחה]])</f>
        <v>247526.02482833288</v>
      </c>
      <c r="E289" s="13">
        <f ca="1">SUM(הפחתה[[#This Row],[ריבית]],הפחתה5[[#This Row],[ריבית]],הפחתה7[[#This Row],[ריבית]],הפחתה8[[#This Row],[ריבית]])</f>
        <v>1036.5659201162212</v>
      </c>
      <c r="F289" s="13">
        <f ca="1">SUM(הפחתה[[#This Row],[קרן]],הפחתה5[[#This Row],[קרן]],הפחתה7[[#This Row],[קרן]],הפחתה8[[#This Row],[קרן]])</f>
        <v>4687.1189205699411</v>
      </c>
      <c r="G289" s="13">
        <f ca="1">IF(הפחתה23[[#This Row],[תאריך]]="",0,PropertyTaxAmount)</f>
        <v>0</v>
      </c>
      <c r="H289" s="13">
        <f ca="1">IF(הפחתה23[[#This Row],[תאריך]]="",0,הפחתה23[[#This Row],[ריבית]]+הפחתה23[[#This Row],[קרן]]+הפחתה23[[#This Row],[מס
רכוש]])</f>
        <v>5723.6848406861627</v>
      </c>
      <c r="I289" s="13">
        <f ca="1">IF(הפחתה23[[#This Row],[תאריך]]="",0,הפחתה23[[#This Row],[יתרת פתיחה]]-הפחתה23[[#This Row],[קרן]])</f>
        <v>242838.90590776294</v>
      </c>
      <c r="J289" s="11">
        <f ca="1">MAX(הפחתה[[#This Row],[תשלומים
שנותרו]],הפחתה5[[#This Row],[תשלומים
שנותרו]],הפחתה7[[#This Row],[תשלומים
שנותרו]],הפחתה8[[#This Row],[תשלומים
שנותרו]])</f>
        <v>74</v>
      </c>
    </row>
    <row r="290" spans="1:10" ht="15" customHeight="1" x14ac:dyDescent="0.25">
      <c r="A290" s="8"/>
      <c r="B290" s="11">
        <f>MAX(הפחתה[[#This Row],[מס'']],הפחתה5[[#This Row],[מס'']],הפחתה7[[#This Row],[מס'']],הפחתה8[[#This Row],[מס'']])</f>
        <v>287</v>
      </c>
      <c r="C290" s="12">
        <f ca="1">IF(ValuesEntered,IF(הפחתה23[[#This Row],[מס'']]&lt;=תקופת_ההלוואה,IF(ROW()-ROW(הפחתה[[#Headers],[תאריך]])=1,LoanStart,IF(I289&gt;0,EDATE(C289,1),"")),""),"")</f>
        <v>54089</v>
      </c>
      <c r="D290" s="13">
        <f ca="1">SUM(הפחתה[[#This Row],[יתרת פתיחה]],הפחתה5[[#This Row],[יתרת פתיחה]],הפחתה7[[#This Row],[יתרת פתיחה]],הפחתה8[[#This Row],[יתרת פתיחה]])</f>
        <v>242856.34398389194</v>
      </c>
      <c r="E290" s="13">
        <f ca="1">SUM(הפחתה[[#This Row],[ריבית]],הפחתה5[[#This Row],[ריבית]],הפחתה7[[#This Row],[ריבית]],הפחתה8[[#This Row],[ריבית]])</f>
        <v>1018.3424953377183</v>
      </c>
      <c r="F290" s="13">
        <f ca="1">SUM(הפחתה[[#This Row],[קרן]],הפחתה5[[#This Row],[קרן]],הפחתה7[[#This Row],[קרן]],הפחתה8[[#This Row],[קרן]])</f>
        <v>4706.5275532504475</v>
      </c>
      <c r="G290" s="13">
        <f ca="1">IF(הפחתה23[[#This Row],[תאריך]]="",0,PropertyTaxAmount)</f>
        <v>0</v>
      </c>
      <c r="H290" s="13">
        <f ca="1">IF(הפחתה23[[#This Row],[תאריך]]="",0,הפחתה23[[#This Row],[ריבית]]+הפחתה23[[#This Row],[קרן]]+הפחתה23[[#This Row],[מס
רכוש]])</f>
        <v>5724.8700485881654</v>
      </c>
      <c r="I290" s="13">
        <f ca="1">IF(הפחתה23[[#This Row],[תאריך]]="",0,הפחתה23[[#This Row],[יתרת פתיחה]]-הפחתה23[[#This Row],[קרן]])</f>
        <v>238149.81643064148</v>
      </c>
      <c r="J290" s="11">
        <f ca="1">MAX(הפחתה[[#This Row],[תשלומים
שנותרו]],הפחתה5[[#This Row],[תשלומים
שנותרו]],הפחתה7[[#This Row],[תשלומים
שנותרו]],הפחתה8[[#This Row],[תשלומים
שנותרו]])</f>
        <v>73</v>
      </c>
    </row>
    <row r="291" spans="1:10" ht="15" customHeight="1" x14ac:dyDescent="0.25">
      <c r="A291" s="8"/>
      <c r="B291" s="11">
        <f>MAX(הפחתה[[#This Row],[מס'']],הפחתה5[[#This Row],[מס'']],הפחתה7[[#This Row],[מס'']],הפחתה8[[#This Row],[מס'']])</f>
        <v>288</v>
      </c>
      <c r="C291" s="12">
        <f ca="1">IF(ValuesEntered,IF(הפחתה23[[#This Row],[מס'']]&lt;=תקופת_ההלוואה,IF(ROW()-ROW(הפחתה[[#Headers],[תאריך]])=1,LoanStart,IF(I290&gt;0,EDATE(C290,1),"")),""),"")</f>
        <v>54118</v>
      </c>
      <c r="D291" s="13">
        <f ca="1">SUM(הפחתה[[#This Row],[יתרת פתיחה]],הפחתה5[[#This Row],[יתרת פתיחה]],הפחתה7[[#This Row],[יתרת פתיחה]],הפחתה8[[#This Row],[יתרת פתיחה]])</f>
        <v>238166.13654956981</v>
      </c>
      <c r="E291" s="13">
        <f ca="1">SUM(הפחתה[[#This Row],[ריבית]],הפחתה5[[#This Row],[ריבית]],הפחתה7[[#This Row],[ריבית]],הפחתה8[[#This Row],[ריבית]])</f>
        <v>1000.0403775094101</v>
      </c>
      <c r="F291" s="13">
        <f ca="1">SUM(הפחתה[[#This Row],[קרן]],הפחתה5[[#This Row],[קרן]],הפחתה7[[#This Row],[קרן]],הפחתה8[[#This Row],[קרן]])</f>
        <v>4726.0232794954627</v>
      </c>
      <c r="G291" s="13">
        <f ca="1">IF(הפחתה23[[#This Row],[תאריך]]="",0,PropertyTaxAmount)</f>
        <v>0</v>
      </c>
      <c r="H291" s="13">
        <f ca="1">IF(הפחתה23[[#This Row],[תאריך]]="",0,הפחתה23[[#This Row],[ריבית]]+הפחתה23[[#This Row],[קרן]]+הפחתה23[[#This Row],[מס
רכוש]])</f>
        <v>5726.0636570048728</v>
      </c>
      <c r="I291" s="13">
        <f ca="1">IF(הפחתה23[[#This Row],[תאריך]]="",0,הפחתה23[[#This Row],[יתרת פתיחה]]-הפחתה23[[#This Row],[קרן]])</f>
        <v>233440.11327007436</v>
      </c>
      <c r="J291" s="11">
        <f ca="1">MAX(הפחתה[[#This Row],[תשלומים
שנותרו]],הפחתה5[[#This Row],[תשלומים
שנותרו]],הפחתה7[[#This Row],[תשלומים
שנותרו]],הפחתה8[[#This Row],[תשלומים
שנותרו]])</f>
        <v>72</v>
      </c>
    </row>
    <row r="292" spans="1:10" ht="15" customHeight="1" x14ac:dyDescent="0.25">
      <c r="A292" s="8"/>
      <c r="B292" s="11">
        <f>MAX(הפחתה[[#This Row],[מס'']],הפחתה5[[#This Row],[מס'']],הפחתה7[[#This Row],[מס'']],הפחתה8[[#This Row],[מס'']])</f>
        <v>289</v>
      </c>
      <c r="C292" s="12">
        <f ca="1">IF(ValuesEntered,IF(הפחתה23[[#This Row],[מס'']]&lt;=תקופת_ההלוואה,IF(ROW()-ROW(הפחתה[[#Headers],[תאריך]])=1,LoanStart,IF(I291&gt;0,EDATE(C291,1),"")),""),"")</f>
        <v>54149</v>
      </c>
      <c r="D292" s="13">
        <f ca="1">SUM(הפחתה[[#This Row],[יתרת פתיחה]],הפחתה5[[#This Row],[יתרת פתיחה]],הפחתה7[[#This Row],[יתרת פתיחה]],הפחתה8[[#This Row],[יתרת פתיחה]])</f>
        <v>233455.3093198615</v>
      </c>
      <c r="E292" s="13">
        <f ca="1">SUM(הפחתה[[#This Row],[ריבית]],הפחתה5[[#This Row],[ריבית]],הפחתה7[[#This Row],[ריבית]],הפחתה8[[#This Row],[ריבית]])</f>
        <v>981.65921840660076</v>
      </c>
      <c r="F292" s="13">
        <f ca="1">SUM(הפחתה[[#This Row],[קרן]],הפחתה5[[#This Row],[קרן]],הפחתה7[[#This Row],[קרן]],הפחתה8[[#This Row],[קרן]])</f>
        <v>4745.60756664366</v>
      </c>
      <c r="G292" s="13">
        <f ca="1">IF(הפחתה23[[#This Row],[תאריך]]="",0,PropertyTaxAmount)</f>
        <v>0</v>
      </c>
      <c r="H292" s="13">
        <f ca="1">IF(הפחתה23[[#This Row],[תאריך]]="",0,הפחתה23[[#This Row],[ריבית]]+הפחתה23[[#This Row],[קרן]]+הפחתה23[[#This Row],[מס
רכוש]])</f>
        <v>5727.2667850502603</v>
      </c>
      <c r="I292" s="13">
        <f ca="1">IF(הפחתה23[[#This Row],[תאריך]]="",0,הפחתה23[[#This Row],[יתרת פתיחה]]-הפחתה23[[#This Row],[קרן]])</f>
        <v>228709.70175321784</v>
      </c>
      <c r="J292" s="11">
        <f ca="1">MAX(הפחתה[[#This Row],[תשלומים
שנותרו]],הפחתה5[[#This Row],[תשלומים
שנותרו]],הפחתה7[[#This Row],[תשלומים
שנותרו]],הפחתה8[[#This Row],[תשלומים
שנותרו]])</f>
        <v>71</v>
      </c>
    </row>
    <row r="293" spans="1:10" ht="15" customHeight="1" x14ac:dyDescent="0.25">
      <c r="A293" s="8"/>
      <c r="B293" s="11">
        <f>MAX(הפחתה[[#This Row],[מס'']],הפחתה5[[#This Row],[מס'']],הפחתה7[[#This Row],[מס'']],הפחתה8[[#This Row],[מס'']])</f>
        <v>290</v>
      </c>
      <c r="C293" s="12">
        <f ca="1">IF(ValuesEntered,IF(הפחתה23[[#This Row],[מס'']]&lt;=תקופת_ההלוואה,IF(ROW()-ROW(הפחתה[[#Headers],[תאריך]])=1,LoanStart,IF(I292&gt;0,EDATE(C292,1),"")),""),"")</f>
        <v>54179</v>
      </c>
      <c r="D293" s="13">
        <f ca="1">SUM(הפחתה[[#This Row],[יתרת פתיחה]],הפחתה5[[#This Row],[יתרת פתיחה]],הפחתה7[[#This Row],[יתרת פתיחה]],הפחתה8[[#This Row],[יתרת פתיחה]])</f>
        <v>228723.767585447</v>
      </c>
      <c r="E293" s="13">
        <f ca="1">SUM(הפחתה[[#This Row],[ריבית]],הפחתה5[[#This Row],[ריבית]],הפחתה7[[#This Row],[ריבית]],הפחתה8[[#This Row],[ריבית]])</f>
        <v>963.19866561686058</v>
      </c>
      <c r="F293" s="13">
        <f ca="1">SUM(הפחתה[[#This Row],[קרן]],הפחתה5[[#This Row],[קרן]],הפחתה7[[#This Row],[קרן]],הפחתה8[[#This Row],[קרן]])</f>
        <v>4765.2821898851371</v>
      </c>
      <c r="G293" s="13">
        <f ca="1">IF(הפחתה23[[#This Row],[תאריך]]="",0,PropertyTaxAmount)</f>
        <v>0</v>
      </c>
      <c r="H293" s="13">
        <f ca="1">IF(הפחתה23[[#This Row],[תאריך]]="",0,הפחתה23[[#This Row],[ריבית]]+הפחתה23[[#This Row],[קרן]]+הפחתה23[[#This Row],[מס
רכוש]])</f>
        <v>5728.4808555019972</v>
      </c>
      <c r="I293" s="13">
        <f ca="1">IF(הפחתה23[[#This Row],[תאריך]]="",0,הפחתה23[[#This Row],[יתרת פתיחה]]-הפחתה23[[#This Row],[קרן]])</f>
        <v>223958.48539556187</v>
      </c>
      <c r="J293" s="11">
        <f ca="1">MAX(הפחתה[[#This Row],[תשלומים
שנותרו]],הפחתה5[[#This Row],[תשלומים
שנותרו]],הפחתה7[[#This Row],[תשלומים
שנותרו]],הפחתה8[[#This Row],[תשלומים
שנותרו]])</f>
        <v>70</v>
      </c>
    </row>
    <row r="294" spans="1:10" ht="15" customHeight="1" x14ac:dyDescent="0.25">
      <c r="A294" s="8"/>
      <c r="B294" s="11">
        <f>MAX(הפחתה[[#This Row],[מס'']],הפחתה5[[#This Row],[מס'']],הפחתה7[[#This Row],[מס'']],הפחתה8[[#This Row],[מס'']])</f>
        <v>291</v>
      </c>
      <c r="C294" s="12">
        <f ca="1">IF(ValuesEntered,IF(הפחתה23[[#This Row],[מס'']]&lt;=תקופת_ההלוואה,IF(ROW()-ROW(הפחתה[[#Headers],[תאריך]])=1,LoanStart,IF(I293&gt;0,EDATE(C293,1),"")),""),"")</f>
        <v>54210</v>
      </c>
      <c r="D294" s="13">
        <f ca="1">SUM(הפחתה[[#This Row],[יתרת פתיחה]],הפחתה5[[#This Row],[יתרת פתיחה]],הפחתה7[[#This Row],[יתרת פתיחה]],הפחתה8[[#This Row],[יתרת פתיחה]])</f>
        <v>223971.41482333787</v>
      </c>
      <c r="E294" s="13">
        <f ca="1">SUM(הפחתה[[#This Row],[ריבית]],הפחתה5[[#This Row],[ריבית]],הפחתה7[[#This Row],[ריבית]],הפחתה8[[#This Row],[ריבית]])</f>
        <v>944.65836170806256</v>
      </c>
      <c r="F294" s="13">
        <f ca="1">SUM(הפחתה[[#This Row],[קרן]],הפחתה5[[#This Row],[קרן]],הפחתה7[[#This Row],[קרן]],הפחתה8[[#This Row],[קרן]])</f>
        <v>4785.0493543721041</v>
      </c>
      <c r="G294" s="13">
        <f ca="1">IF(הפחתה23[[#This Row],[תאריך]]="",0,PropertyTaxAmount)</f>
        <v>0</v>
      </c>
      <c r="H294" s="13">
        <f ca="1">IF(הפחתה23[[#This Row],[תאריך]]="",0,הפחתה23[[#This Row],[ריבית]]+הפחתה23[[#This Row],[קרן]]+הפחתה23[[#This Row],[מס
רכוש]])</f>
        <v>5729.7077160801664</v>
      </c>
      <c r="I294" s="13">
        <f ca="1">IF(הפחתה23[[#This Row],[תאריך]]="",0,הפחתה23[[#This Row],[יתרת פתיחה]]-הפחתה23[[#This Row],[קרן]])</f>
        <v>219186.36546896576</v>
      </c>
      <c r="J294" s="11">
        <f ca="1">MAX(הפחתה[[#This Row],[תשלומים
שנותרו]],הפחתה5[[#This Row],[תשלומים
שנותרו]],הפחתה7[[#This Row],[תשלומים
שנותרו]],הפחתה8[[#This Row],[תשלומים
שנותרו]])</f>
        <v>69</v>
      </c>
    </row>
    <row r="295" spans="1:10" ht="15" customHeight="1" x14ac:dyDescent="0.25">
      <c r="A295" s="8"/>
      <c r="B295" s="11">
        <f>MAX(הפחתה[[#This Row],[מס'']],הפחתה5[[#This Row],[מס'']],הפחתה7[[#This Row],[מס'']],הפחתה8[[#This Row],[מס'']])</f>
        <v>292</v>
      </c>
      <c r="C295" s="12">
        <f ca="1">IF(ValuesEntered,IF(הפחתה23[[#This Row],[מס'']]&lt;=תקופת_ההלוואה,IF(ROW()-ROW(הפחתה[[#Headers],[תאריך]])=1,LoanStart,IF(I294&gt;0,EDATE(C294,1),"")),""),"")</f>
        <v>54240</v>
      </c>
      <c r="D295" s="13">
        <f ca="1">SUM(הפחתה[[#This Row],[יתרת פתיחה]],הפחתה5[[#This Row],[יתרת פתיחה]],הפחתה7[[#This Row],[יתרת פתיחה]],הפחתה8[[#This Row],[יתרת פתיחה]])</f>
        <v>219198.1522643991</v>
      </c>
      <c r="E295" s="13">
        <f ca="1">SUM(הפחתה[[#This Row],[ריבית]],הפחתה5[[#This Row],[ריבית]],הפחתה7[[#This Row],[ריבית]],הפחתה8[[#This Row],[ריבית]])</f>
        <v>926.03794303125301</v>
      </c>
      <c r="F295" s="13">
        <f ca="1">SUM(הפחתה[[#This Row],[קרן]],הפחתה5[[#This Row],[קרן]],הפחתה7[[#This Row],[קרן]],הפחתה8[[#This Row],[קרן]])</f>
        <v>4804.9118850156256</v>
      </c>
      <c r="G295" s="13">
        <f ca="1">IF(הפחתה23[[#This Row],[תאריך]]="",0,PropertyTaxAmount)</f>
        <v>0</v>
      </c>
      <c r="H295" s="13">
        <f ca="1">IF(הפחתה23[[#This Row],[תאריך]]="",0,הפחתה23[[#This Row],[ריבית]]+הפחתה23[[#This Row],[קרן]]+הפחתה23[[#This Row],[מס
רכוש]])</f>
        <v>5730.9498280468788</v>
      </c>
      <c r="I295" s="13">
        <f ca="1">IF(הפחתה23[[#This Row],[תאריך]]="",0,הפחתה23[[#This Row],[יתרת פתיחה]]-הפחתה23[[#This Row],[קרן]])</f>
        <v>214393.24037938347</v>
      </c>
      <c r="J295" s="11">
        <f ca="1">MAX(הפחתה[[#This Row],[תשלומים
שנותרו]],הפחתה5[[#This Row],[תשלומים
שנותרו]],הפחתה7[[#This Row],[תשלומים
שנותרו]],הפחתה8[[#This Row],[תשלומים
שנותרו]])</f>
        <v>68</v>
      </c>
    </row>
    <row r="296" spans="1:10" ht="15" customHeight="1" x14ac:dyDescent="0.25">
      <c r="A296" s="8"/>
      <c r="B296" s="11">
        <f>MAX(הפחתה[[#This Row],[מס'']],הפחתה5[[#This Row],[מס'']],הפחתה7[[#This Row],[מס'']],הפחתה8[[#This Row],[מס'']])</f>
        <v>293</v>
      </c>
      <c r="C296" s="12">
        <f ca="1">IF(ValuesEntered,IF(הפחתה23[[#This Row],[מס'']]&lt;=תקופת_ההלוואה,IF(ROW()-ROW(הפחתה[[#Headers],[תאריך]])=1,LoanStart,IF(I295&gt;0,EDATE(C295,1),"")),""),"")</f>
        <v>54271</v>
      </c>
      <c r="D296" s="13">
        <f ca="1">SUM(הפחתה[[#This Row],[יתרת פתיחה]],הפחתה5[[#This Row],[יתרת פתיחה]],הפחתה7[[#This Row],[יתרת פתיחה]],הפחתה8[[#This Row],[יתרת פתיחה]])</f>
        <v>214403.8782703554</v>
      </c>
      <c r="E296" s="13">
        <f ca="1">SUM(הפחתה[[#This Row],[ריבית]],הפחתה5[[#This Row],[ריבית]],הפחתה7[[#This Row],[ריבית]],הפחתה8[[#This Row],[ריבית]])</f>
        <v>907.33703793085124</v>
      </c>
      <c r="F296" s="13">
        <f ca="1">SUM(הפחתה[[#This Row],[קרן]],הפחתה5[[#This Row],[קרן]],הפחתה7[[#This Row],[קרן]],הפחתה8[[#This Row],[קרן]])</f>
        <v>4824.8735346613903</v>
      </c>
      <c r="G296" s="13">
        <f ca="1">IF(הפחתה23[[#This Row],[תאריך]]="",0,PropertyTaxAmount)</f>
        <v>0</v>
      </c>
      <c r="H296" s="13">
        <f ca="1">IF(הפחתה23[[#This Row],[תאריך]]="",0,הפחתה23[[#This Row],[ריבית]]+הפחתה23[[#This Row],[קרן]]+הפחתה23[[#This Row],[מס
רכוש]])</f>
        <v>5732.2105725922411</v>
      </c>
      <c r="I296" s="13">
        <f ca="1">IF(הפחתה23[[#This Row],[תאריך]]="",0,הפחתה23[[#This Row],[יתרת פתיחה]]-הפחתה23[[#This Row],[קרן]])</f>
        <v>209579.004735694</v>
      </c>
      <c r="J296" s="11">
        <f ca="1">MAX(הפחתה[[#This Row],[תשלומים
שנותרו]],הפחתה5[[#This Row],[תשלומים
שנותרו]],הפחתה7[[#This Row],[תשלומים
שנותרו]],הפחתה8[[#This Row],[תשלומים
שנותרו]])</f>
        <v>67</v>
      </c>
    </row>
    <row r="297" spans="1:10" ht="15" customHeight="1" x14ac:dyDescent="0.25">
      <c r="A297" s="8"/>
      <c r="B297" s="11">
        <f>MAX(הפחתה[[#This Row],[מס'']],הפחתה5[[#This Row],[מס'']],הפחתה7[[#This Row],[מס'']],הפחתה8[[#This Row],[מס'']])</f>
        <v>294</v>
      </c>
      <c r="C297" s="12">
        <f ca="1">IF(ValuesEntered,IF(הפחתה23[[#This Row],[מס'']]&lt;=תקופת_ההלוואה,IF(ROW()-ROW(הפחתה[[#Headers],[תאריך]])=1,LoanStart,IF(I296&gt;0,EDATE(C296,1),"")),""),"")</f>
        <v>54302</v>
      </c>
      <c r="D297" s="13">
        <f ca="1">SUM(הפחתה[[#This Row],[יתרת פתיחה]],הפחתה5[[#This Row],[יתרת פתיחה]],הפחתה7[[#This Row],[יתרת פתיחה]],הפחתה8[[#This Row],[יתרת פתיחה]])</f>
        <v>209588.48740158571</v>
      </c>
      <c r="E297" s="13">
        <f ca="1">SUM(הפחתה[[#This Row],[ריבית]],הפחתה5[[#This Row],[ריבית]],הפחתה7[[#This Row],[ריבית]],הפחתה8[[#This Row],[ריבית]])</f>
        <v>888.55526394007131</v>
      </c>
      <c r="F297" s="13">
        <f ca="1">SUM(הפחתה[[#This Row],[קרן]],הפחתה5[[#This Row],[קרן]],הפחתה7[[#This Row],[קרן]],הפחתה8[[#This Row],[קרן]])</f>
        <v>4844.9395119816327</v>
      </c>
      <c r="G297" s="13">
        <f ca="1">IF(הפחתה23[[#This Row],[תאריך]]="",0,PropertyTaxAmount)</f>
        <v>0</v>
      </c>
      <c r="H297" s="13">
        <f ca="1">IF(הפחתה23[[#This Row],[תאריך]]="",0,הפחתה23[[#This Row],[ריבית]]+הפחתה23[[#This Row],[קרן]]+הפחתה23[[#This Row],[מס
רכוש]])</f>
        <v>5733.4947759217039</v>
      </c>
      <c r="I297" s="13">
        <f ca="1">IF(הפחתה23[[#This Row],[תאריך]]="",0,הפחתה23[[#This Row],[יתרת פתיחה]]-הפחתה23[[#This Row],[קרן]])</f>
        <v>204743.54788960406</v>
      </c>
      <c r="J297" s="11">
        <f ca="1">MAX(הפחתה[[#This Row],[תשלומים
שנותרו]],הפחתה5[[#This Row],[תשלומים
שנותרו]],הפחתה7[[#This Row],[תשלומים
שנותרו]],הפחתה8[[#This Row],[תשלומים
שנותרו]])</f>
        <v>66</v>
      </c>
    </row>
    <row r="298" spans="1:10" ht="15" customHeight="1" x14ac:dyDescent="0.25">
      <c r="A298" s="8"/>
      <c r="B298" s="11">
        <f>MAX(הפחתה[[#This Row],[מס'']],הפחתה5[[#This Row],[מס'']],הפחתה7[[#This Row],[מס'']],הפחתה8[[#This Row],[מס'']])</f>
        <v>295</v>
      </c>
      <c r="C298" s="12">
        <f ca="1">IF(ValuesEntered,IF(הפחתה23[[#This Row],[מס'']]&lt;=תקופת_ההלוואה,IF(ROW()-ROW(הפחתה[[#Headers],[תאריך]])=1,LoanStart,IF(I297&gt;0,EDATE(C297,1),"")),""),"")</f>
        <v>54332</v>
      </c>
      <c r="D298" s="13">
        <f ca="1">SUM(הפחתה[[#This Row],[יתרת פתיחה]],הפחתה5[[#This Row],[יתרת פתיחה]],הפחתה7[[#This Row],[יתרת פתיחה]],הפחתה8[[#This Row],[יתרת פתיחה]])</f>
        <v>204751.86895547397</v>
      </c>
      <c r="E298" s="13">
        <f ca="1">SUM(הפחתה[[#This Row],[ריבית]],הפחתה5[[#This Row],[ריבית]],הפחתה7[[#This Row],[ריבית]],הפחתה8[[#This Row],[ריבית]])</f>
        <v>869.69222311811677</v>
      </c>
      <c r="F298" s="13">
        <f ca="1">SUM(הפחתה[[#This Row],[קרן]],הפחתה5[[#This Row],[קרן]],הפחתה7[[#This Row],[קרן]],הפחתה8[[#This Row],[קרן]])</f>
        <v>4865.117448543353</v>
      </c>
      <c r="G298" s="13">
        <f ca="1">IF(הפחתה23[[#This Row],[תאריך]]="",0,PropertyTaxAmount)</f>
        <v>0</v>
      </c>
      <c r="H298" s="13">
        <f ca="1">IF(הפחתה23[[#This Row],[תאריך]]="",0,הפחתה23[[#This Row],[ריבית]]+הפחתה23[[#This Row],[קרן]]+הפחתה23[[#This Row],[מס
רכוש]])</f>
        <v>5734.80967166147</v>
      </c>
      <c r="I298" s="13">
        <f ca="1">IF(הפחתה23[[#This Row],[תאריך]]="",0,הפחתה23[[#This Row],[יתרת פתיחה]]-הפחתה23[[#This Row],[קרן]])</f>
        <v>199886.75150693062</v>
      </c>
      <c r="J298" s="11">
        <f ca="1">MAX(הפחתה[[#This Row],[תשלומים
שנותרו]],הפחתה5[[#This Row],[תשלומים
שנותרו]],הפחתה7[[#This Row],[תשלומים
שנותרו]],הפחתה8[[#This Row],[תשלומים
שנותרו]])</f>
        <v>65</v>
      </c>
    </row>
    <row r="299" spans="1:10" ht="15" customHeight="1" x14ac:dyDescent="0.25">
      <c r="A299" s="8"/>
      <c r="B299" s="11">
        <f>MAX(הפחתה[[#This Row],[מס'']],הפחתה5[[#This Row],[מס'']],הפחתה7[[#This Row],[מס'']],הפחתה8[[#This Row],[מס'']])</f>
        <v>296</v>
      </c>
      <c r="C299" s="12">
        <f ca="1">IF(ValuesEntered,IF(הפחתה23[[#This Row],[מס'']]&lt;=תקופת_ההלוואה,IF(ROW()-ROW(הפחתה[[#Headers],[תאריך]])=1,LoanStart,IF(I298&gt;0,EDATE(C298,1),"")),""),"")</f>
        <v>54363</v>
      </c>
      <c r="D299" s="13">
        <f ca="1">SUM(הפחתה[[#This Row],[יתרת פתיחה]],הפחתה5[[#This Row],[יתרת פתיחה]],הפחתה7[[#This Row],[יתרת פתיחה]],הפחתה8[[#This Row],[יתרת פתיחה]])</f>
        <v>199893.90453525831</v>
      </c>
      <c r="E299" s="13">
        <f ca="1">SUM(הפחתה[[#This Row],[ריבית]],הפחתה5[[#This Row],[ריבית]],הפחתה7[[#This Row],[ריבית]],הפחתה8[[#This Row],[ריבית]])</f>
        <v>850.74749367524794</v>
      </c>
      <c r="F299" s="13">
        <f ca="1">SUM(הפחתה[[#This Row],[קרן]],הפחתה5[[#This Row],[קרן]],הפחתה7[[#This Row],[קרן]],הפחתה8[[#This Row],[קרן]])</f>
        <v>4885.4193315143302</v>
      </c>
      <c r="G299" s="13">
        <f ca="1">IF(הפחתה23[[#This Row],[תאריך]]="",0,PropertyTaxAmount)</f>
        <v>0</v>
      </c>
      <c r="H299" s="13">
        <f ca="1">IF(הפחתה23[[#This Row],[תאריך]]="",0,הפחתה23[[#This Row],[ריבית]]+הפחתה23[[#This Row],[קרן]]+הפחתה23[[#This Row],[מס
רכוש]])</f>
        <v>5736.166825189578</v>
      </c>
      <c r="I299" s="13">
        <f ca="1">IF(הפחתה23[[#This Row],[תאריך]]="",0,הפחתה23[[#This Row],[יתרת פתיחה]]-הפחתה23[[#This Row],[קרן]])</f>
        <v>195008.48520374397</v>
      </c>
      <c r="J299" s="11">
        <f ca="1">MAX(הפחתה[[#This Row],[תשלומים
שנותרו]],הפחתה5[[#This Row],[תשלומים
שנותרו]],הפחתה7[[#This Row],[תשלומים
שנותרו]],הפחתה8[[#This Row],[תשלומים
שנותרו]])</f>
        <v>64</v>
      </c>
    </row>
    <row r="300" spans="1:10" ht="15" customHeight="1" x14ac:dyDescent="0.25">
      <c r="A300" s="8"/>
      <c r="B300" s="11">
        <f>MAX(הפחתה[[#This Row],[מס'']],הפחתה5[[#This Row],[מס'']],הפחתה7[[#This Row],[מס'']],הפחתה8[[#This Row],[מס'']])</f>
        <v>297</v>
      </c>
      <c r="C300" s="12">
        <f ca="1">IF(ValuesEntered,IF(הפחתה23[[#This Row],[מס'']]&lt;=תקופת_ההלוואה,IF(ROW()-ROW(הפחתה[[#Headers],[תאריך]])=1,LoanStart,IF(I299&gt;0,EDATE(C299,1),"")),""),"")</f>
        <v>54393</v>
      </c>
      <c r="D300" s="13">
        <f ca="1">SUM(הפחתה[[#This Row],[יתרת פתיחה]],הפחתה5[[#This Row],[יתרת פתיחה]],הפחתה7[[#This Row],[יתרת פתיחה]],הפחתה8[[#This Row],[יתרת פתיחה]])</f>
        <v>195014.46368212401</v>
      </c>
      <c r="E300" s="13">
        <f ca="1">SUM(הפחתה[[#This Row],[ריבית]],הפחתה5[[#This Row],[ריבית]],הפחתה7[[#This Row],[ריבית]],הפחתה8[[#This Row],[ריבית]])</f>
        <v>831.72061325507843</v>
      </c>
      <c r="F300" s="13">
        <f ca="1">SUM(הפחתה[[#This Row],[קרן]],הפחתה5[[#This Row],[קרן]],הפחתה7[[#This Row],[קרן]],הפחתה8[[#This Row],[קרן]])</f>
        <v>4905.8658491278393</v>
      </c>
      <c r="G300" s="13">
        <f ca="1">IF(הפחתה23[[#This Row],[תאריך]]="",0,PropertyTaxAmount)</f>
        <v>0</v>
      </c>
      <c r="H300" s="13">
        <f ca="1">IF(הפחתה23[[#This Row],[תאריך]]="",0,הפחתה23[[#This Row],[ריבית]]+הפחתה23[[#This Row],[קרן]]+הפחתה23[[#This Row],[מס
רכוש]])</f>
        <v>5737.5864623829175</v>
      </c>
      <c r="I300" s="13">
        <f ca="1">IF(הפחתה23[[#This Row],[תאריך]]="",0,הפחתה23[[#This Row],[יתרת פתיחה]]-הפחתה23[[#This Row],[קרן]])</f>
        <v>190108.59783299617</v>
      </c>
      <c r="J300" s="11">
        <f ca="1">MAX(הפחתה[[#This Row],[תשלומים
שנותרו]],הפחתה5[[#This Row],[תשלומים
שנותרו]],הפחתה7[[#This Row],[תשלומים
שנותרו]],הפחתה8[[#This Row],[תשלומים
שנותרו]])</f>
        <v>63</v>
      </c>
    </row>
    <row r="301" spans="1:10" ht="15" customHeight="1" x14ac:dyDescent="0.25">
      <c r="A301" s="8"/>
      <c r="B301" s="11">
        <f>MAX(הפחתה[[#This Row],[מס'']],הפחתה5[[#This Row],[מס'']],הפחתה7[[#This Row],[מס'']],הפחתה8[[#This Row],[מס'']])</f>
        <v>298</v>
      </c>
      <c r="C301" s="12">
        <f ca="1">IF(ValuesEntered,IF(הפחתה23[[#This Row],[מס'']]&lt;=תקופת_ההלוואה,IF(ROW()-ROW(הפחתה[[#Headers],[תאריך]])=1,LoanStart,IF(I300&gt;0,EDATE(C300,1),"")),""),"")</f>
        <v>54424</v>
      </c>
      <c r="D301" s="13">
        <f ca="1">SUM(הפחתה[[#This Row],[יתרת פתיחה]],הפחתה5[[#This Row],[יתרת פתיחה]],הפחתה7[[#This Row],[יתרת פתיחה]],הפחתה8[[#This Row],[יתרת פתיחה]])</f>
        <v>190113.39515455434</v>
      </c>
      <c r="E301" s="13">
        <f ca="1">SUM(הפחתה[[#This Row],[ריבית]],הפחתה5[[#This Row],[ריבית]],הפחתה7[[#This Row],[ריבית]],הפחתה8[[#This Row],[ריבית]])</f>
        <v>812.61103999424608</v>
      </c>
      <c r="F301" s="13">
        <f ca="1">SUM(הפחתה[[#This Row],[קרן]],הפחתה5[[#This Row],[קרן]],הפחתה7[[#This Row],[קרן]],הפחתה8[[#This Row],[קרן]])</f>
        <v>4926.4979705575161</v>
      </c>
      <c r="G301" s="13">
        <f ca="1">IF(הפחתה23[[#This Row],[תאריך]]="",0,PropertyTaxAmount)</f>
        <v>0</v>
      </c>
      <c r="H301" s="13">
        <f ca="1">IF(הפחתה23[[#This Row],[תאריך]]="",0,הפחתה23[[#This Row],[ריבית]]+הפחתה23[[#This Row],[קרן]]+הפחתה23[[#This Row],[מס
רכוש]])</f>
        <v>5739.1090105517624</v>
      </c>
      <c r="I301" s="13">
        <f ca="1">IF(הפחתה23[[#This Row],[תאריך]]="",0,הפחתה23[[#This Row],[יתרת פתיחה]]-הפחתה23[[#This Row],[קרן]])</f>
        <v>185186.89718399683</v>
      </c>
      <c r="J301" s="11">
        <f ca="1">MAX(הפחתה[[#This Row],[תשלומים
שנותרו]],הפחתה5[[#This Row],[תשלומים
שנותרו]],הפחתה7[[#This Row],[תשלומים
שנותרו]],הפחתה8[[#This Row],[תשלומים
שנותרו]])</f>
        <v>62</v>
      </c>
    </row>
    <row r="302" spans="1:10" ht="15" customHeight="1" x14ac:dyDescent="0.25">
      <c r="A302" s="8"/>
      <c r="B302" s="11">
        <f>MAX(הפחתה[[#This Row],[מס'']],הפחתה5[[#This Row],[מס'']],הפחתה7[[#This Row],[מס'']],הפחתה8[[#This Row],[מס'']])</f>
        <v>299</v>
      </c>
      <c r="C302" s="12">
        <f ca="1">IF(ValuesEntered,IF(הפחתה23[[#This Row],[מס'']]&lt;=תקופת_ההלוואה,IF(ROW()-ROW(הפחתה[[#Headers],[תאריך]])=1,LoanStart,IF(I301&gt;0,EDATE(C301,1),"")),""),"")</f>
        <v>54455</v>
      </c>
      <c r="D302" s="13">
        <f ca="1">SUM(הפחתה[[#This Row],[יתרת פתיחה]],הפחתה5[[#This Row],[יתרת פתיחה]],הפחתה7[[#This Row],[יתרת פתיחה]],הפחתה8[[#This Row],[יתרת פתיחה]])</f>
        <v>185190.50661327416</v>
      </c>
      <c r="E302" s="13">
        <f ca="1">SUM(הפחתה[[#This Row],[ריבית]],הפחתה5[[#This Row],[ריבית]],הפחתה7[[#This Row],[ריבית]],הפחתה8[[#This Row],[ריבית]])</f>
        <v>793.41803588690721</v>
      </c>
      <c r="F302" s="13">
        <f ca="1">SUM(הפחתה[[#This Row],[קרן]],הפחתה5[[#This Row],[קרן]],הפחתה7[[#This Row],[קרן]],הפחתה8[[#This Row],[קרן]])</f>
        <v>4947.4174486674729</v>
      </c>
      <c r="G302" s="13">
        <f ca="1">IF(הפחתה23[[#This Row],[תאריך]]="",0,PropertyTaxAmount)</f>
        <v>0</v>
      </c>
      <c r="H302" s="13">
        <f ca="1">IF(הפחתה23[[#This Row],[תאריך]]="",0,הפחתה23[[#This Row],[ריבית]]+הפחתה23[[#This Row],[קרן]]+הפחתה23[[#This Row],[מס
רכוש]])</f>
        <v>5740.8354845543799</v>
      </c>
      <c r="I302" s="13">
        <f ca="1">IF(הפחתה23[[#This Row],[תאריך]]="",0,הפחתה23[[#This Row],[יתרת פתיחה]]-הפחתה23[[#This Row],[קרן]])</f>
        <v>180243.0891646067</v>
      </c>
      <c r="J302" s="11">
        <f ca="1">MAX(הפחתה[[#This Row],[תשלומים
שנותרו]],הפחתה5[[#This Row],[תשלומים
שנותרו]],הפחתה7[[#This Row],[תשלומים
שנותרו]],הפחתה8[[#This Row],[תשלומים
שנותרו]])</f>
        <v>61</v>
      </c>
    </row>
    <row r="303" spans="1:10" ht="15" customHeight="1" x14ac:dyDescent="0.25">
      <c r="A303" s="8"/>
      <c r="B303" s="11">
        <f>MAX(הפחתה[[#This Row],[מס'']],הפחתה5[[#This Row],[מס'']],הפחתה7[[#This Row],[מס'']],הפחתה8[[#This Row],[מס'']])</f>
        <v>300</v>
      </c>
      <c r="C303" s="12">
        <f ca="1">IF(ValuesEntered,IF(הפחתה23[[#This Row],[מס'']]&lt;=תקופת_ההלוואה,IF(ROW()-ROW(הפחתה[[#Headers],[תאריך]])=1,LoanStart,IF(I302&gt;0,EDATE(C302,1),"")),""),"")</f>
        <v>54483</v>
      </c>
      <c r="D303" s="13">
        <f ca="1">SUM(הפחתה[[#This Row],[יתרת פתיחה]],הפחתה5[[#This Row],[יתרת פתיחה]],הפחתה7[[#This Row],[יתרת פתיחה]],הפחתה8[[#This Row],[יתרת פתיחה]])</f>
        <v>180245.50376958755</v>
      </c>
      <c r="E303" s="13">
        <f ca="1">SUM(הפחתה[[#This Row],[ריבית]],הפחתה5[[#This Row],[ריבית]],הפחתה7[[#This Row],[ריבית]],הפחתה8[[#This Row],[ריבית]])</f>
        <v>774.13776053695551</v>
      </c>
      <c r="F303" s="13">
        <f ca="1">SUM(הפחתה[[#This Row],[קרן]],הפחתה5[[#This Row],[קרן]],הפחתה7[[#This Row],[קרן]],הפחתה8[[#This Row],[קרן]])</f>
        <v>4969.0296857485446</v>
      </c>
      <c r="G303" s="13">
        <f ca="1">IF(הפחתה23[[#This Row],[תאריך]]="",0,PropertyTaxAmount)</f>
        <v>0</v>
      </c>
      <c r="H303" s="13">
        <f ca="1">IF(הפחתה23[[#This Row],[תאריך]]="",0,הפחתה23[[#This Row],[ריבית]]+הפחתה23[[#This Row],[קרן]]+הפחתה23[[#This Row],[מס
רכוש]])</f>
        <v>5743.1674462854999</v>
      </c>
      <c r="I303" s="13">
        <f ca="1">IF(הפחתה23[[#This Row],[תאריך]]="",0,הפחתה23[[#This Row],[יתרת פתיחה]]-הפחתה23[[#This Row],[קרן]])</f>
        <v>175276.47408383901</v>
      </c>
      <c r="J303" s="11">
        <f ca="1">MAX(הפחתה[[#This Row],[תשלומים
שנותרו]],הפחתה5[[#This Row],[תשלומים
שנותרו]],הפחתה7[[#This Row],[תשלומים
שנותרו]],הפחתה8[[#This Row],[תשלומים
שנותרו]])</f>
        <v>60</v>
      </c>
    </row>
    <row r="304" spans="1:10" ht="15" customHeight="1" x14ac:dyDescent="0.25">
      <c r="A304" s="8"/>
      <c r="B304" s="11">
        <f>MAX(הפחתה[[#This Row],[מס'']],הפחתה5[[#This Row],[מס'']],הפחתה7[[#This Row],[מס'']],הפחתה8[[#This Row],[מס'']])</f>
        <v>301</v>
      </c>
      <c r="C304" s="12">
        <f ca="1">IF(ValuesEntered,IF(הפחתה23[[#This Row],[מס'']]&lt;=תקופת_ההלוואה,IF(ROW()-ROW(הפחתה[[#Headers],[תאריך]])=1,LoanStart,IF(I303&gt;0,EDATE(C303,1),"")),""),"")</f>
        <v>54514</v>
      </c>
      <c r="D304" s="13">
        <f ca="1">SUM(הפחתה[[#This Row],[יתרת פתיחה]],הפחתה5[[#This Row],[יתרת פתיחה]],הפחתה7[[#This Row],[יתרת פתיחה]],הפחתה8[[#This Row],[יתרת פתיחה]])</f>
        <v>175276.47408383898</v>
      </c>
      <c r="E304" s="13">
        <f ca="1">SUM(הפחתה[[#This Row],[ריבית]],הפחתה5[[#This Row],[ריבית]],הפחתה7[[#This Row],[ריבית]],הפחתה8[[#This Row],[ריבית]])</f>
        <v>762.84129569079244</v>
      </c>
      <c r="F304" s="13">
        <f ca="1">SUM(הפחתה[[#This Row],[קרן]],הפחתה5[[#This Row],[קרן]],הפחתה7[[#This Row],[קרן]],הפחתה8[[#This Row],[קרן]])</f>
        <v>2557.6901538482634</v>
      </c>
      <c r="G304" s="13">
        <f ca="1">IF(הפחתה23[[#This Row],[תאריך]]="",0,PropertyTaxAmount)</f>
        <v>0</v>
      </c>
      <c r="H304" s="13">
        <f ca="1">IF(הפחתה23[[#This Row],[תאריך]]="",0,הפחתה23[[#This Row],[ריבית]]+הפחתה23[[#This Row],[קרן]]+הפחתה23[[#This Row],[מס
רכוש]])</f>
        <v>3320.5314495390558</v>
      </c>
      <c r="I304" s="13">
        <f ca="1">IF(הפחתה23[[#This Row],[תאריך]]="",0,הפחתה23[[#This Row],[יתרת פתיחה]]-הפחתה23[[#This Row],[קרן]])</f>
        <v>172718.78392999072</v>
      </c>
      <c r="J304" s="11">
        <f ca="1">MAX(הפחתה[[#This Row],[תשלומים
שנותרו]],הפחתה5[[#This Row],[תשלומים
שנותרו]],הפחתה7[[#This Row],[תשלומים
שנותרו]],הפחתה8[[#This Row],[תשלומים
שנותרו]])</f>
        <v>59</v>
      </c>
    </row>
    <row r="305" spans="1:10" ht="15" customHeight="1" x14ac:dyDescent="0.25">
      <c r="A305" s="8"/>
      <c r="B305" s="11">
        <f>MAX(הפחתה[[#This Row],[מס'']],הפחתה5[[#This Row],[מס'']],הפחתה7[[#This Row],[מס'']],הפחתה8[[#This Row],[מס'']])</f>
        <v>302</v>
      </c>
      <c r="C305" s="12">
        <f ca="1">IF(ValuesEntered,IF(הפחתה23[[#This Row],[מס'']]&lt;=תקופת_ההלוואה,IF(ROW()-ROW(הפחתה[[#Headers],[תאריך]])=1,LoanStart,IF(I304&gt;0,EDATE(C304,1),"")),""),"")</f>
        <v>54544</v>
      </c>
      <c r="D305" s="13">
        <f ca="1">SUM(הפחתה[[#This Row],[יתרת פתיחה]],הפחתה5[[#This Row],[יתרת פתיחה]],הפחתה7[[#This Row],[יתרת פתיחה]],הפחתה8[[#This Row],[יתרת פתיחה]])</f>
        <v>172718.78392999072</v>
      </c>
      <c r="E305" s="13">
        <f ca="1">SUM(הפחתה[[#This Row],[ריבית]],הפחתה5[[#This Row],[ריבית]],הפחתה7[[#This Row],[ריבית]],הפחתה8[[#This Row],[ריבית]])</f>
        <v>751.49493812489209</v>
      </c>
      <c r="F305" s="13">
        <f ca="1">SUM(הפחתה[[#This Row],[קרן]],הפחתה5[[#This Row],[קרן]],הפחתה7[[#This Row],[קרן]],הפחתה8[[#This Row],[קרן]])</f>
        <v>2568.9866186944259</v>
      </c>
      <c r="G305" s="13">
        <f ca="1">IF(הפחתה23[[#This Row],[תאריך]]="",0,PropertyTaxAmount)</f>
        <v>0</v>
      </c>
      <c r="H305" s="13">
        <f ca="1">IF(הפחתה23[[#This Row],[תאריך]]="",0,הפחתה23[[#This Row],[ריבית]]+הפחתה23[[#This Row],[קרן]]+הפחתה23[[#This Row],[מס
רכוש]])</f>
        <v>3320.481556819318</v>
      </c>
      <c r="I305" s="13">
        <f ca="1">IF(הפחתה23[[#This Row],[תאריך]]="",0,הפחתה23[[#This Row],[יתרת פתיחה]]-הפחתה23[[#This Row],[קרן]])</f>
        <v>170149.79731129631</v>
      </c>
      <c r="J305" s="11">
        <f ca="1">MAX(הפחתה[[#This Row],[תשלומים
שנותרו]],הפחתה5[[#This Row],[תשלומים
שנותרו]],הפחתה7[[#This Row],[תשלומים
שנותרו]],הפחתה8[[#This Row],[תשלומים
שנותרו]])</f>
        <v>58</v>
      </c>
    </row>
    <row r="306" spans="1:10" ht="15" customHeight="1" x14ac:dyDescent="0.25">
      <c r="A306" s="8"/>
      <c r="B306" s="11">
        <f>MAX(הפחתה[[#This Row],[מס'']],הפחתה5[[#This Row],[מס'']],הפחתה7[[#This Row],[מס'']],הפחתה8[[#This Row],[מס'']])</f>
        <v>303</v>
      </c>
      <c r="C306" s="12">
        <f ca="1">IF(ValuesEntered,IF(הפחתה23[[#This Row],[מס'']]&lt;=תקופת_ההלוואה,IF(ROW()-ROW(הפחתה[[#Headers],[תאריך]])=1,LoanStart,IF(I305&gt;0,EDATE(C305,1),"")),""),"")</f>
        <v>54575</v>
      </c>
      <c r="D306" s="13">
        <f ca="1">SUM(הפחתה[[#This Row],[יתרת פתיחה]],הפחתה5[[#This Row],[יתרת פתיחה]],הפחתה7[[#This Row],[יתרת פתיחה]],הפחתה8[[#This Row],[יתרת פתיחה]])</f>
        <v>170149.79731129631</v>
      </c>
      <c r="E306" s="13">
        <f ca="1">SUM(הפחתה[[#This Row],[ריבית]],הפחתה5[[#This Row],[ריבית]],הפחתה7[[#This Row],[ריבית]],הפחתה8[[#This Row],[ריבית]])</f>
        <v>740.09846747974223</v>
      </c>
      <c r="F306" s="13">
        <f ca="1">SUM(הפחתה[[#This Row],[קרן]],הפחתה5[[#This Row],[קרן]],הפחתה7[[#This Row],[קרן]],הפחתה8[[#This Row],[קרן]])</f>
        <v>2580.3329762603262</v>
      </c>
      <c r="G306" s="13">
        <f ca="1">IF(הפחתה23[[#This Row],[תאריך]]="",0,PropertyTaxAmount)</f>
        <v>0</v>
      </c>
      <c r="H306" s="13">
        <f ca="1">IF(הפחתה23[[#This Row],[תאריך]]="",0,הפחתה23[[#This Row],[ריבית]]+הפחתה23[[#This Row],[קרן]]+הפחתה23[[#This Row],[מס
רכוש]])</f>
        <v>3320.4314437400685</v>
      </c>
      <c r="I306" s="13">
        <f ca="1">IF(הפחתה23[[#This Row],[תאריך]]="",0,הפחתה23[[#This Row],[יתרת פתיחה]]-הפחתה23[[#This Row],[קרן]])</f>
        <v>167569.46433503597</v>
      </c>
      <c r="J306" s="11">
        <f ca="1">MAX(הפחתה[[#This Row],[תשלומים
שנותרו]],הפחתה5[[#This Row],[תשלומים
שנותרו]],הפחתה7[[#This Row],[תשלומים
שנותרו]],הפחתה8[[#This Row],[תשלומים
שנותרו]])</f>
        <v>57</v>
      </c>
    </row>
    <row r="307" spans="1:10" ht="15" customHeight="1" x14ac:dyDescent="0.25">
      <c r="A307" s="8"/>
      <c r="B307" s="11">
        <f>MAX(הפחתה[[#This Row],[מס'']],הפחתה5[[#This Row],[מס'']],הפחתה7[[#This Row],[מס'']],הפחתה8[[#This Row],[מס'']])</f>
        <v>304</v>
      </c>
      <c r="C307" s="12">
        <f ca="1">IF(ValuesEntered,IF(הפחתה23[[#This Row],[מס'']]&lt;=תקופת_ההלוואה,IF(ROW()-ROW(הפחתה[[#Headers],[תאריך]])=1,LoanStart,IF(I306&gt;0,EDATE(C306,1),"")),""),"")</f>
        <v>54605</v>
      </c>
      <c r="D307" s="13">
        <f ca="1">SUM(הפחתה[[#This Row],[יתרת פתיחה]],הפחתה5[[#This Row],[יתרת פתיחה]],הפחתה7[[#This Row],[יתרת פתיחה]],הפחתה8[[#This Row],[יתרת פתיחה]])</f>
        <v>167569.46433503597</v>
      </c>
      <c r="E307" s="13">
        <f ca="1">SUM(הפחתה[[#This Row],[ריבית]],הפחתה5[[#This Row],[ריבית]],הפחתה7[[#This Row],[ריבית]],הפחתה8[[#This Row],[ריבית]])</f>
        <v>728.65166242257646</v>
      </c>
      <c r="F307" s="13">
        <f ca="1">SUM(הפחתה[[#This Row],[קרן]],הפחתה5[[#This Row],[קרן]],הפחתה7[[#This Row],[קרן]],הפחתה8[[#This Row],[קרן]])</f>
        <v>2591.7294469054755</v>
      </c>
      <c r="G307" s="13">
        <f ca="1">IF(הפחתה23[[#This Row],[תאריך]]="",0,PropertyTaxAmount)</f>
        <v>0</v>
      </c>
      <c r="H307" s="13">
        <f ca="1">IF(הפחתה23[[#This Row],[תאריך]]="",0,הפחתה23[[#This Row],[ריבית]]+הפחתה23[[#This Row],[קרן]]+הפחתה23[[#This Row],[מס
רכוש]])</f>
        <v>3320.3811093280519</v>
      </c>
      <c r="I307" s="13">
        <f ca="1">IF(הפחתה23[[#This Row],[תאריך]]="",0,הפחתה23[[#This Row],[יתרת פתיחה]]-הפחתה23[[#This Row],[קרן]])</f>
        <v>164977.73488813051</v>
      </c>
      <c r="J307" s="11">
        <f ca="1">MAX(הפחתה[[#This Row],[תשלומים
שנותרו]],הפחתה5[[#This Row],[תשלומים
שנותרו]],הפחתה7[[#This Row],[תשלומים
שנותרו]],הפחתה8[[#This Row],[תשלומים
שנותרו]])</f>
        <v>56</v>
      </c>
    </row>
    <row r="308" spans="1:10" ht="15" customHeight="1" x14ac:dyDescent="0.25">
      <c r="A308" s="8"/>
      <c r="B308" s="11">
        <f>MAX(הפחתה[[#This Row],[מס'']],הפחתה5[[#This Row],[מס'']],הפחתה7[[#This Row],[מס'']],הפחתה8[[#This Row],[מס'']])</f>
        <v>305</v>
      </c>
      <c r="C308" s="12">
        <f ca="1">IF(ValuesEntered,IF(הפחתה23[[#This Row],[מס'']]&lt;=תקופת_ההלוואה,IF(ROW()-ROW(הפחתה[[#Headers],[תאריך]])=1,LoanStart,IF(I307&gt;0,EDATE(C307,1),"")),""),"")</f>
        <v>54636</v>
      </c>
      <c r="D308" s="13">
        <f ca="1">SUM(הפחתה[[#This Row],[יתרת פתיחה]],הפחתה5[[#This Row],[יתרת פתיחה]],הפחתה7[[#This Row],[יתרת פתיחה]],הפחתה8[[#This Row],[יתרת פתיחה]])</f>
        <v>164977.73488813051</v>
      </c>
      <c r="E308" s="13">
        <f ca="1">SUM(הפחתה[[#This Row],[ריבית]],הפחתה5[[#This Row],[ריבית]],הפחתה7[[#This Row],[ריבית]],הפחתה8[[#This Row],[ריבית]])</f>
        <v>717.15430064307475</v>
      </c>
      <c r="F308" s="13">
        <f ca="1">SUM(הפחתה[[#This Row],[קרן]],הפחתה5[[#This Row],[קרן]],הפחתה7[[#This Row],[קרן]],הפחתה8[[#This Row],[קרן]])</f>
        <v>2603.1762519626423</v>
      </c>
      <c r="G308" s="13">
        <f ca="1">IF(הפחתה23[[#This Row],[תאריך]]="",0,PropertyTaxAmount)</f>
        <v>0</v>
      </c>
      <c r="H308" s="13">
        <f ca="1">IF(הפחתה23[[#This Row],[תאריך]]="",0,הפחתה23[[#This Row],[ריבית]]+הפחתה23[[#This Row],[קרן]]+הפחתה23[[#This Row],[מס
רכוש]])</f>
        <v>3320.330552605717</v>
      </c>
      <c r="I308" s="13">
        <f ca="1">IF(הפחתה23[[#This Row],[תאריך]]="",0,הפחתה23[[#This Row],[יתרת פתיחה]]-הפחתה23[[#This Row],[קרן]])</f>
        <v>162374.55863616787</v>
      </c>
      <c r="J308" s="11">
        <f ca="1">MAX(הפחתה[[#This Row],[תשלומים
שנותרו]],הפחתה5[[#This Row],[תשלומים
שנותרו]],הפחתה7[[#This Row],[תשלומים
שנותרו]],הפחתה8[[#This Row],[תשלומים
שנותרו]])</f>
        <v>55</v>
      </c>
    </row>
    <row r="309" spans="1:10" ht="15" customHeight="1" x14ac:dyDescent="0.25">
      <c r="A309" s="8"/>
      <c r="B309" s="11">
        <f>MAX(הפחתה[[#This Row],[מס'']],הפחתה5[[#This Row],[מס'']],הפחתה7[[#This Row],[מס'']],הפחתה8[[#This Row],[מס'']])</f>
        <v>306</v>
      </c>
      <c r="C309" s="12">
        <f ca="1">IF(ValuesEntered,IF(הפחתה23[[#This Row],[מס'']]&lt;=תקופת_ההלוואה,IF(ROW()-ROW(הפחתה[[#Headers],[תאריך]])=1,LoanStart,IF(I308&gt;0,EDATE(C308,1),"")),""),"")</f>
        <v>54667</v>
      </c>
      <c r="D309" s="13">
        <f ca="1">SUM(הפחתה[[#This Row],[יתרת פתיחה]],הפחתה5[[#This Row],[יתרת פתיחה]],הפחתה7[[#This Row],[יתרת פתיחה]],הפחתה8[[#This Row],[יתרת פתיחה]])</f>
        <v>162374.55863616787</v>
      </c>
      <c r="E309" s="13">
        <f ca="1">SUM(הפחתה[[#This Row],[ריבית]],הפחתה5[[#This Row],[ריבית]],הפחתה7[[#This Row],[ריבית]],הפחתה8[[#This Row],[ריבית]])</f>
        <v>705.60615884904701</v>
      </c>
      <c r="F309" s="13">
        <f ca="1">SUM(הפחתה[[#This Row],[קרן]],הפחתה5[[#This Row],[קרן]],הפחתה7[[#This Row],[קרן]],הפחתה8[[#This Row],[קרן]])</f>
        <v>2614.673613742144</v>
      </c>
      <c r="G309" s="13">
        <f ca="1">IF(הפחתה23[[#This Row],[תאריך]]="",0,PropertyTaxAmount)</f>
        <v>0</v>
      </c>
      <c r="H309" s="13">
        <f ca="1">IF(הפחתה23[[#This Row],[תאריך]]="",0,הפחתה23[[#This Row],[ריבית]]+הפחתה23[[#This Row],[קרן]]+הפחתה23[[#This Row],[מס
רכוש]])</f>
        <v>3320.279772591191</v>
      </c>
      <c r="I309" s="13">
        <f ca="1">IF(הפחתה23[[#This Row],[תאריך]]="",0,הפחתה23[[#This Row],[יתרת פתיחה]]-הפחתה23[[#This Row],[קרן]])</f>
        <v>159759.88502242573</v>
      </c>
      <c r="J309" s="11">
        <f ca="1">MAX(הפחתה[[#This Row],[תשלומים
שנותרו]],הפחתה5[[#This Row],[תשלומים
שנותרו]],הפחתה7[[#This Row],[תשלומים
שנותרו]],הפחתה8[[#This Row],[תשלומים
שנותרו]])</f>
        <v>54</v>
      </c>
    </row>
    <row r="310" spans="1:10" ht="15" customHeight="1" x14ac:dyDescent="0.25">
      <c r="A310" s="8"/>
      <c r="B310" s="11">
        <f>MAX(הפחתה[[#This Row],[מס'']],הפחתה5[[#This Row],[מס'']],הפחתה7[[#This Row],[מס'']],הפחתה8[[#This Row],[מס'']])</f>
        <v>307</v>
      </c>
      <c r="C310" s="12">
        <f ca="1">IF(ValuesEntered,IF(הפחתה23[[#This Row],[מס'']]&lt;=תקופת_ההלוואה,IF(ROW()-ROW(הפחתה[[#Headers],[תאריך]])=1,LoanStart,IF(I309&gt;0,EDATE(C309,1),"")),""),"")</f>
        <v>54697</v>
      </c>
      <c r="D310" s="13">
        <f ca="1">SUM(הפחתה[[#This Row],[יתרת פתיחה]],הפחתה5[[#This Row],[יתרת פתיחה]],הפחתה7[[#This Row],[יתרת פתיחה]],הפחתה8[[#This Row],[יתרת פתיחה]])</f>
        <v>159759.88502242573</v>
      </c>
      <c r="E310" s="13">
        <f ca="1">SUM(הפחתה[[#This Row],[ריבית]],הפחתה5[[#This Row],[ריבית]],הפחתה7[[#This Row],[ריבית]],הפחתה8[[#This Row],[ריבית]])</f>
        <v>694.00701276209554</v>
      </c>
      <c r="F310" s="13">
        <f ca="1">SUM(הפחתה[[#This Row],[קרן]],הפחתה5[[#This Row],[קרן]],הפחתה7[[#This Row],[קרן]],הפחתה8[[#This Row],[קרן]])</f>
        <v>2626.2217555361722</v>
      </c>
      <c r="G310" s="13">
        <f ca="1">IF(הפחתה23[[#This Row],[תאריך]]="",0,PropertyTaxAmount)</f>
        <v>0</v>
      </c>
      <c r="H310" s="13">
        <f ca="1">IF(הפחתה23[[#This Row],[תאריך]]="",0,הפחתה23[[#This Row],[ריבית]]+הפחתה23[[#This Row],[קרן]]+הפחתה23[[#This Row],[מס
רכוש]])</f>
        <v>3320.2287682982678</v>
      </c>
      <c r="I310" s="13">
        <f ca="1">IF(הפחתה23[[#This Row],[תאריך]]="",0,הפחתה23[[#This Row],[יתרת פתיחה]]-הפחתה23[[#This Row],[קרן]])</f>
        <v>157133.66326688955</v>
      </c>
      <c r="J310" s="11">
        <f ca="1">MAX(הפחתה[[#This Row],[תשלומים
שנותרו]],הפחתה5[[#This Row],[תשלומים
שנותרו]],הפחתה7[[#This Row],[תשלומים
שנותרו]],הפחתה8[[#This Row],[תשלומים
שנותרו]])</f>
        <v>53</v>
      </c>
    </row>
    <row r="311" spans="1:10" ht="15" customHeight="1" x14ac:dyDescent="0.25">
      <c r="A311" s="8"/>
      <c r="B311" s="11">
        <f>MAX(הפחתה[[#This Row],[מס'']],הפחתה5[[#This Row],[מס'']],הפחתה7[[#This Row],[מס'']],הפחתה8[[#This Row],[מס'']])</f>
        <v>308</v>
      </c>
      <c r="C311" s="12">
        <f ca="1">IF(ValuesEntered,IF(הפחתה23[[#This Row],[מס'']]&lt;=תקופת_ההלוואה,IF(ROW()-ROW(הפחתה[[#Headers],[תאריך]])=1,LoanStart,IF(I310&gt;0,EDATE(C310,1),"")),""),"")</f>
        <v>54728</v>
      </c>
      <c r="D311" s="13">
        <f ca="1">SUM(הפחתה[[#This Row],[יתרת פתיחה]],הפחתה5[[#This Row],[יתרת פתיחה]],הפחתה7[[#This Row],[יתרת פתיחה]],הפחתה8[[#This Row],[יתרת פתיחה]])</f>
        <v>157133.66326688955</v>
      </c>
      <c r="E311" s="13">
        <f ca="1">SUM(הפחתה[[#This Row],[ריבית]],הפחתה5[[#This Row],[ריבית]],הפחתה7[[#This Row],[ריבית]],הפחתה8[[#This Row],[ריבית]])</f>
        <v>682.35663711326015</v>
      </c>
      <c r="F311" s="13">
        <f ca="1">SUM(הפחתה[[#This Row],[קרן]],הפחתה5[[#This Row],[קרן]],הפחתה7[[#This Row],[קרן]],הפחתה8[[#This Row],[קרן]])</f>
        <v>2637.8209016231231</v>
      </c>
      <c r="G311" s="13">
        <f ca="1">IF(הפחתה23[[#This Row],[תאריך]]="",0,PropertyTaxAmount)</f>
        <v>0</v>
      </c>
      <c r="H311" s="13">
        <f ca="1">IF(הפחתה23[[#This Row],[תאריך]]="",0,הפחתה23[[#This Row],[ריבית]]+הפחתה23[[#This Row],[קרן]]+הפחתה23[[#This Row],[מס
רכוש]])</f>
        <v>3320.1775387363832</v>
      </c>
      <c r="I311" s="13">
        <f ca="1">IF(הפחתה23[[#This Row],[תאריך]]="",0,הפחתה23[[#This Row],[יתרת פתיחה]]-הפחתה23[[#This Row],[קרן]])</f>
        <v>154495.84236526644</v>
      </c>
      <c r="J311" s="11">
        <f ca="1">MAX(הפחתה[[#This Row],[תשלומים
שנותרו]],הפחתה5[[#This Row],[תשלומים
שנותרו]],הפחתה7[[#This Row],[תשלומים
שנותרו]],הפחתה8[[#This Row],[תשלומים
שנותרו]])</f>
        <v>52</v>
      </c>
    </row>
    <row r="312" spans="1:10" ht="15" customHeight="1" x14ac:dyDescent="0.25">
      <c r="A312" s="8"/>
      <c r="B312" s="11">
        <f>MAX(הפחתה[[#This Row],[מס'']],הפחתה5[[#This Row],[מס'']],הפחתה7[[#This Row],[מס'']],הפחתה8[[#This Row],[מס'']])</f>
        <v>309</v>
      </c>
      <c r="C312" s="12">
        <f ca="1">IF(ValuesEntered,IF(הפחתה23[[#This Row],[מס'']]&lt;=תקופת_ההלוואה,IF(ROW()-ROW(הפחתה[[#Headers],[תאריך]])=1,LoanStart,IF(I311&gt;0,EDATE(C311,1),"")),""),"")</f>
        <v>54758</v>
      </c>
      <c r="D312" s="13">
        <f ca="1">SUM(הפחתה[[#This Row],[יתרת פתיחה]],הפחתה5[[#This Row],[יתרת פתיחה]],הפחתה7[[#This Row],[יתרת פתיחה]],הפחתה8[[#This Row],[יתרת פתיחה]])</f>
        <v>154495.84236526644</v>
      </c>
      <c r="E312" s="13">
        <f ca="1">SUM(הפחתה[[#This Row],[ריבית]],הפחתה5[[#This Row],[ריבית]],הפחתה7[[#This Row],[ריבית]],הפחתה8[[#This Row],[ריבית]])</f>
        <v>670.6548056386423</v>
      </c>
      <c r="F312" s="13">
        <f ca="1">SUM(הפחתה[[#This Row],[קרן]],הפחתה5[[#This Row],[קרן]],הפחתה7[[#This Row],[קרן]],הפחתה8[[#This Row],[קרן]])</f>
        <v>2649.4712772719595</v>
      </c>
      <c r="G312" s="13">
        <f ca="1">IF(הפחתה23[[#This Row],[תאריך]]="",0,PropertyTaxAmount)</f>
        <v>0</v>
      </c>
      <c r="H312" s="13">
        <f ca="1">IF(הפחתה23[[#This Row],[תאריך]]="",0,הפחתה23[[#This Row],[ריבית]]+הפחתה23[[#This Row],[קרן]]+הפחתה23[[#This Row],[מס
רכוש]])</f>
        <v>3320.1260829106018</v>
      </c>
      <c r="I312" s="13">
        <f ca="1">IF(הפחתה23[[#This Row],[תאריך]]="",0,הפחתה23[[#This Row],[יתרת פתיחה]]-הפחתה23[[#This Row],[קרן]])</f>
        <v>151846.37108799448</v>
      </c>
      <c r="J312" s="11">
        <f ca="1">MAX(הפחתה[[#This Row],[תשלומים
שנותרו]],הפחתה5[[#This Row],[תשלומים
שנותרו]],הפחתה7[[#This Row],[תשלומים
שנותרו]],הפחתה8[[#This Row],[תשלומים
שנותרו]])</f>
        <v>51</v>
      </c>
    </row>
    <row r="313" spans="1:10" ht="15" customHeight="1" x14ac:dyDescent="0.25">
      <c r="A313" s="8"/>
      <c r="B313" s="11">
        <f>MAX(הפחתה[[#This Row],[מס'']],הפחתה5[[#This Row],[מס'']],הפחתה7[[#This Row],[מס'']],הפחתה8[[#This Row],[מס'']])</f>
        <v>310</v>
      </c>
      <c r="C313" s="12">
        <f ca="1">IF(ValuesEntered,IF(הפחתה23[[#This Row],[מס'']]&lt;=תקופת_ההלוואה,IF(ROW()-ROW(הפחתה[[#Headers],[תאריך]])=1,LoanStart,IF(I312&gt;0,EDATE(C312,1),"")),""),"")</f>
        <v>54789</v>
      </c>
      <c r="D313" s="13">
        <f ca="1">SUM(הפחתה[[#This Row],[יתרת פתיחה]],הפחתה5[[#This Row],[יתרת פתיחה]],הפחתה7[[#This Row],[יתרת פתיחה]],הפחתה8[[#This Row],[יתרת פתיחה]])</f>
        <v>151846.37108799448</v>
      </c>
      <c r="E313" s="13">
        <f ca="1">SUM(הפחתה[[#This Row],[ריבית]],הפחתה5[[#This Row],[ריבית]],הפחתה7[[#This Row],[ריבית]],הפחתה8[[#This Row],[ריבית]])</f>
        <v>658.90129107501161</v>
      </c>
      <c r="F313" s="13">
        <f ca="1">SUM(הפחתה[[#This Row],[קרן]],הפחתה5[[#This Row],[קרן]],הפחתה7[[#This Row],[קרן]],הפחתה8[[#This Row],[קרן]])</f>
        <v>2661.1731087465773</v>
      </c>
      <c r="G313" s="13">
        <f ca="1">IF(הפחתה23[[#This Row],[תאריך]]="",0,PropertyTaxAmount)</f>
        <v>0</v>
      </c>
      <c r="H313" s="13">
        <f ca="1">IF(הפחתה23[[#This Row],[תאריך]]="",0,הפחתה23[[#This Row],[ריבית]]+הפחתה23[[#This Row],[קרן]]+הפחתה23[[#This Row],[מס
רכוש]])</f>
        <v>3320.0743998215889</v>
      </c>
      <c r="I313" s="13">
        <f ca="1">IF(הפחתה23[[#This Row],[תאריך]]="",0,הפחתה23[[#This Row],[יתרת פתיחה]]-הפחתה23[[#This Row],[קרן]])</f>
        <v>149185.1979792479</v>
      </c>
      <c r="J313" s="11">
        <f ca="1">MAX(הפחתה[[#This Row],[תשלומים
שנותרו]],הפחתה5[[#This Row],[תשלומים
שנותרו]],הפחתה7[[#This Row],[תשלומים
שנותרו]],הפחתה8[[#This Row],[תשלומים
שנותרו]])</f>
        <v>50</v>
      </c>
    </row>
    <row r="314" spans="1:10" ht="15" customHeight="1" x14ac:dyDescent="0.25">
      <c r="A314" s="8"/>
      <c r="B314" s="11">
        <f>MAX(הפחתה[[#This Row],[מס'']],הפחתה5[[#This Row],[מס'']],הפחתה7[[#This Row],[מס'']],הפחתה8[[#This Row],[מס'']])</f>
        <v>311</v>
      </c>
      <c r="C314" s="12">
        <f ca="1">IF(ValuesEntered,IF(הפחתה23[[#This Row],[מס'']]&lt;=תקופת_ההלוואה,IF(ROW()-ROW(הפחתה[[#Headers],[תאריך]])=1,LoanStart,IF(I313&gt;0,EDATE(C313,1),"")),""),"")</f>
        <v>54820</v>
      </c>
      <c r="D314" s="13">
        <f ca="1">SUM(הפחתה[[#This Row],[יתרת פתיחה]],הפחתה5[[#This Row],[יתרת פתיחה]],הפחתה7[[#This Row],[יתרת פתיחה]],הפחתה8[[#This Row],[יתרת פתיחה]])</f>
        <v>149185.1979792479</v>
      </c>
      <c r="E314" s="13">
        <f ca="1">SUM(הפחתה[[#This Row],[ריבית]],הפחתה5[[#This Row],[ריבית]],הפחתה7[[#This Row],[ריבית]],הפחתה8[[#This Row],[ריבית]])</f>
        <v>647.09586515539149</v>
      </c>
      <c r="F314" s="13">
        <f ca="1">SUM(הפחתה[[#This Row],[קרן]],הפחתה5[[#This Row],[קרן]],הפחתה7[[#This Row],[קרן]],הפחתה8[[#This Row],[קרן]])</f>
        <v>2672.9266233102067</v>
      </c>
      <c r="G314" s="13">
        <f ca="1">IF(הפחתה23[[#This Row],[תאריך]]="",0,PropertyTaxAmount)</f>
        <v>0</v>
      </c>
      <c r="H314" s="13">
        <f ca="1">IF(הפחתה23[[#This Row],[תאריך]]="",0,הפחתה23[[#This Row],[ריבית]]+הפחתה23[[#This Row],[קרן]]+הפחתה23[[#This Row],[מס
רכוש]])</f>
        <v>3320.0224884655981</v>
      </c>
      <c r="I314" s="13">
        <f ca="1">IF(הפחתה23[[#This Row],[תאריך]]="",0,הפחתה23[[#This Row],[יתרת פתיחה]]-הפחתה23[[#This Row],[קרן]])</f>
        <v>146512.2713559377</v>
      </c>
      <c r="J314" s="11">
        <f ca="1">MAX(הפחתה[[#This Row],[תשלומים
שנותרו]],הפחתה5[[#This Row],[תשלומים
שנותרו]],הפחתה7[[#This Row],[תשלומים
שנותרו]],הפחתה8[[#This Row],[תשלומים
שנותרו]])</f>
        <v>49</v>
      </c>
    </row>
    <row r="315" spans="1:10" ht="15" customHeight="1" x14ac:dyDescent="0.25">
      <c r="A315" s="8"/>
      <c r="B315" s="11">
        <f>MAX(הפחתה[[#This Row],[מס'']],הפחתה5[[#This Row],[מס'']],הפחתה7[[#This Row],[מס'']],הפחתה8[[#This Row],[מס'']])</f>
        <v>312</v>
      </c>
      <c r="C315" s="12">
        <f ca="1">IF(ValuesEntered,IF(הפחתה23[[#This Row],[מס'']]&lt;=תקופת_ההלוואה,IF(ROW()-ROW(הפחתה[[#Headers],[תאריך]])=1,LoanStart,IF(I314&gt;0,EDATE(C314,1),"")),""),"")</f>
        <v>54848</v>
      </c>
      <c r="D315" s="13">
        <f ca="1">SUM(הפחתה[[#This Row],[יתרת פתיחה]],הפחתה5[[#This Row],[יתרת פתיחה]],הפחתה7[[#This Row],[יתרת פתיחה]],הפחתה8[[#This Row],[יתרת פתיחה]])</f>
        <v>146512.2713559377</v>
      </c>
      <c r="E315" s="13">
        <f ca="1">SUM(הפחתה[[#This Row],[ריבית]],הפחתה5[[#This Row],[ריבית]],הפחתה7[[#This Row],[ריבית]],הפחתה8[[#This Row],[ריבית]])</f>
        <v>635.23829860462649</v>
      </c>
      <c r="F315" s="13">
        <f ca="1">SUM(הפחתה[[#This Row],[קרן]],הפחתה5[[#This Row],[קרן]],הפחתה7[[#This Row],[קרן]],הפחתה8[[#This Row],[קרן]])</f>
        <v>2684.7320492298272</v>
      </c>
      <c r="G315" s="13">
        <f ca="1">IF(הפחתה23[[#This Row],[תאריך]]="",0,PropertyTaxAmount)</f>
        <v>0</v>
      </c>
      <c r="H315" s="13">
        <f ca="1">IF(הפחתה23[[#This Row],[תאריך]]="",0,הפחתה23[[#This Row],[ריבית]]+הפחתה23[[#This Row],[קרן]]+הפחתה23[[#This Row],[מס
רכוש]])</f>
        <v>3319.9703478344536</v>
      </c>
      <c r="I315" s="13">
        <f ca="1">IF(הפחתה23[[#This Row],[תאריך]]="",0,הפחתה23[[#This Row],[יתרת פתיחה]]-הפחתה23[[#This Row],[קרן]])</f>
        <v>143827.53930670788</v>
      </c>
      <c r="J315" s="11">
        <f ca="1">MAX(הפחתה[[#This Row],[תשלומים
שנותרו]],הפחתה5[[#This Row],[תשלומים
שנותרו]],הפחתה7[[#This Row],[תשלומים
שנותרו]],הפחתה8[[#This Row],[תשלומים
שנותרו]])</f>
        <v>48</v>
      </c>
    </row>
    <row r="316" spans="1:10" ht="15" customHeight="1" x14ac:dyDescent="0.25">
      <c r="A316" s="8"/>
      <c r="B316" s="11">
        <f>MAX(הפחתה[[#This Row],[מס'']],הפחתה5[[#This Row],[מס'']],הפחתה7[[#This Row],[מס'']],הפחתה8[[#This Row],[מס'']])</f>
        <v>313</v>
      </c>
      <c r="C316" s="12">
        <f ca="1">IF(ValuesEntered,IF(הפחתה23[[#This Row],[מס'']]&lt;=תקופת_ההלוואה,IF(ROW()-ROW(הפחתה[[#Headers],[תאריך]])=1,LoanStart,IF(I315&gt;0,EDATE(C315,1),"")),""),"")</f>
        <v>54879</v>
      </c>
      <c r="D316" s="13">
        <f ca="1">SUM(הפחתה[[#This Row],[יתרת פתיחה]],הפחתה5[[#This Row],[יתרת פתיחה]],הפחתה7[[#This Row],[יתרת פתיחה]],הפחתה8[[#This Row],[יתרת פתיחה]])</f>
        <v>143827.53930670788</v>
      </c>
      <c r="E316" s="13">
        <f ca="1">SUM(הפחתה[[#This Row],[ריבית]],הפחתה5[[#This Row],[ריבית]],הפחתה7[[#This Row],[ריבית]],הפחתה8[[#This Row],[ריבית]])</f>
        <v>623.32836113492885</v>
      </c>
      <c r="F316" s="13">
        <f ca="1">SUM(הפחתה[[#This Row],[קרן]],הפחתה5[[#This Row],[קרן]],הפחתה7[[#This Row],[קרן]],הפחתה8[[#This Row],[קרן]])</f>
        <v>2696.5896157805928</v>
      </c>
      <c r="G316" s="13">
        <f ca="1">IF(הפחתה23[[#This Row],[תאריך]]="",0,PropertyTaxAmount)</f>
        <v>0</v>
      </c>
      <c r="H316" s="13">
        <f ca="1">IF(הפחתה23[[#This Row],[תאריך]]="",0,הפחתה23[[#This Row],[ריבית]]+הפחתה23[[#This Row],[קרן]]+הפחתה23[[#This Row],[מס
רכוש]])</f>
        <v>3319.9179769155216</v>
      </c>
      <c r="I316" s="13">
        <f ca="1">IF(הפחתה23[[#This Row],[תאריך]]="",0,הפחתה23[[#This Row],[יתרת פתיחה]]-הפחתה23[[#This Row],[קרן]])</f>
        <v>141130.94969092729</v>
      </c>
      <c r="J316" s="11">
        <f ca="1">MAX(הפחתה[[#This Row],[תשלומים
שנותרו]],הפחתה5[[#This Row],[תשלומים
שנותרו]],הפחתה7[[#This Row],[תשלומים
שנותרו]],הפחתה8[[#This Row],[תשלומים
שנותרו]])</f>
        <v>47</v>
      </c>
    </row>
    <row r="317" spans="1:10" ht="15" customHeight="1" x14ac:dyDescent="0.25">
      <c r="A317" s="8"/>
      <c r="B317" s="11">
        <f>MAX(הפחתה[[#This Row],[מס'']],הפחתה5[[#This Row],[מס'']],הפחתה7[[#This Row],[מס'']],הפחתה8[[#This Row],[מס'']])</f>
        <v>314</v>
      </c>
      <c r="C317" s="12">
        <f ca="1">IF(ValuesEntered,IF(הפחתה23[[#This Row],[מס'']]&lt;=תקופת_ההלוואה,IF(ROW()-ROW(הפחתה[[#Headers],[תאריך]])=1,LoanStart,IF(I316&gt;0,EDATE(C316,1),"")),""),"")</f>
        <v>54909</v>
      </c>
      <c r="D317" s="13">
        <f ca="1">SUM(הפחתה[[#This Row],[יתרת פתיחה]],הפחתה5[[#This Row],[יתרת פתיחה]],הפחתה7[[#This Row],[יתרת פתיחה]],הפחתה8[[#This Row],[יתרת פתיחה]])</f>
        <v>141130.94969092729</v>
      </c>
      <c r="E317" s="13">
        <f ca="1">SUM(הפחתה[[#This Row],[ריבית]],הפחתה5[[#This Row],[ריבית]],הפחתה7[[#This Row],[ריבית]],הפחתה8[[#This Row],[ריבית]])</f>
        <v>611.36582144140675</v>
      </c>
      <c r="F317" s="13">
        <f ca="1">SUM(הפחתה[[#This Row],[קרן]],הפחתה5[[#This Row],[קרן]],הפחתה7[[#This Row],[קרן]],הפחתה8[[#This Row],[קרן]])</f>
        <v>2708.4995532502908</v>
      </c>
      <c r="G317" s="13">
        <f ca="1">IF(הפחתה23[[#This Row],[תאריך]]="",0,PropertyTaxAmount)</f>
        <v>0</v>
      </c>
      <c r="H317" s="13">
        <f ca="1">IF(הפחתה23[[#This Row],[תאריך]]="",0,הפחתה23[[#This Row],[ריבית]]+הפחתה23[[#This Row],[קרן]]+הפחתה23[[#This Row],[מס
רכוש]])</f>
        <v>3319.8653746916975</v>
      </c>
      <c r="I317" s="13">
        <f ca="1">IF(הפחתה23[[#This Row],[תאריך]]="",0,הפחתה23[[#This Row],[יתרת פתיחה]]-הפחתה23[[#This Row],[קרן]])</f>
        <v>138422.45013767699</v>
      </c>
      <c r="J317" s="11">
        <f ca="1">MAX(הפחתה[[#This Row],[תשלומים
שנותרו]],הפחתה5[[#This Row],[תשלומים
שנותרו]],הפחתה7[[#This Row],[תשלומים
שנותרו]],הפחתה8[[#This Row],[תשלומים
שנותרו]])</f>
        <v>46</v>
      </c>
    </row>
    <row r="318" spans="1:10" ht="15" customHeight="1" x14ac:dyDescent="0.25">
      <c r="A318" s="8"/>
      <c r="B318" s="11">
        <f>MAX(הפחתה[[#This Row],[מס'']],הפחתה5[[#This Row],[מס'']],הפחתה7[[#This Row],[מס'']],הפחתה8[[#This Row],[מס'']])</f>
        <v>315</v>
      </c>
      <c r="C318" s="12">
        <f ca="1">IF(ValuesEntered,IF(הפחתה23[[#This Row],[מס'']]&lt;=תקופת_ההלוואה,IF(ROW()-ROW(הפחתה[[#Headers],[תאריך]])=1,LoanStart,IF(I317&gt;0,EDATE(C317,1),"")),""),"")</f>
        <v>54940</v>
      </c>
      <c r="D318" s="13">
        <f ca="1">SUM(הפחתה[[#This Row],[יתרת פתיחה]],הפחתה5[[#This Row],[יתרת פתיחה]],הפחתה7[[#This Row],[יתרת פתיחה]],הפחתה8[[#This Row],[יתרת פתיחה]])</f>
        <v>138422.45013767699</v>
      </c>
      <c r="E318" s="13">
        <f ca="1">SUM(הפחתה[[#This Row],[ריבית]],הפחתה5[[#This Row],[ריבית]],הפחתה7[[#This Row],[ריבית]],הפחתה8[[#This Row],[ריבית]])</f>
        <v>599.35044719757161</v>
      </c>
      <c r="F318" s="13">
        <f ca="1">SUM(הפחתה[[#This Row],[קרן]],הפחתה5[[#This Row],[קרן]],הפחתה7[[#This Row],[קרן]],הפחתה8[[#This Row],[קרן]])</f>
        <v>2720.462092943812</v>
      </c>
      <c r="G318" s="13">
        <f ca="1">IF(הפחתה23[[#This Row],[תאריך]]="",0,PropertyTaxAmount)</f>
        <v>0</v>
      </c>
      <c r="H318" s="13">
        <f ca="1">IF(הפחתה23[[#This Row],[תאריך]]="",0,הפחתה23[[#This Row],[ריבית]]+הפחתה23[[#This Row],[קרן]]+הפחתה23[[#This Row],[מס
רכוש]])</f>
        <v>3319.8125401413836</v>
      </c>
      <c r="I318" s="13">
        <f ca="1">IF(הפחתה23[[#This Row],[תאריך]]="",0,הפחתה23[[#This Row],[יתרת פתיחה]]-הפחתה23[[#This Row],[קרן]])</f>
        <v>135701.98804473318</v>
      </c>
      <c r="J318" s="11">
        <f ca="1">MAX(הפחתה[[#This Row],[תשלומים
שנותרו]],הפחתה5[[#This Row],[תשלומים
שנותרו]],הפחתה7[[#This Row],[תשלומים
שנותרו]],הפחתה8[[#This Row],[תשלומים
שנותרו]])</f>
        <v>45</v>
      </c>
    </row>
    <row r="319" spans="1:10" ht="15" customHeight="1" x14ac:dyDescent="0.25">
      <c r="A319" s="8"/>
      <c r="B319" s="11">
        <f>MAX(הפחתה[[#This Row],[מס'']],הפחתה5[[#This Row],[מס'']],הפחתה7[[#This Row],[מס'']],הפחתה8[[#This Row],[מס'']])</f>
        <v>316</v>
      </c>
      <c r="C319" s="12">
        <f ca="1">IF(ValuesEntered,IF(הפחתה23[[#This Row],[מס'']]&lt;=תקופת_ההלוואה,IF(ROW()-ROW(הפחתה[[#Headers],[תאריך]])=1,LoanStart,IF(I318&gt;0,EDATE(C318,1),"")),""),"")</f>
        <v>54970</v>
      </c>
      <c r="D319" s="13">
        <f ca="1">SUM(הפחתה[[#This Row],[יתרת פתיחה]],הפחתה5[[#This Row],[יתרת פתיחה]],הפחתה7[[#This Row],[יתרת פתיחה]],הפחתה8[[#This Row],[יתרת פתיחה]])</f>
        <v>135701.98804473318</v>
      </c>
      <c r="E319" s="13">
        <f ca="1">SUM(הפחתה[[#This Row],[ריבית]],הפחתה5[[#This Row],[ריבית]],הפחתה7[[#This Row],[ריבית]],הפחתה8[[#This Row],[ריבית]])</f>
        <v>587.28200505082611</v>
      </c>
      <c r="F319" s="13">
        <f ca="1">SUM(הפחתה[[#This Row],[קרן]],הפחתה5[[#This Row],[קרן]],הפחתה7[[#This Row],[קרן]],הפחתה8[[#This Row],[קרן]])</f>
        <v>2732.4774671876476</v>
      </c>
      <c r="G319" s="13">
        <f ca="1">IF(הפחתה23[[#This Row],[תאריך]]="",0,PropertyTaxAmount)</f>
        <v>0</v>
      </c>
      <c r="H319" s="13">
        <f ca="1">IF(הפחתה23[[#This Row],[תאריך]]="",0,הפחתה23[[#This Row],[ריבית]]+הפחתה23[[#This Row],[קרן]]+הפחתה23[[#This Row],[מס
רכוש]])</f>
        <v>3319.7594722384738</v>
      </c>
      <c r="I319" s="13">
        <f ca="1">IF(הפחתה23[[#This Row],[תאריך]]="",0,הפחתה23[[#This Row],[יתרת פתיחה]]-הפחתה23[[#This Row],[קרן]])</f>
        <v>132969.51057754553</v>
      </c>
      <c r="J319" s="11">
        <f ca="1">MAX(הפחתה[[#This Row],[תשלומים
שנותרו]],הפחתה5[[#This Row],[תשלומים
שנותרו]],הפחתה7[[#This Row],[תשלומים
שנותרו]],הפחתה8[[#This Row],[תשלומים
שנותרו]])</f>
        <v>44</v>
      </c>
    </row>
    <row r="320" spans="1:10" ht="15" customHeight="1" x14ac:dyDescent="0.25">
      <c r="A320" s="8"/>
      <c r="B320" s="11">
        <f>MAX(הפחתה[[#This Row],[מס'']],הפחתה5[[#This Row],[מס'']],הפחתה7[[#This Row],[מס'']],הפחתה8[[#This Row],[מס'']])</f>
        <v>317</v>
      </c>
      <c r="C320" s="12">
        <f ca="1">IF(ValuesEntered,IF(הפחתה23[[#This Row],[מס'']]&lt;=תקופת_ההלוואה,IF(ROW()-ROW(הפחתה[[#Headers],[תאריך]])=1,LoanStart,IF(I319&gt;0,EDATE(C319,1),"")),""),"")</f>
        <v>55001</v>
      </c>
      <c r="D320" s="13">
        <f ca="1">SUM(הפחתה[[#This Row],[יתרת פתיחה]],הפחתה5[[#This Row],[יתרת פתיחה]],הפחתה7[[#This Row],[יתרת פתיחה]],הפחתה8[[#This Row],[יתרת פתיחה]])</f>
        <v>132969.51057754553</v>
      </c>
      <c r="E320" s="13">
        <f ca="1">SUM(הפחתה[[#This Row],[ריבית]],הפחתה5[[#This Row],[ריבית]],הפחתה7[[#This Row],[ריבית]],הפחתה8[[#This Row],[ריבית]])</f>
        <v>575.16026061793252</v>
      </c>
      <c r="F320" s="13">
        <f ca="1">SUM(הפחתה[[#This Row],[קרן]],הפחתה5[[#This Row],[קרן]],הפחתה7[[#This Row],[קרן]],הפחתה8[[#This Row],[קרן]])</f>
        <v>2744.5459093343929</v>
      </c>
      <c r="G320" s="13">
        <f ca="1">IF(הפחתה23[[#This Row],[תאריך]]="",0,PropertyTaxAmount)</f>
        <v>0</v>
      </c>
      <c r="H320" s="13">
        <f ca="1">IF(הפחתה23[[#This Row],[תאריך]]="",0,הפחתה23[[#This Row],[ריבית]]+הפחתה23[[#This Row],[קרן]]+הפחתה23[[#This Row],[מס
רכוש]])</f>
        <v>3319.7061699523256</v>
      </c>
      <c r="I320" s="13">
        <f ca="1">IF(הפחתה23[[#This Row],[תאריך]]="",0,הפחתה23[[#This Row],[יתרת פתיחה]]-הפחתה23[[#This Row],[קרן]])</f>
        <v>130224.96466821113</v>
      </c>
      <c r="J320" s="11">
        <f ca="1">MAX(הפחתה[[#This Row],[תשלומים
שנותרו]],הפחתה5[[#This Row],[תשלומים
שנותרו]],הפחתה7[[#This Row],[תשלומים
שנותרו]],הפחתה8[[#This Row],[תשלומים
שנותרו]])</f>
        <v>43</v>
      </c>
    </row>
    <row r="321" spans="1:10" ht="15" customHeight="1" x14ac:dyDescent="0.25">
      <c r="A321" s="8"/>
      <c r="B321" s="11">
        <f>MAX(הפחתה[[#This Row],[מס'']],הפחתה5[[#This Row],[מס'']],הפחתה7[[#This Row],[מס'']],הפחתה8[[#This Row],[מס'']])</f>
        <v>318</v>
      </c>
      <c r="C321" s="12">
        <f ca="1">IF(ValuesEntered,IF(הפחתה23[[#This Row],[מס'']]&lt;=תקופת_ההלוואה,IF(ROW()-ROW(הפחתה[[#Headers],[תאריך]])=1,LoanStart,IF(I320&gt;0,EDATE(C320,1),"")),""),"")</f>
        <v>55032</v>
      </c>
      <c r="D321" s="13">
        <f ca="1">SUM(הפחתה[[#This Row],[יתרת פתיחה]],הפחתה5[[#This Row],[יתרת פתיחה]],הפחתה7[[#This Row],[יתרת פתיחה]],הפחתה8[[#This Row],[יתרת פתיחה]])</f>
        <v>130224.96466821113</v>
      </c>
      <c r="E321" s="13">
        <f ca="1">SUM(הפחתה[[#This Row],[ריבית]],הפחתה5[[#This Row],[ריבית]],הפחתה7[[#This Row],[ריבית]],הפחתה8[[#This Row],[ריבית]])</f>
        <v>562.98497848046043</v>
      </c>
      <c r="F321" s="13">
        <f ca="1">SUM(הפחתה[[#This Row],[קרן]],הפחתה5[[#This Row],[קרן]],הפחתה7[[#This Row],[קרן]],הפחתה8[[#This Row],[קרן]])</f>
        <v>2756.6676537672874</v>
      </c>
      <c r="G321" s="13">
        <f ca="1">IF(הפחתה23[[#This Row],[תאריך]]="",0,PropertyTaxAmount)</f>
        <v>0</v>
      </c>
      <c r="H321" s="13">
        <f ca="1">IF(הפחתה23[[#This Row],[תאריך]]="",0,הפחתה23[[#This Row],[ריבית]]+הפחתה23[[#This Row],[קרן]]+הפחתה23[[#This Row],[מס
רכוש]])</f>
        <v>3319.652632247748</v>
      </c>
      <c r="I321" s="13">
        <f ca="1">IF(הפחתה23[[#This Row],[תאריך]]="",0,הפחתה23[[#This Row],[יתרת פתיחה]]-הפחתה23[[#This Row],[קרן]])</f>
        <v>127468.29701444384</v>
      </c>
      <c r="J321" s="11">
        <f ca="1">MAX(הפחתה[[#This Row],[תשלומים
שנותרו]],הפחתה5[[#This Row],[תשלומים
שנותרו]],הפחתה7[[#This Row],[תשלומים
שנותרו]],הפחתה8[[#This Row],[תשלומים
שנותרו]])</f>
        <v>42</v>
      </c>
    </row>
    <row r="322" spans="1:10" ht="15" customHeight="1" x14ac:dyDescent="0.25">
      <c r="A322" s="8"/>
      <c r="B322" s="11">
        <f>MAX(הפחתה[[#This Row],[מס'']],הפחתה5[[#This Row],[מס'']],הפחתה7[[#This Row],[מס'']],הפחתה8[[#This Row],[מס'']])</f>
        <v>319</v>
      </c>
      <c r="C322" s="12">
        <f ca="1">IF(ValuesEntered,IF(הפחתה23[[#This Row],[מס'']]&lt;=תקופת_ההלוואה,IF(ROW()-ROW(הפחתה[[#Headers],[תאריך]])=1,LoanStart,IF(I321&gt;0,EDATE(C321,1),"")),""),"")</f>
        <v>55062</v>
      </c>
      <c r="D322" s="13">
        <f ca="1">SUM(הפחתה[[#This Row],[יתרת פתיחה]],הפחתה5[[#This Row],[יתרת פתיחה]],הפחתה7[[#This Row],[יתרת פתיחה]],הפחתה8[[#This Row],[יתרת פתיחה]])</f>
        <v>127468.29701444384</v>
      </c>
      <c r="E322" s="13">
        <f ca="1">SUM(הפחתה[[#This Row],[ריבית]],הפחתה5[[#This Row],[ריבית]],הפחתה7[[#This Row],[ריבית]],הפחתה8[[#This Row],[ריבית]])</f>
        <v>550.75592218021427</v>
      </c>
      <c r="F322" s="13">
        <f ca="1">SUM(הפחתה[[#This Row],[קרן]],הפחתה5[[#This Row],[קרן]],הפחתה7[[#This Row],[קרן]],הפחתה8[[#This Row],[קרן]])</f>
        <v>2768.8429359047586</v>
      </c>
      <c r="G322" s="13">
        <f ca="1">IF(הפחתה23[[#This Row],[תאריך]]="",0,PropertyTaxAmount)</f>
        <v>0</v>
      </c>
      <c r="H322" s="13">
        <f ca="1">IF(הפחתה23[[#This Row],[תאריך]]="",0,הפחתה23[[#This Row],[ריבית]]+הפחתה23[[#This Row],[קרן]]+הפחתה23[[#This Row],[מס
רכוש]])</f>
        <v>3319.598858084973</v>
      </c>
      <c r="I322" s="13">
        <f ca="1">IF(הפחתה23[[#This Row],[תאריך]]="",0,הפחתה23[[#This Row],[יתרת פתיחה]]-הפחתה23[[#This Row],[קרן]])</f>
        <v>124699.45407853909</v>
      </c>
      <c r="J322" s="11">
        <f ca="1">MAX(הפחתה[[#This Row],[תשלומים
שנותרו]],הפחתה5[[#This Row],[תשלומים
שנותרו]],הפחתה7[[#This Row],[תשלומים
שנותרו]],הפחתה8[[#This Row],[תשלומים
שנותרו]])</f>
        <v>41</v>
      </c>
    </row>
    <row r="323" spans="1:10" ht="15" customHeight="1" x14ac:dyDescent="0.25">
      <c r="A323" s="8"/>
      <c r="B323" s="11">
        <f>MAX(הפחתה[[#This Row],[מס'']],הפחתה5[[#This Row],[מס'']],הפחתה7[[#This Row],[מס'']],הפחתה8[[#This Row],[מס'']])</f>
        <v>320</v>
      </c>
      <c r="C323" s="12">
        <f ca="1">IF(ValuesEntered,IF(הפחתה23[[#This Row],[מס'']]&lt;=תקופת_ההלוואה,IF(ROW()-ROW(הפחתה[[#Headers],[תאריך]])=1,LoanStart,IF(I322&gt;0,EDATE(C322,1),"")),""),"")</f>
        <v>55093</v>
      </c>
      <c r="D323" s="13">
        <f ca="1">SUM(הפחתה[[#This Row],[יתרת פתיחה]],הפחתה5[[#This Row],[יתרת פתיחה]],הפחתה7[[#This Row],[יתרת פתיחה]],הפחתה8[[#This Row],[יתרת פתיחה]])</f>
        <v>124699.45407853909</v>
      </c>
      <c r="E323" s="13">
        <f ca="1">SUM(הפחתה[[#This Row],[ריבית]],הפחתה5[[#This Row],[ריבית]],הפחתה7[[#This Row],[ריבית]],הפחתה8[[#This Row],[ריבית]])</f>
        <v>538.47285421464221</v>
      </c>
      <c r="F323" s="13">
        <f ca="1">SUM(הפחתה[[#This Row],[קרן]],הפחתה5[[#This Row],[קרן]],הפחתה7[[#This Row],[קרן]],הפחתה8[[#This Row],[קרן]])</f>
        <v>2781.0719922050048</v>
      </c>
      <c r="G323" s="13">
        <f ca="1">IF(הפחתה23[[#This Row],[תאריך]]="",0,PropertyTaxAmount)</f>
        <v>0</v>
      </c>
      <c r="H323" s="13">
        <f ca="1">IF(הפחתה23[[#This Row],[תאריך]]="",0,הפחתה23[[#This Row],[ריבית]]+הפחתה23[[#This Row],[קרן]]+הפחתה23[[#This Row],[מס
רכוש]])</f>
        <v>3319.544846419647</v>
      </c>
      <c r="I323" s="13">
        <f ca="1">IF(הפחתה23[[#This Row],[תאריך]]="",0,הפחתה23[[#This Row],[יתרת פתיחה]]-הפחתה23[[#This Row],[קרן]])</f>
        <v>121918.38208633408</v>
      </c>
      <c r="J323" s="11">
        <f ca="1">MAX(הפחתה[[#This Row],[תשלומים
שנותרו]],הפחתה5[[#This Row],[תשלומים
שנותרו]],הפחתה7[[#This Row],[תשלומים
שנותרו]],הפחתה8[[#This Row],[תשלומים
שנותרו]])</f>
        <v>40</v>
      </c>
    </row>
    <row r="324" spans="1:10" ht="15" customHeight="1" x14ac:dyDescent="0.25">
      <c r="A324" s="8"/>
      <c r="B324" s="11">
        <f>MAX(הפחתה[[#This Row],[מס'']],הפחתה5[[#This Row],[מס'']],הפחתה7[[#This Row],[מס'']],הפחתה8[[#This Row],[מס'']])</f>
        <v>321</v>
      </c>
      <c r="C324" s="12">
        <f ca="1">IF(ValuesEntered,IF(הפחתה23[[#This Row],[מס'']]&lt;=תקופת_ההלוואה,IF(ROW()-ROW(הפחתה[[#Headers],[תאריך]])=1,LoanStart,IF(I323&gt;0,EDATE(C323,1),"")),""),"")</f>
        <v>55123</v>
      </c>
      <c r="D324" s="13">
        <f ca="1">SUM(הפחתה[[#This Row],[יתרת פתיחה]],הפחתה5[[#This Row],[יתרת פתיחה]],הפחתה7[[#This Row],[יתרת פתיחה]],הפחתה8[[#This Row],[יתרת פתיחה]])</f>
        <v>121918.38208633408</v>
      </c>
      <c r="E324" s="13">
        <f ca="1">SUM(הפחתה[[#This Row],[ריבית]],הפחתה5[[#This Row],[ריבית]],הפחתה7[[#This Row],[ריבית]],הפחתה8[[#This Row],[ריבית]])</f>
        <v>526.13553603222226</v>
      </c>
      <c r="F324" s="13">
        <f ca="1">SUM(הפחתה[[#This Row],[קרן]],הפחתה5[[#This Row],[קרן]],הפחתה7[[#This Row],[קרן]],הפחתה8[[#This Row],[קרן]])</f>
        <v>2793.355060170577</v>
      </c>
      <c r="G324" s="13">
        <f ca="1">IF(הפחתה23[[#This Row],[תאריך]]="",0,PropertyTaxAmount)</f>
        <v>0</v>
      </c>
      <c r="H324" s="13">
        <f ca="1">IF(הפחתה23[[#This Row],[תאריך]]="",0,הפחתה23[[#This Row],[ריבית]]+הפחתה23[[#This Row],[קרן]]+הפחתה23[[#This Row],[מס
רכוש]])</f>
        <v>3319.4905962027992</v>
      </c>
      <c r="I324" s="13">
        <f ca="1">IF(הפחתה23[[#This Row],[תאריך]]="",0,הפחתה23[[#This Row],[יתרת פתיחה]]-הפחתה23[[#This Row],[קרן]])</f>
        <v>119125.0270261635</v>
      </c>
      <c r="J324" s="11">
        <f ca="1">MAX(הפחתה[[#This Row],[תשלומים
שנותרו]],הפחתה5[[#This Row],[תשלומים
שנותרו]],הפחתה7[[#This Row],[תשלומים
שנותרו]],הפחתה8[[#This Row],[תשלומים
שנותרו]])</f>
        <v>39</v>
      </c>
    </row>
    <row r="325" spans="1:10" ht="15" customHeight="1" x14ac:dyDescent="0.25">
      <c r="A325" s="8"/>
      <c r="B325" s="11">
        <f>MAX(הפחתה[[#This Row],[מס'']],הפחתה5[[#This Row],[מס'']],הפחתה7[[#This Row],[מס'']],הפחתה8[[#This Row],[מס'']])</f>
        <v>322</v>
      </c>
      <c r="C325" s="12">
        <f ca="1">IF(ValuesEntered,IF(הפחתה23[[#This Row],[מס'']]&lt;=תקופת_ההלוואה,IF(ROW()-ROW(הפחתה[[#Headers],[תאריך]])=1,LoanStart,IF(I324&gt;0,EDATE(C324,1),"")),""),"")</f>
        <v>55154</v>
      </c>
      <c r="D325" s="13">
        <f ca="1">SUM(הפחתה[[#This Row],[יתרת פתיחה]],הפחתה5[[#This Row],[יתרת פתיחה]],הפחתה7[[#This Row],[יתרת פתיחה]],הפחתה8[[#This Row],[יתרת פתיחה]])</f>
        <v>119125.0270261635</v>
      </c>
      <c r="E325" s="13">
        <f ca="1">SUM(הפחתה[[#This Row],[ריבית]],הפחתה5[[#This Row],[ריבית]],הפחתה7[[#This Row],[ריבית]],הפחתה8[[#This Row],[ריבית]])</f>
        <v>513.74372802782977</v>
      </c>
      <c r="F325" s="13">
        <f ca="1">SUM(הפחתה[[#This Row],[קרן]],הפחתה5[[#This Row],[קרן]],הפחתה7[[#This Row],[קרן]],הפחתה8[[#This Row],[קרן]])</f>
        <v>2805.6923783529965</v>
      </c>
      <c r="G325" s="13">
        <f ca="1">IF(הפחתה23[[#This Row],[תאריך]]="",0,PropertyTaxAmount)</f>
        <v>0</v>
      </c>
      <c r="H325" s="13">
        <f ca="1">IF(הפחתה23[[#This Row],[תאריך]]="",0,הפחתה23[[#This Row],[ריבית]]+הפחתה23[[#This Row],[קרן]]+הפחתה23[[#This Row],[מס
רכוש]])</f>
        <v>3319.4361063808265</v>
      </c>
      <c r="I325" s="13">
        <f ca="1">IF(הפחתה23[[#This Row],[תאריך]]="",0,הפחתה23[[#This Row],[יתרת פתיחה]]-הפחתה23[[#This Row],[קרן]])</f>
        <v>116319.33464781051</v>
      </c>
      <c r="J325" s="11">
        <f ca="1">MAX(הפחתה[[#This Row],[תשלומים
שנותרו]],הפחתה5[[#This Row],[תשלומים
שנותרו]],הפחתה7[[#This Row],[תשלומים
שנותרו]],הפחתה8[[#This Row],[תשלומים
שנותרו]])</f>
        <v>38</v>
      </c>
    </row>
    <row r="326" spans="1:10" ht="15" customHeight="1" x14ac:dyDescent="0.25">
      <c r="A326" s="8"/>
      <c r="B326" s="11">
        <f>MAX(הפחתה[[#This Row],[מס'']],הפחתה5[[#This Row],[מס'']],הפחתה7[[#This Row],[מס'']],הפחתה8[[#This Row],[מס'']])</f>
        <v>323</v>
      </c>
      <c r="C326" s="12">
        <f ca="1">IF(ValuesEntered,IF(הפחתה23[[#This Row],[מס'']]&lt;=תקופת_ההלוואה,IF(ROW()-ROW(הפחתה[[#Headers],[תאריך]])=1,LoanStart,IF(I325&gt;0,EDATE(C325,1),"")),""),"")</f>
        <v>55185</v>
      </c>
      <c r="D326" s="13">
        <f ca="1">SUM(הפחתה[[#This Row],[יתרת פתיחה]],הפחתה5[[#This Row],[יתרת פתיחה]],הפחתה7[[#This Row],[יתרת פתיחה]],הפחתה8[[#This Row],[יתרת פתיחה]])</f>
        <v>116319.33464781051</v>
      </c>
      <c r="E326" s="13">
        <f ca="1">SUM(הפחתה[[#This Row],[ריבית]],הפחתה5[[#This Row],[ריבית]],הפחתה7[[#This Row],[ריבית]],הפחתה8[[#This Row],[ריבית]])</f>
        <v>501.29718953808464</v>
      </c>
      <c r="F326" s="13">
        <f ca="1">SUM(הפחתה[[#This Row],[קרן]],הפחתה5[[#This Row],[קרן]],הפחתה7[[#This Row],[קרן]],הפחתה8[[#This Row],[קרן]])</f>
        <v>2818.0841863573892</v>
      </c>
      <c r="G326" s="13">
        <f ca="1">IF(הפחתה23[[#This Row],[תאריך]]="",0,PropertyTaxAmount)</f>
        <v>0</v>
      </c>
      <c r="H326" s="13">
        <f ca="1">IF(הפחתה23[[#This Row],[תאריך]]="",0,הפחתה23[[#This Row],[ריבית]]+הפחתה23[[#This Row],[קרן]]+הפחתה23[[#This Row],[מס
רכוש]])</f>
        <v>3319.3813758954739</v>
      </c>
      <c r="I326" s="13">
        <f ca="1">IF(הפחתה23[[#This Row],[תאריך]]="",0,הפחתה23[[#This Row],[יתרת פתיחה]]-הפחתה23[[#This Row],[קרן]])</f>
        <v>113501.25046145312</v>
      </c>
      <c r="J326" s="11">
        <f ca="1">MAX(הפחתה[[#This Row],[תשלומים
שנותרו]],הפחתה5[[#This Row],[תשלומים
שנותרו]],הפחתה7[[#This Row],[תשלומים
שנותרו]],הפחתה8[[#This Row],[תשלומים
שנותרו]])</f>
        <v>37</v>
      </c>
    </row>
    <row r="327" spans="1:10" ht="15" customHeight="1" x14ac:dyDescent="0.25">
      <c r="A327" s="8"/>
      <c r="B327" s="11">
        <f>MAX(הפחתה[[#This Row],[מס'']],הפחתה5[[#This Row],[מס'']],הפחתה7[[#This Row],[מס'']],הפחתה8[[#This Row],[מס'']])</f>
        <v>324</v>
      </c>
      <c r="C327" s="12">
        <f ca="1">IF(ValuesEntered,IF(הפחתה23[[#This Row],[מס'']]&lt;=תקופת_ההלוואה,IF(ROW()-ROW(הפחתה[[#Headers],[תאריך]])=1,LoanStart,IF(I326&gt;0,EDATE(C326,1),"")),""),"")</f>
        <v>55213</v>
      </c>
      <c r="D327" s="13">
        <f ca="1">SUM(הפחתה[[#This Row],[יתרת פתיחה]],הפחתה5[[#This Row],[יתרת פתיחה]],הפחתה7[[#This Row],[יתרת פתיחה]],הפחתה8[[#This Row],[יתרת פתיחה]])</f>
        <v>113501.25046145312</v>
      </c>
      <c r="E327" s="13">
        <f ca="1">SUM(הפחתה[[#This Row],[ריבית]],הפחתה5[[#This Row],[ריבית]],הפחתה7[[#This Row],[ריבית]],הפחתה8[[#This Row],[ריבית]])</f>
        <v>488.79567883667647</v>
      </c>
      <c r="F327" s="13">
        <f ca="1">SUM(הפחתה[[#This Row],[קרן]],הפחתה5[[#This Row],[קרן]],הפחתה7[[#This Row],[קרן]],הפחתה8[[#This Row],[קרן]])</f>
        <v>2830.5307248471345</v>
      </c>
      <c r="G327" s="13">
        <f ca="1">IF(הפחתה23[[#This Row],[תאריך]]="",0,PropertyTaxAmount)</f>
        <v>0</v>
      </c>
      <c r="H327" s="13">
        <f ca="1">IF(הפחתה23[[#This Row],[תאריך]]="",0,הפחתה23[[#This Row],[ריבית]]+הפחתה23[[#This Row],[קרן]]+הפחתה23[[#This Row],[מס
רכוש]])</f>
        <v>3319.3264036838109</v>
      </c>
      <c r="I327" s="13">
        <f ca="1">IF(הפחתה23[[#This Row],[תאריך]]="",0,הפחתה23[[#This Row],[יתרת פתיחה]]-הפחתה23[[#This Row],[קרן]])</f>
        <v>110670.71973660598</v>
      </c>
      <c r="J327" s="11">
        <f ca="1">MAX(הפחתה[[#This Row],[תשלומים
שנותרו]],הפחתה5[[#This Row],[תשלומים
שנותרו]],הפחתה7[[#This Row],[תשלומים
שנותרו]],הפחתה8[[#This Row],[תשלומים
שנותרו]])</f>
        <v>36</v>
      </c>
    </row>
    <row r="328" spans="1:10" ht="15" customHeight="1" x14ac:dyDescent="0.25">
      <c r="A328" s="8"/>
      <c r="B328" s="11">
        <f>MAX(הפחתה[[#This Row],[מס'']],הפחתה5[[#This Row],[מס'']],הפחתה7[[#This Row],[מס'']],הפחתה8[[#This Row],[מס'']])</f>
        <v>325</v>
      </c>
      <c r="C328" s="12">
        <f ca="1">IF(ValuesEntered,IF(הפחתה23[[#This Row],[מס'']]&lt;=תקופת_ההלוואה,IF(ROW()-ROW(הפחתה[[#Headers],[תאריך]])=1,LoanStart,IF(I327&gt;0,EDATE(C327,1),"")),""),"")</f>
        <v>55244</v>
      </c>
      <c r="D328" s="13">
        <f ca="1">SUM(הפחתה[[#This Row],[יתרת פתיחה]],הפחתה5[[#This Row],[יתרת פתיחה]],הפחתה7[[#This Row],[יתרת פתיחה]],הפחתה8[[#This Row],[יתרת פתיחה]])</f>
        <v>110670.71973660598</v>
      </c>
      <c r="E328" s="13">
        <f ca="1">SUM(הפחתה[[#This Row],[ריבית]],הפחתה5[[#This Row],[ריבית]],הפחתה7[[#This Row],[ריבית]],הפחתה8[[#This Row],[ריבית]])</f>
        <v>476.23895312967039</v>
      </c>
      <c r="F328" s="13">
        <f ca="1">SUM(הפחתה[[#This Row],[קרן]],הפחתה5[[#This Row],[קרן]],הפחתה7[[#This Row],[קרן]],הפחתה8[[#This Row],[קרן]])</f>
        <v>2843.0322355485423</v>
      </c>
      <c r="G328" s="13">
        <f ca="1">IF(הפחתה23[[#This Row],[תאריך]]="",0,PropertyTaxAmount)</f>
        <v>0</v>
      </c>
      <c r="H328" s="13">
        <f ca="1">IF(הפחתה23[[#This Row],[תאריך]]="",0,הפחתה23[[#This Row],[ריבית]]+הפחתה23[[#This Row],[קרן]]+הפחתה23[[#This Row],[מס
רכוש]])</f>
        <v>3319.2711886782126</v>
      </c>
      <c r="I328" s="13">
        <f ca="1">IF(הפחתה23[[#This Row],[תאריך]]="",0,הפחתה23[[#This Row],[יתרת פתיחה]]-הפחתה23[[#This Row],[קרן]])</f>
        <v>107827.68750105744</v>
      </c>
      <c r="J328" s="11">
        <f ca="1">MAX(הפחתה[[#This Row],[תשלומים
שנותרו]],הפחתה5[[#This Row],[תשלומים
שנותרו]],הפחתה7[[#This Row],[תשלומים
שנותרו]],הפחתה8[[#This Row],[תשלומים
שנותרו]])</f>
        <v>35</v>
      </c>
    </row>
    <row r="329" spans="1:10" ht="15" customHeight="1" x14ac:dyDescent="0.25">
      <c r="A329" s="8"/>
      <c r="B329" s="11">
        <f>MAX(הפחתה[[#This Row],[מס'']],הפחתה5[[#This Row],[מס'']],הפחתה7[[#This Row],[מס'']],הפחתה8[[#This Row],[מס'']])</f>
        <v>326</v>
      </c>
      <c r="C329" s="12">
        <f ca="1">IF(ValuesEntered,IF(הפחתה23[[#This Row],[מס'']]&lt;=תקופת_ההלוואה,IF(ROW()-ROW(הפחתה[[#Headers],[תאריך]])=1,LoanStart,IF(I328&gt;0,EDATE(C328,1),"")),""),"")</f>
        <v>55274</v>
      </c>
      <c r="D329" s="13">
        <f ca="1">SUM(הפחתה[[#This Row],[יתרת פתיחה]],הפחתה5[[#This Row],[יתרת פתיחה]],הפחתה7[[#This Row],[יתרת פתיחה]],הפחתה8[[#This Row],[יתרת פתיחה]])</f>
        <v>107827.68750105744</v>
      </c>
      <c r="E329" s="13">
        <f ca="1">SUM(הפחתה[[#This Row],[ריבית]],הפחתה5[[#This Row],[ריבית]],הפחתה7[[#This Row],[ריבית]],הפחתה8[[#This Row],[ריבית]])</f>
        <v>463.62676855079172</v>
      </c>
      <c r="F329" s="13">
        <f ca="1">SUM(הפחתה[[#This Row],[קרן]],הפחתה5[[#This Row],[קרן]],הפחתה7[[#This Row],[קרן]],הפחתה8[[#This Row],[קרן]])</f>
        <v>2855.5889612555488</v>
      </c>
      <c r="G329" s="13">
        <f ca="1">IF(הפחתה23[[#This Row],[תאריך]]="",0,PropertyTaxAmount)</f>
        <v>0</v>
      </c>
      <c r="H329" s="13">
        <f ca="1">IF(הפחתה23[[#This Row],[תאריך]]="",0,הפחתה23[[#This Row],[ריבית]]+הפחתה23[[#This Row],[קרן]]+הפחתה23[[#This Row],[מס
רכוש]])</f>
        <v>3319.2157298063407</v>
      </c>
      <c r="I329" s="13">
        <f ca="1">IF(הפחתה23[[#This Row],[תאריך]]="",0,הפחתה23[[#This Row],[יתרת פתיחה]]-הפחתה23[[#This Row],[קרן]])</f>
        <v>104972.0985398019</v>
      </c>
      <c r="J329" s="11">
        <f ca="1">MAX(הפחתה[[#This Row],[תשלומים
שנותרו]],הפחתה5[[#This Row],[תשלומים
שנותרו]],הפחתה7[[#This Row],[תשלומים
שנותרו]],הפחתה8[[#This Row],[תשלומים
שנותרו]])</f>
        <v>34</v>
      </c>
    </row>
    <row r="330" spans="1:10" ht="15" customHeight="1" x14ac:dyDescent="0.25">
      <c r="A330" s="8"/>
      <c r="B330" s="11">
        <f>MAX(הפחתה[[#This Row],[מס'']],הפחתה5[[#This Row],[מס'']],הפחתה7[[#This Row],[מס'']],הפחתה8[[#This Row],[מס'']])</f>
        <v>327</v>
      </c>
      <c r="C330" s="12">
        <f ca="1">IF(ValuesEntered,IF(הפחתה23[[#This Row],[מס'']]&lt;=תקופת_ההלוואה,IF(ROW()-ROW(הפחתה[[#Headers],[תאריך]])=1,LoanStart,IF(I329&gt;0,EDATE(C329,1),"")),""),"")</f>
        <v>55305</v>
      </c>
      <c r="D330" s="13">
        <f ca="1">SUM(הפחתה[[#This Row],[יתרת פתיחה]],הפחתה5[[#This Row],[יתרת פתיחה]],הפחתה7[[#This Row],[יתרת פתיחה]],הפחתה8[[#This Row],[יתרת פתיחה]])</f>
        <v>104972.0985398019</v>
      </c>
      <c r="E330" s="13">
        <f ca="1">SUM(הפחתה[[#This Row],[ריבית]],הפחתה5[[#This Row],[ריבית]],הפחתה7[[#This Row],[ריבית]],הפחתה8[[#This Row],[ריבית]])</f>
        <v>450.9588801566897</v>
      </c>
      <c r="F330" s="13">
        <f ca="1">SUM(הפחתה[[#This Row],[קרן]],הפחתה5[[#This Row],[קרן]],הפחתה7[[#This Row],[קרן]],הפחתה8[[#This Row],[קרן]])</f>
        <v>2868.2011458344273</v>
      </c>
      <c r="G330" s="13">
        <f ca="1">IF(הפחתה23[[#This Row],[תאריך]]="",0,PropertyTaxAmount)</f>
        <v>0</v>
      </c>
      <c r="H330" s="13">
        <f ca="1">IF(הפחתה23[[#This Row],[תאריך]]="",0,הפחתה23[[#This Row],[ריבית]]+הפחתה23[[#This Row],[קרן]]+הפחתה23[[#This Row],[מס
רכוש]])</f>
        <v>3319.160025991117</v>
      </c>
      <c r="I330" s="13">
        <f ca="1">IF(הפחתה23[[#This Row],[תאריך]]="",0,הפחתה23[[#This Row],[יתרת פתיחה]]-הפחתה23[[#This Row],[קרן]])</f>
        <v>102103.89739396748</v>
      </c>
      <c r="J330" s="11">
        <f ca="1">MAX(הפחתה[[#This Row],[תשלומים
שנותרו]],הפחתה5[[#This Row],[תשלומים
שנותרו]],הפחתה7[[#This Row],[תשלומים
שנותרו]],הפחתה8[[#This Row],[תשלומים
שנותרו]])</f>
        <v>33</v>
      </c>
    </row>
    <row r="331" spans="1:10" ht="15" customHeight="1" x14ac:dyDescent="0.25">
      <c r="A331" s="8"/>
      <c r="B331" s="11">
        <f>MAX(הפחתה[[#This Row],[מס'']],הפחתה5[[#This Row],[מס'']],הפחתה7[[#This Row],[מס'']],הפחתה8[[#This Row],[מס'']])</f>
        <v>328</v>
      </c>
      <c r="C331" s="12">
        <f ca="1">IF(ValuesEntered,IF(הפחתה23[[#This Row],[מס'']]&lt;=תקופת_ההלוואה,IF(ROW()-ROW(הפחתה[[#Headers],[תאריך]])=1,LoanStart,IF(I330&gt;0,EDATE(C330,1),"")),""),"")</f>
        <v>55335</v>
      </c>
      <c r="D331" s="13">
        <f ca="1">SUM(הפחתה[[#This Row],[יתרת פתיחה]],הפחתה5[[#This Row],[יתרת פתיחה]],הפחתה7[[#This Row],[יתרת פתיחה]],הפחתה8[[#This Row],[יתרת פתיחה]])</f>
        <v>102103.89739396748</v>
      </c>
      <c r="E331" s="13">
        <f ca="1">SUM(הפחתה[[#This Row],[ריבית]],הפחתה5[[#This Row],[ריבית]],הפחתה7[[#This Row],[ריבית]],הפחתה8[[#This Row],[ריבית]])</f>
        <v>438.23504192218036</v>
      </c>
      <c r="F331" s="13">
        <f ca="1">SUM(הפחתה[[#This Row],[קרן]],הפחתה5[[#This Row],[קרן]],הפחתה7[[#This Row],[קרן]],הפחתה8[[#This Row],[קרן]])</f>
        <v>2880.869034228529</v>
      </c>
      <c r="G331" s="13">
        <f ca="1">IF(הפחתה23[[#This Row],[תאריך]]="",0,PropertyTaxAmount)</f>
        <v>0</v>
      </c>
      <c r="H331" s="13">
        <f ca="1">IF(הפחתה23[[#This Row],[תאריך]]="",0,הפחתה23[[#This Row],[ריבית]]+הפחתה23[[#This Row],[קרן]]+הפחתה23[[#This Row],[מס
רכוש]])</f>
        <v>3319.1040761507093</v>
      </c>
      <c r="I331" s="13">
        <f ca="1">IF(הפחתה23[[#This Row],[תאריך]]="",0,הפחתה23[[#This Row],[יתרת פתיחה]]-הפחתה23[[#This Row],[קרן]])</f>
        <v>99223.02835973895</v>
      </c>
      <c r="J331" s="11">
        <f ca="1">MAX(הפחתה[[#This Row],[תשלומים
שנותרו]],הפחתה5[[#This Row],[תשלומים
שנותרו]],הפחתה7[[#This Row],[תשלומים
שנותרו]],הפחתה8[[#This Row],[תשלומים
שנותרו]])</f>
        <v>32</v>
      </c>
    </row>
    <row r="332" spans="1:10" ht="15" customHeight="1" x14ac:dyDescent="0.25">
      <c r="A332" s="8"/>
      <c r="B332" s="11">
        <f>MAX(הפחתה[[#This Row],[מס'']],הפחתה5[[#This Row],[מס'']],הפחתה7[[#This Row],[מס'']],הפחתה8[[#This Row],[מס'']])</f>
        <v>329</v>
      </c>
      <c r="C332" s="12">
        <f ca="1">IF(ValuesEntered,IF(הפחתה23[[#This Row],[מס'']]&lt;=תקופת_ההלוואה,IF(ROW()-ROW(הפחתה[[#Headers],[תאריך]])=1,LoanStart,IF(I331&gt;0,EDATE(C331,1),"")),""),"")</f>
        <v>55366</v>
      </c>
      <c r="D332" s="13">
        <f ca="1">SUM(הפחתה[[#This Row],[יתרת פתיחה]],הפחתה5[[#This Row],[יתרת פתיחה]],הפחתה7[[#This Row],[יתרת פתיחה]],הפחתה8[[#This Row],[יתרת פתיחה]])</f>
        <v>99223.02835973895</v>
      </c>
      <c r="E332" s="13">
        <f ca="1">SUM(הפחתה[[#This Row],[ריבית]],הפחתה5[[#This Row],[ריבית]],הפחתה7[[#This Row],[ריבית]],הפחתה8[[#This Row],[ריבית]])</f>
        <v>425.45500673546866</v>
      </c>
      <c r="F332" s="13">
        <f ca="1">SUM(הפחתה[[#This Row],[קרן]],הפחתה5[[#This Row],[קרן]],הפחתה7[[#This Row],[קרן]],הפחתה8[[#This Row],[קרן]])</f>
        <v>2893.5928724630389</v>
      </c>
      <c r="G332" s="13">
        <f ca="1">IF(הפחתה23[[#This Row],[תאריך]]="",0,PropertyTaxAmount)</f>
        <v>0</v>
      </c>
      <c r="H332" s="13">
        <f ca="1">IF(הפחתה23[[#This Row],[תאריך]]="",0,הפחתה23[[#This Row],[ריבית]]+הפחתה23[[#This Row],[קרן]]+הפחתה23[[#This Row],[מס
רכוש]])</f>
        <v>3319.0478791985074</v>
      </c>
      <c r="I332" s="13">
        <f ca="1">IF(הפחתה23[[#This Row],[תאריך]]="",0,הפחתה23[[#This Row],[יתרת פתיחה]]-הפחתה23[[#This Row],[קרן]])</f>
        <v>96329.435487275914</v>
      </c>
      <c r="J332" s="11">
        <f ca="1">MAX(הפחתה[[#This Row],[תשלומים
שנותרו]],הפחתה5[[#This Row],[תשלומים
שנותרו]],הפחתה7[[#This Row],[תשלומים
שנותרו]],הפחתה8[[#This Row],[תשלומים
שנותרו]])</f>
        <v>31</v>
      </c>
    </row>
    <row r="333" spans="1:10" ht="15" customHeight="1" x14ac:dyDescent="0.25">
      <c r="A333" s="8"/>
      <c r="B333" s="11">
        <f>MAX(הפחתה[[#This Row],[מס'']],הפחתה5[[#This Row],[מס'']],הפחתה7[[#This Row],[מס'']],הפחתה8[[#This Row],[מס'']])</f>
        <v>330</v>
      </c>
      <c r="C333" s="12">
        <f ca="1">IF(ValuesEntered,IF(הפחתה23[[#This Row],[מס'']]&lt;=תקופת_ההלוואה,IF(ROW()-ROW(הפחתה[[#Headers],[תאריך]])=1,LoanStart,IF(I332&gt;0,EDATE(C332,1),"")),""),"")</f>
        <v>55397</v>
      </c>
      <c r="D333" s="13">
        <f ca="1">SUM(הפחתה[[#This Row],[יתרת פתיחה]],הפחתה5[[#This Row],[יתרת פתיחה]],הפחתה7[[#This Row],[יתרת פתיחה]],הפחתה8[[#This Row],[יתרת פתיחה]])</f>
        <v>96329.435487275914</v>
      </c>
      <c r="E333" s="13">
        <f ca="1">SUM(הפחתה[[#This Row],[ריבית]],הפחתה5[[#This Row],[ריבית]],הפחתה7[[#This Row],[ריבית]],הפחתה8[[#This Row],[ריבית]])</f>
        <v>412.61852639334887</v>
      </c>
      <c r="F333" s="13">
        <f ca="1">SUM(הפחתה[[#This Row],[קרן]],הפחתה5[[#This Row],[קרן]],הפחתה7[[#This Row],[קרן]],הפחתה8[[#This Row],[קרן]])</f>
        <v>2906.3729076497507</v>
      </c>
      <c r="G333" s="13">
        <f ca="1">IF(הפחתה23[[#This Row],[תאריך]]="",0,PropertyTaxAmount)</f>
        <v>0</v>
      </c>
      <c r="H333" s="13">
        <f ca="1">IF(הפחתה23[[#This Row],[תאריך]]="",0,הפחתה23[[#This Row],[ריבית]]+הפחתה23[[#This Row],[קרן]]+הפחתה23[[#This Row],[מס
רכוש]])</f>
        <v>3318.9914340430996</v>
      </c>
      <c r="I333" s="13">
        <f ca="1">IF(הפחתה23[[#This Row],[תאריך]]="",0,הפחתה23[[#This Row],[יתרת פתיחה]]-הפחתה23[[#This Row],[קרן]])</f>
        <v>93423.062579626159</v>
      </c>
      <c r="J333" s="11">
        <f ca="1">MAX(הפחתה[[#This Row],[תשלומים
שנותרו]],הפחתה5[[#This Row],[תשלומים
שנותרו]],הפחתה7[[#This Row],[תשלומים
שנותרו]],הפחתה8[[#This Row],[תשלומים
שנותרו]])</f>
        <v>30</v>
      </c>
    </row>
    <row r="334" spans="1:10" ht="15" customHeight="1" x14ac:dyDescent="0.25">
      <c r="A334" s="8"/>
      <c r="B334" s="11">
        <f>MAX(הפחתה[[#This Row],[מס'']],הפחתה5[[#This Row],[מס'']],הפחתה7[[#This Row],[מס'']],הפחתה8[[#This Row],[מס'']])</f>
        <v>331</v>
      </c>
      <c r="C334" s="12">
        <f ca="1">IF(ValuesEntered,IF(הפחתה23[[#This Row],[מס'']]&lt;=תקופת_ההלוואה,IF(ROW()-ROW(הפחתה[[#Headers],[תאריך]])=1,LoanStart,IF(I333&gt;0,EDATE(C333,1),"")),""),"")</f>
        <v>55427</v>
      </c>
      <c r="D334" s="13">
        <f ca="1">SUM(הפחתה[[#This Row],[יתרת פתיחה]],הפחתה5[[#This Row],[יתרת פתיחה]],הפחתה7[[#This Row],[יתרת פתיחה]],הפחתה8[[#This Row],[יתרת פתיחה]])</f>
        <v>93423.062579626159</v>
      </c>
      <c r="E334" s="13">
        <f ca="1">SUM(הפחתה[[#This Row],[ריבית]],הפחתה5[[#This Row],[ריבית]],הפחתה7[[#This Row],[ריבית]],הפחתה8[[#This Row],[ריבית]])</f>
        <v>399.72535159638483</v>
      </c>
      <c r="F334" s="13">
        <f ca="1">SUM(הפחתה[[#This Row],[קרן]],הפחתה5[[#This Row],[קרן]],הפחתה7[[#This Row],[קרן]],הפחתה8[[#This Row],[קרן]])</f>
        <v>2919.2093879918707</v>
      </c>
      <c r="G334" s="13">
        <f ca="1">IF(הפחתה23[[#This Row],[תאריך]]="",0,PropertyTaxAmount)</f>
        <v>0</v>
      </c>
      <c r="H334" s="13">
        <f ca="1">IF(הפחתה23[[#This Row],[תאריך]]="",0,הפחתה23[[#This Row],[ריבית]]+הפחתה23[[#This Row],[קרן]]+הפחתה23[[#This Row],[מס
רכוש]])</f>
        <v>3318.9347395882555</v>
      </c>
      <c r="I334" s="13">
        <f ca="1">IF(הפחתה23[[#This Row],[תאריך]]="",0,הפחתה23[[#This Row],[יתרת פתיחה]]-הפחתה23[[#This Row],[קרן]])</f>
        <v>90503.853191634291</v>
      </c>
      <c r="J334" s="11">
        <f ca="1">MAX(הפחתה[[#This Row],[תשלומים
שנותרו]],הפחתה5[[#This Row],[תשלומים
שנותרו]],הפחתה7[[#This Row],[תשלומים
שנותרו]],הפחתה8[[#This Row],[תשלומים
שנותרו]])</f>
        <v>29</v>
      </c>
    </row>
    <row r="335" spans="1:10" ht="15" customHeight="1" x14ac:dyDescent="0.25">
      <c r="A335" s="8"/>
      <c r="B335" s="11">
        <f>MAX(הפחתה[[#This Row],[מס'']],הפחתה5[[#This Row],[מס'']],הפחתה7[[#This Row],[מס'']],הפחתה8[[#This Row],[מס'']])</f>
        <v>332</v>
      </c>
      <c r="C335" s="12">
        <f ca="1">IF(ValuesEntered,IF(הפחתה23[[#This Row],[מס'']]&lt;=תקופת_ההלוואה,IF(ROW()-ROW(הפחתה[[#Headers],[תאריך]])=1,LoanStart,IF(I334&gt;0,EDATE(C334,1),"")),""),"")</f>
        <v>55458</v>
      </c>
      <c r="D335" s="13">
        <f ca="1">SUM(הפחתה[[#This Row],[יתרת פתיחה]],הפחתה5[[#This Row],[יתרת פתיחה]],הפחתה7[[#This Row],[יתרת פתיחה]],הפחתה8[[#This Row],[יתרת פתיחה]])</f>
        <v>90503.853191634291</v>
      </c>
      <c r="E335" s="13">
        <f ca="1">SUM(הפחתה[[#This Row],[ריבית]],הפחתה5[[#This Row],[ריבית]],הפחתה7[[#This Row],[ריבית]],הפחתה8[[#This Row],[ריבית]])</f>
        <v>386.77523194406746</v>
      </c>
      <c r="F335" s="13">
        <f ca="1">SUM(הפחתה[[#This Row],[קרן]],הפחתה5[[#This Row],[קרן]],הפחתה7[[#This Row],[קרן]],הפחתה8[[#This Row],[קרן]])</f>
        <v>2932.1025627888339</v>
      </c>
      <c r="G335" s="13">
        <f ca="1">IF(הפחתה23[[#This Row],[תאריך]]="",0,PropertyTaxAmount)</f>
        <v>0</v>
      </c>
      <c r="H335" s="13">
        <f ca="1">IF(הפחתה23[[#This Row],[תאריך]]="",0,הפחתה23[[#This Row],[ריבית]]+הפחתה23[[#This Row],[קרן]]+הפחתה23[[#This Row],[מס
רכוש]])</f>
        <v>3318.8777947329013</v>
      </c>
      <c r="I335" s="13">
        <f ca="1">IF(הפחתה23[[#This Row],[תאריך]]="",0,הפחתה23[[#This Row],[יתרת פתיחה]]-הפחתה23[[#This Row],[קרן]])</f>
        <v>87571.750628845461</v>
      </c>
      <c r="J335" s="11">
        <f ca="1">MAX(הפחתה[[#This Row],[תשלומים
שנותרו]],הפחתה5[[#This Row],[תשלומים
שנותרו]],הפחתה7[[#This Row],[תשלומים
שנותרו]],הפחתה8[[#This Row],[תשלומים
שנותרו]])</f>
        <v>28</v>
      </c>
    </row>
    <row r="336" spans="1:10" ht="15" customHeight="1" x14ac:dyDescent="0.25">
      <c r="A336" s="8"/>
      <c r="B336" s="11">
        <f>MAX(הפחתה[[#This Row],[מס'']],הפחתה5[[#This Row],[מס'']],הפחתה7[[#This Row],[מס'']],הפחתה8[[#This Row],[מס'']])</f>
        <v>333</v>
      </c>
      <c r="C336" s="12">
        <f ca="1">IF(ValuesEntered,IF(הפחתה23[[#This Row],[מס'']]&lt;=תקופת_ההלוואה,IF(ROW()-ROW(הפחתה[[#Headers],[תאריך]])=1,LoanStart,IF(I335&gt;0,EDATE(C335,1),"")),""),"")</f>
        <v>55488</v>
      </c>
      <c r="D336" s="13">
        <f ca="1">SUM(הפחתה[[#This Row],[יתרת פתיחה]],הפחתה5[[#This Row],[יתרת פתיחה]],הפחתה7[[#This Row],[יתרת פתיחה]],הפחתה8[[#This Row],[יתרת פתיחה]])</f>
        <v>87571.750628845461</v>
      </c>
      <c r="E336" s="13">
        <f ca="1">SUM(הפחתה[[#This Row],[ריבית]],הפחתה5[[#This Row],[ריבית]],הפחתה7[[#This Row],[ריבית]],הפחתה8[[#This Row],[ריבית]])</f>
        <v>373.76791592995238</v>
      </c>
      <c r="F336" s="13">
        <f ca="1">SUM(הפחתה[[#This Row],[קרן]],הפחתה5[[#This Row],[קרן]],הפחתה7[[#This Row],[קרן]],הפחתה8[[#This Row],[קרן]])</f>
        <v>2945.0526824411522</v>
      </c>
      <c r="G336" s="13">
        <f ca="1">IF(הפחתה23[[#This Row],[תאריך]]="",0,PropertyTaxAmount)</f>
        <v>0</v>
      </c>
      <c r="H336" s="13">
        <f ca="1">IF(הפחתה23[[#This Row],[תאריך]]="",0,הפחתה23[[#This Row],[ריבית]]+הפחתה23[[#This Row],[קרן]]+הפחתה23[[#This Row],[מס
רכוש]])</f>
        <v>3318.8205983711046</v>
      </c>
      <c r="I336" s="13">
        <f ca="1">IF(הפחתה23[[#This Row],[תאריך]]="",0,הפחתה23[[#This Row],[יתרת פתיחה]]-הפחתה23[[#This Row],[קרן]])</f>
        <v>84626.697946404311</v>
      </c>
      <c r="J336" s="11">
        <f ca="1">MAX(הפחתה[[#This Row],[תשלומים
שנותרו]],הפחתה5[[#This Row],[תשלומים
שנותרו]],הפחתה7[[#This Row],[תשלומים
שנותרו]],הפחתה8[[#This Row],[תשלומים
שנותרו]])</f>
        <v>27</v>
      </c>
    </row>
    <row r="337" spans="1:10" ht="15" customHeight="1" x14ac:dyDescent="0.25">
      <c r="A337" s="8"/>
      <c r="B337" s="11">
        <f>MAX(הפחתה[[#This Row],[מס'']],הפחתה5[[#This Row],[מס'']],הפחתה7[[#This Row],[מס'']],הפחתה8[[#This Row],[מס'']])</f>
        <v>334</v>
      </c>
      <c r="C337" s="12">
        <f ca="1">IF(ValuesEntered,IF(הפחתה23[[#This Row],[מס'']]&lt;=תקופת_ההלוואה,IF(ROW()-ROW(הפחתה[[#Headers],[תאריך]])=1,LoanStart,IF(I336&gt;0,EDATE(C336,1),"")),""),"")</f>
        <v>55519</v>
      </c>
      <c r="D337" s="13">
        <f ca="1">SUM(הפחתה[[#This Row],[יתרת פתיחה]],הפחתה5[[#This Row],[יתרת פתיחה]],הפחתה7[[#This Row],[יתרת פתיחה]],הפחתה8[[#This Row],[יתרת פתיחה]])</f>
        <v>84626.697946404311</v>
      </c>
      <c r="E337" s="13">
        <f ca="1">SUM(הפחתה[[#This Row],[ריבית]],הפחתה5[[#This Row],[ריבית]],הפחתה7[[#This Row],[ריבית]],הפחתה8[[#This Row],[ריבית]])</f>
        <v>360.70315093677493</v>
      </c>
      <c r="F337" s="13">
        <f ca="1">SUM(הפחתה[[#This Row],[קרן]],הפחתה5[[#This Row],[קרן]],הפחתה7[[#This Row],[קרן]],הפחתה8[[#This Row],[קרן]])</f>
        <v>2958.0599984552673</v>
      </c>
      <c r="G337" s="13">
        <f ca="1">IF(הפחתה23[[#This Row],[תאריך]]="",0,PropertyTaxAmount)</f>
        <v>0</v>
      </c>
      <c r="H337" s="13">
        <f ca="1">IF(הפחתה23[[#This Row],[תאריך]]="",0,הפחתה23[[#This Row],[ריבית]]+הפחתה23[[#This Row],[קרן]]+הפחתה23[[#This Row],[מס
רכוש]])</f>
        <v>3318.7631493920421</v>
      </c>
      <c r="I337" s="13">
        <f ca="1">IF(הפחתה23[[#This Row],[תאריך]]="",0,הפחתה23[[#This Row],[יתרת פתיחה]]-הפחתה23[[#This Row],[קרן]])</f>
        <v>81668.637947949042</v>
      </c>
      <c r="J337" s="11">
        <f ca="1">MAX(הפחתה[[#This Row],[תשלומים
שנותרו]],הפחתה5[[#This Row],[תשלומים
שנותרו]],הפחתה7[[#This Row],[תשלומים
שנותרו]],הפחתה8[[#This Row],[תשלומים
שנותרו]])</f>
        <v>26</v>
      </c>
    </row>
    <row r="338" spans="1:10" ht="15" customHeight="1" x14ac:dyDescent="0.25">
      <c r="A338" s="8"/>
      <c r="B338" s="11">
        <f>MAX(הפחתה[[#This Row],[מס'']],הפחתה5[[#This Row],[מס'']],הפחתה7[[#This Row],[מס'']],הפחתה8[[#This Row],[מס'']])</f>
        <v>335</v>
      </c>
      <c r="C338" s="12">
        <f ca="1">IF(ValuesEntered,IF(הפחתה23[[#This Row],[מס'']]&lt;=תקופת_ההלוואה,IF(ROW()-ROW(הפחתה[[#Headers],[תאריך]])=1,LoanStart,IF(I337&gt;0,EDATE(C337,1),"")),""),"")</f>
        <v>55550</v>
      </c>
      <c r="D338" s="13">
        <f ca="1">SUM(הפחתה[[#This Row],[יתרת פתיחה]],הפחתה5[[#This Row],[יתרת פתיחה]],הפחתה7[[#This Row],[יתרת פתיחה]],הפחתה8[[#This Row],[יתרת פתיחה]])</f>
        <v>81668.637947949042</v>
      </c>
      <c r="E338" s="13">
        <f ca="1">SUM(הפחתה[[#This Row],[ריבית]],הפחתה5[[#This Row],[ריבית]],הפחתה7[[#This Row],[ריבית]],הפחתה8[[#This Row],[ריבית]])</f>
        <v>347.5806832315443</v>
      </c>
      <c r="F338" s="13">
        <f ca="1">SUM(הפחתה[[#This Row],[קרן]],הפחתה5[[#This Row],[קרן]],הפחתה7[[#This Row],[קרן]],הפחתה8[[#This Row],[קרן]])</f>
        <v>2971.1247634484453</v>
      </c>
      <c r="G338" s="13">
        <f ca="1">IF(הפחתה23[[#This Row],[תאריך]]="",0,PropertyTaxAmount)</f>
        <v>0</v>
      </c>
      <c r="H338" s="13">
        <f ca="1">IF(הפחתה23[[#This Row],[תאריך]]="",0,הפחתה23[[#This Row],[ריבית]]+הפחתה23[[#This Row],[קרן]]+הפחתה23[[#This Row],[מס
רכוש]])</f>
        <v>3318.7054466799896</v>
      </c>
      <c r="I338" s="13">
        <f ca="1">IF(הפחתה23[[#This Row],[תאריך]]="",0,הפחתה23[[#This Row],[יתרת פתיחה]]-הפחתה23[[#This Row],[קרן]])</f>
        <v>78697.513184500596</v>
      </c>
      <c r="J338" s="11">
        <f ca="1">MAX(הפחתה[[#This Row],[תשלומים
שנותרו]],הפחתה5[[#This Row],[תשלומים
שנותרו]],הפחתה7[[#This Row],[תשלומים
שנותרו]],הפחתה8[[#This Row],[תשלומים
שנותרו]])</f>
        <v>25</v>
      </c>
    </row>
    <row r="339" spans="1:10" ht="15" customHeight="1" x14ac:dyDescent="0.25">
      <c r="A339" s="8"/>
      <c r="B339" s="11">
        <f>MAX(הפחתה[[#This Row],[מס'']],הפחתה5[[#This Row],[מס'']],הפחתה7[[#This Row],[מס'']],הפחתה8[[#This Row],[מס'']])</f>
        <v>336</v>
      </c>
      <c r="C339" s="12">
        <f ca="1">IF(ValuesEntered,IF(הפחתה23[[#This Row],[מס'']]&lt;=תקופת_ההלוואה,IF(ROW()-ROW(הפחתה[[#Headers],[תאריך]])=1,LoanStart,IF(I338&gt;0,EDATE(C338,1),"")),""),"")</f>
        <v>55579</v>
      </c>
      <c r="D339" s="13">
        <f ca="1">SUM(הפחתה[[#This Row],[יתרת פתיחה]],הפחתה5[[#This Row],[יתרת פתיחה]],הפחתה7[[#This Row],[יתרת פתיחה]],הפחתה8[[#This Row],[יתרת פתיחה]])</f>
        <v>78697.513184500596</v>
      </c>
      <c r="E339" s="13">
        <f ca="1">SUM(הפחתה[[#This Row],[ריבית]],הפחתה5[[#This Row],[ריבית]],הפחתה7[[#This Row],[ריבית]],הפחתה8[[#This Row],[ריבית]])</f>
        <v>334.40025796061559</v>
      </c>
      <c r="F339" s="13">
        <f ca="1">SUM(הפחתה[[#This Row],[קרן]],הפחתה5[[#This Row],[קרן]],הפחתה7[[#This Row],[קרן]],הפחתה8[[#This Row],[קרן]])</f>
        <v>2984.2472311536749</v>
      </c>
      <c r="G339" s="13">
        <f ca="1">IF(הפחתה23[[#This Row],[תאריך]]="",0,PropertyTaxAmount)</f>
        <v>0</v>
      </c>
      <c r="H339" s="13">
        <f ca="1">IF(הפחתה23[[#This Row],[תאריך]]="",0,הפחתה23[[#This Row],[ריבית]]+הפחתה23[[#This Row],[קרן]]+הפחתה23[[#This Row],[מס
רכוש]])</f>
        <v>3318.6474891142907</v>
      </c>
      <c r="I339" s="13">
        <f ca="1">IF(הפחתה23[[#This Row],[תאריך]]="",0,הפחתה23[[#This Row],[יתרת פתיחה]]-הפחתה23[[#This Row],[קרן]])</f>
        <v>75713.265953346927</v>
      </c>
      <c r="J339" s="11">
        <f ca="1">MAX(הפחתה[[#This Row],[תשלומים
שנותרו]],הפחתה5[[#This Row],[תשלומים
שנותרו]],הפחתה7[[#This Row],[תשלומים
שנותרו]],הפחתה8[[#This Row],[תשלומים
שנותרו]])</f>
        <v>24</v>
      </c>
    </row>
    <row r="340" spans="1:10" ht="15" customHeight="1" x14ac:dyDescent="0.25">
      <c r="A340" s="8"/>
      <c r="B340" s="11">
        <f>MAX(הפחתה[[#This Row],[מס'']],הפחתה5[[#This Row],[מס'']],הפחתה7[[#This Row],[מס'']],הפחתה8[[#This Row],[מס'']])</f>
        <v>337</v>
      </c>
      <c r="C340" s="12">
        <f ca="1">IF(ValuesEntered,IF(הפחתה23[[#This Row],[מס'']]&lt;=תקופת_ההלוואה,IF(ROW()-ROW(הפחתה[[#Headers],[תאריך]])=1,LoanStart,IF(I339&gt;0,EDATE(C339,1),"")),""),"")</f>
        <v>55610</v>
      </c>
      <c r="D340" s="13">
        <f ca="1">SUM(הפחתה[[#This Row],[יתרת פתיחה]],הפחתה5[[#This Row],[יתרת פתיחה]],הפחתה7[[#This Row],[יתרת פתיחה]],הפחתה8[[#This Row],[יתרת פתיחה]])</f>
        <v>75713.265953346927</v>
      </c>
      <c r="E340" s="13">
        <f ca="1">SUM(הפחתה[[#This Row],[ריבית]],הפחתה5[[#This Row],[ריבית]],הפחתה7[[#This Row],[ריבית]],הפחתה8[[#This Row],[ריבית]])</f>
        <v>321.16161914474026</v>
      </c>
      <c r="F340" s="13">
        <f ca="1">SUM(הפחתה[[#This Row],[קרן]],הפחתה5[[#This Row],[קרן]],הפחתה7[[#This Row],[קרן]],הפחתה8[[#This Row],[קרן]])</f>
        <v>2997.4276564246043</v>
      </c>
      <c r="G340" s="13">
        <f ca="1">IF(הפחתה23[[#This Row],[תאריך]]="",0,PropertyTaxAmount)</f>
        <v>0</v>
      </c>
      <c r="H340" s="13">
        <f ca="1">IF(הפחתה23[[#This Row],[תאריך]]="",0,הפחתה23[[#This Row],[ריבית]]+הפחתה23[[#This Row],[קרן]]+הפחתה23[[#This Row],[מס
רכוש]])</f>
        <v>3318.5892755693444</v>
      </c>
      <c r="I340" s="13">
        <f ca="1">IF(הפחתה23[[#This Row],[תאריך]]="",0,הפחתה23[[#This Row],[יתרת פתיחה]]-הפחתה23[[#This Row],[קרן]])</f>
        <v>72715.838296922317</v>
      </c>
      <c r="J340" s="11">
        <f ca="1">MAX(הפחתה[[#This Row],[תשלומים
שנותרו]],הפחתה5[[#This Row],[תשלומים
שנותרו]],הפחתה7[[#This Row],[תשלומים
שנותרו]],הפחתה8[[#This Row],[תשלומים
שנותרו]])</f>
        <v>23</v>
      </c>
    </row>
    <row r="341" spans="1:10" ht="15" customHeight="1" x14ac:dyDescent="0.25">
      <c r="A341" s="8"/>
      <c r="B341" s="11">
        <f>MAX(הפחתה[[#This Row],[מס'']],הפחתה5[[#This Row],[מס'']],הפחתה7[[#This Row],[מס'']],הפחתה8[[#This Row],[מס'']])</f>
        <v>338</v>
      </c>
      <c r="C341" s="12">
        <f ca="1">IF(ValuesEntered,IF(הפחתה23[[#This Row],[מס'']]&lt;=תקופת_ההלוואה,IF(ROW()-ROW(הפחתה[[#Headers],[תאריך]])=1,LoanStart,IF(I340&gt;0,EDATE(C340,1),"")),""),"")</f>
        <v>55640</v>
      </c>
      <c r="D341" s="13">
        <f ca="1">SUM(הפחתה[[#This Row],[יתרת פתיחה]],הפחתה5[[#This Row],[יתרת פתיחה]],הפחתה7[[#This Row],[יתרת פתיחה]],הפחתה8[[#This Row],[יתרת פתיחה]])</f>
        <v>72715.838296922317</v>
      </c>
      <c r="E341" s="13">
        <f ca="1">SUM(הפחתה[[#This Row],[ריבית]],הפחתה5[[#This Row],[ריבית]],הפחתה7[[#This Row],[ריבית]],הפחתה8[[#This Row],[ריבית]])</f>
        <v>307.86450967409485</v>
      </c>
      <c r="F341" s="13">
        <f ca="1">SUM(הפחתה[[#This Row],[קרן]],הפחתה5[[#This Row],[קרן]],הפחתה7[[#This Row],[קרן]],הפחתה8[[#This Row],[קרן]])</f>
        <v>3010.6662952404795</v>
      </c>
      <c r="G341" s="13">
        <f ca="1">IF(הפחתה23[[#This Row],[תאריך]]="",0,PropertyTaxAmount)</f>
        <v>0</v>
      </c>
      <c r="H341" s="13">
        <f ca="1">IF(הפחתה23[[#This Row],[תאריך]]="",0,הפחתה23[[#This Row],[ריבית]]+הפחתה23[[#This Row],[קרן]]+הפחתה23[[#This Row],[מס
רכוש]])</f>
        <v>3318.5308049145742</v>
      </c>
      <c r="I341" s="13">
        <f ca="1">IF(הפחתה23[[#This Row],[תאריך]]="",0,הפחתה23[[#This Row],[יתרת פתיחה]]-הפחתה23[[#This Row],[קרן]])</f>
        <v>69705.172001681844</v>
      </c>
      <c r="J341" s="11">
        <f ca="1">MAX(הפחתה[[#This Row],[תשלומים
שנותרו]],הפחתה5[[#This Row],[תשלומים
שנותרו]],הפחתה7[[#This Row],[תשלומים
שנותרו]],הפחתה8[[#This Row],[תשלומים
שנותרו]])</f>
        <v>22</v>
      </c>
    </row>
    <row r="342" spans="1:10" ht="15" customHeight="1" x14ac:dyDescent="0.25">
      <c r="A342" s="8"/>
      <c r="B342" s="11">
        <f>MAX(הפחתה[[#This Row],[מס'']],הפחתה5[[#This Row],[מס'']],הפחתה7[[#This Row],[מס'']],הפחתה8[[#This Row],[מס'']])</f>
        <v>339</v>
      </c>
      <c r="C342" s="12">
        <f ca="1">IF(ValuesEntered,IF(הפחתה23[[#This Row],[מס'']]&lt;=תקופת_ההלוואה,IF(ROW()-ROW(הפחתה[[#Headers],[תאריך]])=1,LoanStart,IF(I341&gt;0,EDATE(C341,1),"")),""),"")</f>
        <v>55671</v>
      </c>
      <c r="D342" s="13">
        <f ca="1">SUM(הפחתה[[#This Row],[יתרת פתיחה]],הפחתה5[[#This Row],[יתרת פתיחה]],הפחתה7[[#This Row],[יתרת פתיחה]],הפחתה8[[#This Row],[יתרת פתיחה]])</f>
        <v>69705.172001681844</v>
      </c>
      <c r="E342" s="13">
        <f ca="1">SUM(הפחתה[[#This Row],[ריבית]],הפחתה5[[#This Row],[ריבית]],הפחתה7[[#This Row],[ריבית]],הפחתה8[[#This Row],[ריבית]])</f>
        <v>294.50867130328737</v>
      </c>
      <c r="F342" s="13">
        <f ca="1">SUM(הפחתה[[#This Row],[קרן]],הפחתה5[[#This Row],[קרן]],הפחתה7[[#This Row],[קרן]],הפחתה8[[#This Row],[קרן]])</f>
        <v>3023.9634047111244</v>
      </c>
      <c r="G342" s="13">
        <f ca="1">IF(הפחתה23[[#This Row],[תאריך]]="",0,PropertyTaxAmount)</f>
        <v>0</v>
      </c>
      <c r="H342" s="13">
        <f ca="1">IF(הפחתה23[[#This Row],[תאריך]]="",0,הפחתה23[[#This Row],[ריבית]]+הפחתה23[[#This Row],[קרן]]+הפחתה23[[#This Row],[מס
רכוש]])</f>
        <v>3318.4720760144119</v>
      </c>
      <c r="I342" s="13">
        <f ca="1">IF(הפחתה23[[#This Row],[תאריך]]="",0,הפחתה23[[#This Row],[יתרת פתיחה]]-הפחתה23[[#This Row],[קרן]])</f>
        <v>66681.208596970726</v>
      </c>
      <c r="J342" s="11">
        <f ca="1">MAX(הפחתה[[#This Row],[תשלומים
שנותרו]],הפחתה5[[#This Row],[תשלומים
שנותרו]],הפחתה7[[#This Row],[תשלומים
שנותרו]],הפחתה8[[#This Row],[תשלומים
שנותרו]])</f>
        <v>21</v>
      </c>
    </row>
    <row r="343" spans="1:10" ht="15" customHeight="1" x14ac:dyDescent="0.25">
      <c r="A343" s="8"/>
      <c r="B343" s="11">
        <f>MAX(הפחתה[[#This Row],[מס'']],הפחתה5[[#This Row],[מס'']],הפחתה7[[#This Row],[מס'']],הפחתה8[[#This Row],[מס'']])</f>
        <v>340</v>
      </c>
      <c r="C343" s="12">
        <f ca="1">IF(ValuesEntered,IF(הפחתה23[[#This Row],[מס'']]&lt;=תקופת_ההלוואה,IF(ROW()-ROW(הפחתה[[#Headers],[תאריך]])=1,LoanStart,IF(I342&gt;0,EDATE(C342,1),"")),""),"")</f>
        <v>55701</v>
      </c>
      <c r="D343" s="13">
        <f ca="1">SUM(הפחתה[[#This Row],[יתרת פתיחה]],הפחתה5[[#This Row],[יתרת פתיחה]],הפחתה7[[#This Row],[יתרת פתיחה]],הפחתה8[[#This Row],[יתרת פתיחה]])</f>
        <v>66681.208596970726</v>
      </c>
      <c r="E343" s="13">
        <f ca="1">SUM(הפחתה[[#This Row],[ריבית]],הפחתה5[[#This Row],[ריבית]],הפחתה7[[#This Row],[ריבית]],הפחתה8[[#This Row],[ריבית]])</f>
        <v>281.09384464634218</v>
      </c>
      <c r="F343" s="13">
        <f ca="1">SUM(הפחתה[[#This Row],[קרן]],הפחתה5[[#This Row],[קרן]],הפחתה7[[#This Row],[קרן]],הפחתה8[[#This Row],[קרן]])</f>
        <v>3037.3192430819331</v>
      </c>
      <c r="G343" s="13">
        <f ca="1">IF(הפחתה23[[#This Row],[תאריך]]="",0,PropertyTaxAmount)</f>
        <v>0</v>
      </c>
      <c r="H343" s="13">
        <f ca="1">IF(הפחתה23[[#This Row],[תאריך]]="",0,הפחתה23[[#This Row],[ריבית]]+הפחתה23[[#This Row],[קרן]]+הפחתה23[[#This Row],[מס
רכוש]])</f>
        <v>3318.4130877282751</v>
      </c>
      <c r="I343" s="13">
        <f ca="1">IF(הפחתה23[[#This Row],[תאריך]]="",0,הפחתה23[[#This Row],[יתרת פתיחה]]-הפחתה23[[#This Row],[קרן]])</f>
        <v>63643.889353888793</v>
      </c>
      <c r="J343" s="11">
        <f ca="1">MAX(הפחתה[[#This Row],[תשלומים
שנותרו]],הפחתה5[[#This Row],[תשלומים
שנותרו]],הפחתה7[[#This Row],[תשלומים
שנותרו]],הפחתה8[[#This Row],[תשלומים
שנותרו]])</f>
        <v>20</v>
      </c>
    </row>
    <row r="344" spans="1:10" ht="15" customHeight="1" x14ac:dyDescent="0.25">
      <c r="A344" s="8"/>
      <c r="B344" s="11">
        <f>MAX(הפחתה[[#This Row],[מס'']],הפחתה5[[#This Row],[מס'']],הפחתה7[[#This Row],[מס'']],הפחתה8[[#This Row],[מס'']])</f>
        <v>341</v>
      </c>
      <c r="C344" s="12">
        <f ca="1">IF(ValuesEntered,IF(הפחתה23[[#This Row],[מס'']]&lt;=תקופת_ההלוואה,IF(ROW()-ROW(הפחתה[[#Headers],[תאריך]])=1,LoanStart,IF(I343&gt;0,EDATE(C343,1),"")),""),"")</f>
        <v>55732</v>
      </c>
      <c r="D344" s="13">
        <f ca="1">SUM(הפחתה[[#This Row],[יתרת פתיחה]],הפחתה5[[#This Row],[יתרת פתיחה]],הפחתה7[[#This Row],[יתרת פתיחה]],הפחתה8[[#This Row],[יתרת פתיחה]])</f>
        <v>63643.889353888793</v>
      </c>
      <c r="E344" s="13">
        <f ca="1">SUM(הפחתה[[#This Row],[ריבית]],הפחתה5[[#This Row],[ריבית]],הפחתה7[[#This Row],[ריבית]],הפחתה8[[#This Row],[ריבית]])</f>
        <v>267.61976917166214</v>
      </c>
      <c r="F344" s="13">
        <f ca="1">SUM(הפחתה[[#This Row],[קרן]],הפחתה5[[#This Row],[קרן]],הפחתה7[[#This Row],[קרן]],הפחתה8[[#This Row],[קרן]])</f>
        <v>3050.7340697388781</v>
      </c>
      <c r="G344" s="13">
        <f ca="1">IF(הפחתה23[[#This Row],[תאריך]]="",0,PropertyTaxAmount)</f>
        <v>0</v>
      </c>
      <c r="H344" s="13">
        <f ca="1">IF(הפחתה23[[#This Row],[תאריך]]="",0,הפחתה23[[#This Row],[ריבית]]+הפחתה23[[#This Row],[קרן]]+הפחתה23[[#This Row],[מס
רכוש]])</f>
        <v>3318.3538389105402</v>
      </c>
      <c r="I344" s="13">
        <f ca="1">IF(הפחתה23[[#This Row],[תאריך]]="",0,הפחתה23[[#This Row],[יתרת פתיחה]]-הפחתה23[[#This Row],[קרן]])</f>
        <v>60593.155284149914</v>
      </c>
      <c r="J344" s="11">
        <f ca="1">MAX(הפחתה[[#This Row],[תשלומים
שנותרו]],הפחתה5[[#This Row],[תשלומים
שנותרו]],הפחתה7[[#This Row],[תשלומים
שנותרו]],הפחתה8[[#This Row],[תשלומים
שנותרו]])</f>
        <v>19</v>
      </c>
    </row>
    <row r="345" spans="1:10" ht="15" customHeight="1" x14ac:dyDescent="0.25">
      <c r="A345" s="8"/>
      <c r="B345" s="11">
        <f>MAX(הפחתה[[#This Row],[מס'']],הפחתה5[[#This Row],[מס'']],הפחתה7[[#This Row],[מס'']],הפחתה8[[#This Row],[מס'']])</f>
        <v>342</v>
      </c>
      <c r="C345" s="12">
        <f ca="1">IF(ValuesEntered,IF(הפחתה23[[#This Row],[מס'']]&lt;=תקופת_ההלוואה,IF(ROW()-ROW(הפחתה[[#Headers],[תאריך]])=1,LoanStart,IF(I344&gt;0,EDATE(C344,1),"")),""),"")</f>
        <v>55763</v>
      </c>
      <c r="D345" s="13">
        <f ca="1">SUM(הפחתה[[#This Row],[יתרת פתיחה]],הפחתה5[[#This Row],[יתרת פתיחה]],הפחתה7[[#This Row],[יתרת פתיחה]],הפחתה8[[#This Row],[יתרת פתיחה]])</f>
        <v>60593.155284149914</v>
      </c>
      <c r="E345" s="13">
        <f ca="1">SUM(הפחתה[[#This Row],[ריבית]],הפחתה5[[#This Row],[ריבית]],הפחתה7[[#This Row],[ריבית]],הפחתה8[[#This Row],[ריבית]])</f>
        <v>254.0861831969689</v>
      </c>
      <c r="F345" s="13">
        <f ca="1">SUM(הפחתה[[#This Row],[קרן]],הפחתה5[[#This Row],[קרן]],הפחתה7[[#This Row],[קרן]],הפחתה8[[#This Row],[קרן]])</f>
        <v>3064.2081452135576</v>
      </c>
      <c r="G345" s="13">
        <f ca="1">IF(הפחתה23[[#This Row],[תאריך]]="",0,PropertyTaxAmount)</f>
        <v>0</v>
      </c>
      <c r="H345" s="13">
        <f ca="1">IF(הפחתה23[[#This Row],[תאריך]]="",0,הפחתה23[[#This Row],[ריבית]]+הפחתה23[[#This Row],[קרן]]+הפחתה23[[#This Row],[מס
רכוש]])</f>
        <v>3318.2943284105263</v>
      </c>
      <c r="I345" s="13">
        <f ca="1">IF(הפחתה23[[#This Row],[תאריך]]="",0,הפחתה23[[#This Row],[יתרת פתיחה]]-הפחתה23[[#This Row],[קרן]])</f>
        <v>57528.947138936353</v>
      </c>
      <c r="J345" s="11">
        <f ca="1">MAX(הפחתה[[#This Row],[תשלומים
שנותרו]],הפחתה5[[#This Row],[תשלומים
שנותרו]],הפחתה7[[#This Row],[תשלומים
שנותרו]],הפחתה8[[#This Row],[תשלומים
שנותרו]])</f>
        <v>18</v>
      </c>
    </row>
    <row r="346" spans="1:10" ht="15" customHeight="1" x14ac:dyDescent="0.25">
      <c r="A346" s="8"/>
      <c r="B346" s="11">
        <f>MAX(הפחתה[[#This Row],[מס'']],הפחתה5[[#This Row],[מס'']],הפחתה7[[#This Row],[מס'']],הפחתה8[[#This Row],[מס'']])</f>
        <v>343</v>
      </c>
      <c r="C346" s="12">
        <f ca="1">IF(ValuesEntered,IF(הפחתה23[[#This Row],[מס'']]&lt;=תקופת_ההלוואה,IF(ROW()-ROW(הפחתה[[#Headers],[תאריך]])=1,LoanStart,IF(I345&gt;0,EDATE(C345,1),"")),""),"")</f>
        <v>55793</v>
      </c>
      <c r="D346" s="13">
        <f ca="1">SUM(הפחתה[[#This Row],[יתרת פתיחה]],הפחתה5[[#This Row],[יתרת פתיחה]],הפחתה7[[#This Row],[יתרת פתיחה]],הפחתה8[[#This Row],[יתרת פתיחה]])</f>
        <v>57528.947138936353</v>
      </c>
      <c r="E346" s="13">
        <f ca="1">SUM(הפחתה[[#This Row],[ריבית]],הפחתה5[[#This Row],[ריבית]],הפחתה7[[#This Row],[ריבית]],הפחתה8[[#This Row],[ריבית]])</f>
        <v>240.4928238842208</v>
      </c>
      <c r="F346" s="13">
        <f ca="1">SUM(הפחתה[[#This Row],[קרן]],הפחתה5[[#This Row],[קרן]],הפחתה7[[#This Row],[קרן]],הפחתה8[[#This Row],[קרן]])</f>
        <v>3077.7417311882509</v>
      </c>
      <c r="G346" s="13">
        <f ca="1">IF(הפחתה23[[#This Row],[תאריך]]="",0,PropertyTaxAmount)</f>
        <v>0</v>
      </c>
      <c r="H346" s="13">
        <f ca="1">IF(הפחתה23[[#This Row],[תאריך]]="",0,הפחתה23[[#This Row],[ריבית]]+הפחתה23[[#This Row],[קרן]]+הפחתה23[[#This Row],[מס
רכוש]])</f>
        <v>3318.2345550724717</v>
      </c>
      <c r="I346" s="13">
        <f ca="1">IF(הפחתה23[[#This Row],[תאריך]]="",0,הפחתה23[[#This Row],[יתרת פתיחה]]-הפחתה23[[#This Row],[קרן]])</f>
        <v>54451.205407748101</v>
      </c>
      <c r="J346" s="11">
        <f ca="1">MAX(הפחתה[[#This Row],[תשלומים
שנותרו]],הפחתה5[[#This Row],[תשלומים
שנותרו]],הפחתה7[[#This Row],[תשלומים
שנותרו]],הפחתה8[[#This Row],[תשלומים
שנותרו]])</f>
        <v>17</v>
      </c>
    </row>
    <row r="347" spans="1:10" ht="15" customHeight="1" x14ac:dyDescent="0.25">
      <c r="A347" s="8"/>
      <c r="B347" s="11">
        <f>MAX(הפחתה[[#This Row],[מס'']],הפחתה5[[#This Row],[מס'']],הפחתה7[[#This Row],[מס'']],הפחתה8[[#This Row],[מס'']])</f>
        <v>344</v>
      </c>
      <c r="C347" s="12">
        <f ca="1">IF(ValuesEntered,IF(הפחתה23[[#This Row],[מס'']]&lt;=תקופת_ההלוואה,IF(ROW()-ROW(הפחתה[[#Headers],[תאריך]])=1,LoanStart,IF(I346&gt;0,EDATE(C346,1),"")),""),"")</f>
        <v>55824</v>
      </c>
      <c r="D347" s="13">
        <f ca="1">SUM(הפחתה[[#This Row],[יתרת פתיחה]],הפחתה5[[#This Row],[יתרת פתיחה]],הפחתה7[[#This Row],[יתרת פתיחה]],הפחתה8[[#This Row],[יתרת פתיחה]])</f>
        <v>54451.205407748101</v>
      </c>
      <c r="E347" s="13">
        <f ca="1">SUM(הפחתה[[#This Row],[ריבית]],הפחתה5[[#This Row],[ריבית]],הפחתה7[[#This Row],[ריבית]],הפחתה8[[#This Row],[ריבית]])</f>
        <v>226.83942723450804</v>
      </c>
      <c r="F347" s="13">
        <f ca="1">SUM(הפחתה[[#This Row],[קרן]],הפחתה5[[#This Row],[קרן]],הפחתה7[[#This Row],[קרן]],הפחתה8[[#This Row],[קרן]])</f>
        <v>3091.3350905009993</v>
      </c>
      <c r="G347" s="13">
        <f ca="1">IF(הפחתה23[[#This Row],[תאריך]]="",0,PropertyTaxAmount)</f>
        <v>0</v>
      </c>
      <c r="H347" s="13">
        <f ca="1">IF(הפחתה23[[#This Row],[תאריך]]="",0,הפחתה23[[#This Row],[ריבית]]+הפחתה23[[#This Row],[קרן]]+הפחתה23[[#This Row],[מס
רכוש]])</f>
        <v>3318.1745177355074</v>
      </c>
      <c r="I347" s="13">
        <f ca="1">IF(הפחתה23[[#This Row],[תאריך]]="",0,הפחתה23[[#This Row],[יתרת פתיחה]]-הפחתה23[[#This Row],[קרן]])</f>
        <v>51359.8703172471</v>
      </c>
      <c r="J347" s="11">
        <f ca="1">MAX(הפחתה[[#This Row],[תשלומים
שנותרו]],הפחתה5[[#This Row],[תשלומים
שנותרו]],הפחתה7[[#This Row],[תשלומים
שנותרו]],הפחתה8[[#This Row],[תשלומים
שנותרו]])</f>
        <v>16</v>
      </c>
    </row>
    <row r="348" spans="1:10" ht="15" customHeight="1" x14ac:dyDescent="0.25">
      <c r="A348" s="8"/>
      <c r="B348" s="11">
        <f>MAX(הפחתה[[#This Row],[מס'']],הפחתה5[[#This Row],[מס'']],הפחתה7[[#This Row],[מס'']],הפחתה8[[#This Row],[מס'']])</f>
        <v>345</v>
      </c>
      <c r="C348" s="12">
        <f ca="1">IF(ValuesEntered,IF(הפחתה23[[#This Row],[מס'']]&lt;=תקופת_ההלוואה,IF(ROW()-ROW(הפחתה[[#Headers],[תאריך]])=1,LoanStart,IF(I347&gt;0,EDATE(C347,1),"")),""),"")</f>
        <v>55854</v>
      </c>
      <c r="D348" s="13">
        <f ca="1">SUM(הפחתה[[#This Row],[יתרת פתיחה]],הפחתה5[[#This Row],[יתרת פתיחה]],הפחתה7[[#This Row],[יתרת פתיחה]],הפחתה8[[#This Row],[יתרת פתיחה]])</f>
        <v>51359.8703172471</v>
      </c>
      <c r="E348" s="13">
        <f ca="1">SUM(הפחתה[[#This Row],[ריבית]],הפחתה5[[#This Row],[ריבית]],הפחתה7[[#This Row],[ריבית]],הפחתה8[[#This Row],[ריבית]])</f>
        <v>213.12572808292572</v>
      </c>
      <c r="F348" s="13">
        <f ca="1">SUM(הפחתה[[#This Row],[קרן]],הפחתה5[[#This Row],[קרן]],הפחתה7[[#This Row],[קרן]],הפחתה8[[#This Row],[קרן]])</f>
        <v>3104.988487150712</v>
      </c>
      <c r="G348" s="13">
        <f ca="1">IF(הפחתה23[[#This Row],[תאריך]]="",0,PropertyTaxAmount)</f>
        <v>0</v>
      </c>
      <c r="H348" s="13">
        <f ca="1">IF(הפחתה23[[#This Row],[תאריך]]="",0,הפחתה23[[#This Row],[ריבית]]+הפחתה23[[#This Row],[קרן]]+הפחתה23[[#This Row],[מס
רכוש]])</f>
        <v>3318.1142152336379</v>
      </c>
      <c r="I348" s="13">
        <f ca="1">IF(הפחתה23[[#This Row],[תאריך]]="",0,הפחתה23[[#This Row],[יתרת פתיחה]]-הפחתה23[[#This Row],[קרן]])</f>
        <v>48254.88183009639</v>
      </c>
      <c r="J348" s="11">
        <f ca="1">MAX(הפחתה[[#This Row],[תשלומים
שנותרו]],הפחתה5[[#This Row],[תשלומים
שנותרו]],הפחתה7[[#This Row],[תשלומים
שנותרו]],הפחתה8[[#This Row],[תשלומים
שנותרו]])</f>
        <v>15</v>
      </c>
    </row>
    <row r="349" spans="1:10" ht="15" customHeight="1" x14ac:dyDescent="0.25">
      <c r="A349" s="8"/>
      <c r="B349" s="11">
        <f>MAX(הפחתה[[#This Row],[מס'']],הפחתה5[[#This Row],[מס'']],הפחתה7[[#This Row],[מס'']],הפחתה8[[#This Row],[מס'']])</f>
        <v>346</v>
      </c>
      <c r="C349" s="12">
        <f ca="1">IF(ValuesEntered,IF(הפחתה23[[#This Row],[מס'']]&lt;=תקופת_ההלוואה,IF(ROW()-ROW(הפחתה[[#Headers],[תאריך]])=1,LoanStart,IF(I348&gt;0,EDATE(C348,1),"")),""),"")</f>
        <v>55885</v>
      </c>
      <c r="D349" s="13">
        <f ca="1">SUM(הפחתה[[#This Row],[יתרת פתיחה]],הפחתה5[[#This Row],[יתרת פתיחה]],הפחתה7[[#This Row],[יתרת פתיחה]],הפחתה8[[#This Row],[יתרת פתיחה]])</f>
        <v>48254.88183009639</v>
      </c>
      <c r="E349" s="13">
        <f ca="1">SUM(הפחתה[[#This Row],[ריבית]],הפחתה5[[#This Row],[ריבית]],הפחתה7[[#This Row],[ריבית]],הפחתה8[[#This Row],[ריבית]])</f>
        <v>199.35146009342392</v>
      </c>
      <c r="F349" s="13">
        <f ca="1">SUM(הפחתה[[#This Row],[קרן]],הפחתה5[[#This Row],[קרן]],הפחתה7[[#This Row],[קרן]],הפחתה8[[#This Row],[קרן]])</f>
        <v>3118.7021863022946</v>
      </c>
      <c r="G349" s="13">
        <f ca="1">IF(הפחתה23[[#This Row],[תאריך]]="",0,PropertyTaxAmount)</f>
        <v>0</v>
      </c>
      <c r="H349" s="13">
        <f ca="1">IF(הפחתה23[[#This Row],[תאריך]]="",0,הפחתה23[[#This Row],[ריבית]]+הפחתה23[[#This Row],[קרן]]+הפחתה23[[#This Row],[מס
רכוש]])</f>
        <v>3318.0536463957187</v>
      </c>
      <c r="I349" s="13">
        <f ca="1">IF(הפחתה23[[#This Row],[תאריך]]="",0,הפחתה23[[#This Row],[יתרת פתיחה]]-הפחתה23[[#This Row],[קרן]])</f>
        <v>45136.179643794094</v>
      </c>
      <c r="J349" s="11">
        <f ca="1">MAX(הפחתה[[#This Row],[תשלומים
שנותרו]],הפחתה5[[#This Row],[תשלומים
שנותרו]],הפחתה7[[#This Row],[תשלומים
שנותרו]],הפחתה8[[#This Row],[תשלומים
שנותרו]])</f>
        <v>14</v>
      </c>
    </row>
    <row r="350" spans="1:10" ht="15" customHeight="1" x14ac:dyDescent="0.25">
      <c r="A350" s="8"/>
      <c r="B350" s="11">
        <f>MAX(הפחתה[[#This Row],[מס'']],הפחתה5[[#This Row],[מס'']],הפחתה7[[#This Row],[מס'']],הפחתה8[[#This Row],[מס'']])</f>
        <v>347</v>
      </c>
      <c r="C350" s="12">
        <f ca="1">IF(ValuesEntered,IF(הפחתה23[[#This Row],[מס'']]&lt;=תקופת_ההלוואה,IF(ROW()-ROW(הפחתה[[#Headers],[תאריך]])=1,LoanStart,IF(I349&gt;0,EDATE(C349,1),"")),""),"")</f>
        <v>55916</v>
      </c>
      <c r="D350" s="13">
        <f ca="1">SUM(הפחתה[[#This Row],[יתרת פתיחה]],הפחתה5[[#This Row],[יתרת פתיחה]],הפחתה7[[#This Row],[יתרת פתיחה]],הפחתה8[[#This Row],[יתרת פתיחה]])</f>
        <v>45136.179643794094</v>
      </c>
      <c r="E350" s="13">
        <f ca="1">SUM(הפחתה[[#This Row],[ריבית]],הפחתה5[[#This Row],[ריבית]],הפחתה7[[#This Row],[ריבית]],הפחתה8[[#This Row],[ריבית]])</f>
        <v>185.51635575363514</v>
      </c>
      <c r="F350" s="13">
        <f ca="1">SUM(הפחתה[[#This Row],[קרן]],הפחתה5[[#This Row],[קרן]],הפחתה7[[#This Row],[קרן]],הפחתה8[[#This Row],[קרן]])</f>
        <v>3132.4764542917956</v>
      </c>
      <c r="G350" s="13">
        <f ca="1">IF(הפחתה23[[#This Row],[תאריך]]="",0,PropertyTaxAmount)</f>
        <v>0</v>
      </c>
      <c r="H350" s="13">
        <f ca="1">IF(הפחתה23[[#This Row],[תאריך]]="",0,הפחתה23[[#This Row],[ריבית]]+הפחתה23[[#This Row],[קרן]]+הפחתה23[[#This Row],[מס
רכוש]])</f>
        <v>3317.9928100454308</v>
      </c>
      <c r="I350" s="13">
        <f ca="1">IF(הפחתה23[[#This Row],[תאריך]]="",0,הפחתה23[[#This Row],[יתרת פתיחה]]-הפחתה23[[#This Row],[קרן]])</f>
        <v>42003.703189502296</v>
      </c>
      <c r="J350" s="11">
        <f ca="1">MAX(הפחתה[[#This Row],[תשלומים
שנותרו]],הפחתה5[[#This Row],[תשלומים
שנותרו]],הפחתה7[[#This Row],[תשלומים
שנותרו]],הפחתה8[[#This Row],[תשלומים
שנותרו]])</f>
        <v>13</v>
      </c>
    </row>
    <row r="351" spans="1:10" ht="15" customHeight="1" x14ac:dyDescent="0.25">
      <c r="A351" s="8"/>
      <c r="B351" s="11">
        <f>MAX(הפחתה[[#This Row],[מס'']],הפחתה5[[#This Row],[מס'']],הפחתה7[[#This Row],[מס'']],הפחתה8[[#This Row],[מס'']])</f>
        <v>348</v>
      </c>
      <c r="C351" s="12">
        <f ca="1">IF(ValuesEntered,IF(הפחתה23[[#This Row],[מס'']]&lt;=תקופת_ההלוואה,IF(ROW()-ROW(הפחתה[[#Headers],[תאריך]])=1,LoanStart,IF(I350&gt;0,EDATE(C350,1),"")),""),"")</f>
        <v>55944</v>
      </c>
      <c r="D351" s="13">
        <f ca="1">SUM(הפחתה[[#This Row],[יתרת פתיחה]],הפחתה5[[#This Row],[יתרת פתיחה]],הפחתה7[[#This Row],[יתרת פתיחה]],הפחתה8[[#This Row],[יתרת פתיחה]])</f>
        <v>42003.703189502296</v>
      </c>
      <c r="E351" s="13">
        <f ca="1">SUM(הפחתה[[#This Row],[ריבית]],הפחתה5[[#This Row],[ריבית]],הפחתה7[[#This Row],[ריבית]],הפחתה8[[#This Row],[ריבית]])</f>
        <v>171.62014636967899</v>
      </c>
      <c r="F351" s="13">
        <f ca="1">SUM(הפחתה[[#This Row],[קרן]],הפחתה5[[#This Row],[קרן]],הפחתה7[[#This Row],[קרן]],הפחתה8[[#This Row],[קרן]])</f>
        <v>3146.3115586315839</v>
      </c>
      <c r="G351" s="13">
        <f ca="1">IF(הפחתה23[[#This Row],[תאריך]]="",0,PropertyTaxAmount)</f>
        <v>0</v>
      </c>
      <c r="H351" s="13">
        <f ca="1">IF(הפחתה23[[#This Row],[תאריך]]="",0,הפחתה23[[#This Row],[ריבית]]+הפחתה23[[#This Row],[קרן]]+הפחתה23[[#This Row],[מס
רכוש]])</f>
        <v>3317.9317050012628</v>
      </c>
      <c r="I351" s="13">
        <f ca="1">IF(הפחתה23[[#This Row],[תאריך]]="",0,הפחתה23[[#This Row],[יתרת פתיחה]]-הפחתה23[[#This Row],[קרן]])</f>
        <v>38857.391630870712</v>
      </c>
      <c r="J351" s="11">
        <f ca="1">MAX(הפחתה[[#This Row],[תשלומים
שנותרו]],הפחתה5[[#This Row],[תשלומים
שנותרו]],הפחתה7[[#This Row],[תשלומים
שנותרו]],הפחתה8[[#This Row],[תשלומים
שנותרו]])</f>
        <v>12</v>
      </c>
    </row>
    <row r="352" spans="1:10" ht="15" customHeight="1" x14ac:dyDescent="0.25">
      <c r="A352" s="8"/>
      <c r="B352" s="11">
        <f>MAX(הפחתה[[#This Row],[מס'']],הפחתה5[[#This Row],[מס'']],הפחתה7[[#This Row],[מס'']],הפחתה8[[#This Row],[מס'']])</f>
        <v>349</v>
      </c>
      <c r="C352" s="12">
        <f ca="1">IF(ValuesEntered,IF(הפחתה23[[#This Row],[מס'']]&lt;=תקופת_ההלוואה,IF(ROW()-ROW(הפחתה[[#Headers],[תאריך]])=1,LoanStart,IF(I351&gt;0,EDATE(C351,1),"")),""),"")</f>
        <v>55975</v>
      </c>
      <c r="D352" s="13">
        <f ca="1">SUM(הפחתה[[#This Row],[יתרת פתיחה]],הפחתה5[[#This Row],[יתרת פתיחה]],הפחתה7[[#This Row],[יתרת פתיחה]],הפחתה8[[#This Row],[יתרת פתיחה]])</f>
        <v>38857.391630870712</v>
      </c>
      <c r="E352" s="13">
        <f ca="1">SUM(הפחתה[[#This Row],[ריבית]],הפחתה5[[#This Row],[ריבית]],הפחתה7[[#This Row],[ריבית]],הפחתה8[[#This Row],[ריבית]])</f>
        <v>157.66256206094369</v>
      </c>
      <c r="F352" s="13">
        <f ca="1">SUM(הפחתה[[#This Row],[קרן]],הפחתה5[[#This Row],[קרן]],הפחתה7[[#This Row],[קרן]],הפחתה8[[#This Row],[קרן]])</f>
        <v>3160.2077680155403</v>
      </c>
      <c r="G352" s="13">
        <f ca="1">IF(הפחתה23[[#This Row],[תאריך]]="",0,PropertyTaxAmount)</f>
        <v>0</v>
      </c>
      <c r="H352" s="13">
        <f ca="1">IF(הפחתה23[[#This Row],[תאריך]]="",0,הפחתה23[[#This Row],[ריבית]]+הפחתה23[[#This Row],[קרן]]+הפחתה23[[#This Row],[מס
רכוש]])</f>
        <v>3317.8703300764842</v>
      </c>
      <c r="I352" s="13">
        <f ca="1">IF(הפחתה23[[#This Row],[תאריך]]="",0,הפחתה23[[#This Row],[יתרת פתיחה]]-הפחתה23[[#This Row],[קרן]])</f>
        <v>35697.18386285517</v>
      </c>
      <c r="J352" s="11">
        <f ca="1">MAX(הפחתה[[#This Row],[תשלומים
שנותרו]],הפחתה5[[#This Row],[תשלומים
שנותרו]],הפחתה7[[#This Row],[תשלומים
שנותרו]],הפחתה8[[#This Row],[תשלומים
שנותרו]])</f>
        <v>11</v>
      </c>
    </row>
    <row r="353" spans="1:10" ht="15" customHeight="1" x14ac:dyDescent="0.25">
      <c r="A353" s="8"/>
      <c r="B353" s="11">
        <f>MAX(הפחתה[[#This Row],[מס'']],הפחתה5[[#This Row],[מס'']],הפחתה7[[#This Row],[מס'']],הפחתה8[[#This Row],[מס'']])</f>
        <v>350</v>
      </c>
      <c r="C353" s="12">
        <f ca="1">IF(ValuesEntered,IF(הפחתה23[[#This Row],[מס'']]&lt;=תקופת_ההלוואה,IF(ROW()-ROW(הפחתה[[#Headers],[תאריך]])=1,LoanStart,IF(I352&gt;0,EDATE(C352,1),"")),""),"")</f>
        <v>56005</v>
      </c>
      <c r="D353" s="13">
        <f ca="1">SUM(הפחתה[[#This Row],[יתרת פתיחה]],הפחתה5[[#This Row],[יתרת פתיחה]],הפחתה7[[#This Row],[יתרת פתיחה]],הפחתה8[[#This Row],[יתרת פתיחה]])</f>
        <v>35697.18386285517</v>
      </c>
      <c r="E353" s="13">
        <f ca="1">SUM(הפחתה[[#This Row],[ריבית]],הפחתה5[[#This Row],[ריבית]],הפחתה7[[#This Row],[ריבית]],הפחתה8[[#This Row],[ריבית]])</f>
        <v>143.64333175484478</v>
      </c>
      <c r="F353" s="13">
        <f ca="1">SUM(הפחתה[[#This Row],[קרן]],הפחתה5[[#This Row],[קרן]],הפחתה7[[#This Row],[קרן]],הפחתה8[[#This Row],[קרן]])</f>
        <v>3174.1653523242753</v>
      </c>
      <c r="G353" s="13">
        <f ca="1">IF(הפחתה23[[#This Row],[תאריך]]="",0,PropertyTaxAmount)</f>
        <v>0</v>
      </c>
      <c r="H353" s="13">
        <f ca="1">IF(הפחתה23[[#This Row],[תאריך]]="",0,הפחתה23[[#This Row],[ריבית]]+הפחתה23[[#This Row],[קרן]]+הפחתה23[[#This Row],[מס
רכוש]])</f>
        <v>3317.8086840791202</v>
      </c>
      <c r="I353" s="13">
        <f ca="1">IF(הפחתה23[[#This Row],[תאריך]]="",0,הפחתה23[[#This Row],[יתרת פתיחה]]-הפחתה23[[#This Row],[קרן]])</f>
        <v>32523.018510530896</v>
      </c>
      <c r="J353" s="11">
        <f ca="1">MAX(הפחתה[[#This Row],[תשלומים
שנותרו]],הפחתה5[[#This Row],[תשלומים
שנותרו]],הפחתה7[[#This Row],[תשלומים
שנותרו]],הפחתה8[[#This Row],[תשלומים
שנותרו]])</f>
        <v>10</v>
      </c>
    </row>
    <row r="354" spans="1:10" ht="15" customHeight="1" x14ac:dyDescent="0.25">
      <c r="A354" s="8"/>
      <c r="B354" s="11">
        <f>MAX(הפחתה[[#This Row],[מס'']],הפחתה5[[#This Row],[מס'']],הפחתה7[[#This Row],[מס'']],הפחתה8[[#This Row],[מס'']])</f>
        <v>351</v>
      </c>
      <c r="C354" s="12">
        <f ca="1">IF(ValuesEntered,IF(הפחתה23[[#This Row],[מס'']]&lt;=תקופת_ההלוואה,IF(ROW()-ROW(הפחתה[[#Headers],[תאריך]])=1,LoanStart,IF(I353&gt;0,EDATE(C353,1),"")),""),"")</f>
        <v>56036</v>
      </c>
      <c r="D354" s="13">
        <f ca="1">SUM(הפחתה[[#This Row],[יתרת פתיחה]],הפחתה5[[#This Row],[יתרת פתיחה]],הפחתה7[[#This Row],[יתרת פתיחה]],הפחתה8[[#This Row],[יתרת פתיחה]])</f>
        <v>32523.018510530896</v>
      </c>
      <c r="E354" s="13">
        <f ca="1">SUM(הפחתה[[#This Row],[ריבית]],הפחתה5[[#This Row],[ריבית]],הפחתה7[[#This Row],[ריבית]],הפחתה8[[#This Row],[ריבית]])</f>
        <v>129.56218318156064</v>
      </c>
      <c r="F354" s="13">
        <f ca="1">SUM(הפחתה[[#This Row],[קרן]],הפחתה5[[#This Row],[קרן]],הפחתה7[[#This Row],[קרן]],הפחתה8[[#This Row],[קרן]])</f>
        <v>3188.1845826303752</v>
      </c>
      <c r="G354" s="13">
        <f ca="1">IF(הפחתה23[[#This Row],[תאריך]]="",0,PropertyTaxAmount)</f>
        <v>0</v>
      </c>
      <c r="H354" s="13">
        <f ca="1">IF(הפחתה23[[#This Row],[תאריך]]="",0,הפחתה23[[#This Row],[ריבית]]+הפחתה23[[#This Row],[קרן]]+הפחתה23[[#This Row],[מס
רכוש]])</f>
        <v>3317.7467658119358</v>
      </c>
      <c r="I354" s="13">
        <f ca="1">IF(הפחתה23[[#This Row],[תאריך]]="",0,הפחתה23[[#This Row],[יתרת פתיחה]]-הפחתה23[[#This Row],[קרן]])</f>
        <v>29334.833927900519</v>
      </c>
      <c r="J354" s="11">
        <f ca="1">MAX(הפחתה[[#This Row],[תשלומים
שנותרו]],הפחתה5[[#This Row],[תשלומים
שנותרו]],הפחתה7[[#This Row],[תשלומים
שנותרו]],הפחתה8[[#This Row],[תשלומים
שנותרו]])</f>
        <v>9</v>
      </c>
    </row>
    <row r="355" spans="1:10" ht="15" customHeight="1" x14ac:dyDescent="0.25">
      <c r="A355" s="8"/>
      <c r="B355" s="11">
        <f>MAX(הפחתה[[#This Row],[מס'']],הפחתה5[[#This Row],[מס'']],הפחתה7[[#This Row],[מס'']],הפחתה8[[#This Row],[מס'']])</f>
        <v>352</v>
      </c>
      <c r="C355" s="12">
        <f ca="1">IF(ValuesEntered,IF(הפחתה23[[#This Row],[מס'']]&lt;=תקופת_ההלוואה,IF(ROW()-ROW(הפחתה[[#Headers],[תאריך]])=1,LoanStart,IF(I354&gt;0,EDATE(C354,1),"")),""),"")</f>
        <v>56066</v>
      </c>
      <c r="D355" s="13">
        <f ca="1">SUM(הפחתה[[#This Row],[יתרת פתיחה]],הפחתה5[[#This Row],[יתרת פתיחה]],הפחתה7[[#This Row],[יתרת פתיחה]],הפחתה8[[#This Row],[יתרת פתיחה]])</f>
        <v>29334.833927900519</v>
      </c>
      <c r="E355" s="13">
        <f ca="1">SUM(הפחתה[[#This Row],[ריבית]],הפחתה5[[#This Row],[ריבית]],הפחתה7[[#This Row],[ריבית]],הפחתה8[[#This Row],[ריבית]])</f>
        <v>115.41884286874446</v>
      </c>
      <c r="F355" s="13">
        <f ca="1">SUM(הפחתה[[#This Row],[קרן]],הפחתה5[[#This Row],[קרן]],הפחתה7[[#This Row],[קרן]],הפחתה8[[#This Row],[קרן]])</f>
        <v>3202.2657312036586</v>
      </c>
      <c r="G355" s="13">
        <f ca="1">IF(הפחתה23[[#This Row],[תאריך]]="",0,PropertyTaxAmount)</f>
        <v>0</v>
      </c>
      <c r="H355" s="13">
        <f ca="1">IF(הפחתה23[[#This Row],[תאריך]]="",0,הפחתה23[[#This Row],[ריבית]]+הפחתה23[[#This Row],[קרן]]+הפחתה23[[#This Row],[מס
רכוש]])</f>
        <v>3317.6845740724029</v>
      </c>
      <c r="I355" s="13">
        <f ca="1">IF(הפחתה23[[#This Row],[תאריך]]="",0,הפחתה23[[#This Row],[יתרת פתיחה]]-הפחתה23[[#This Row],[קרן]])</f>
        <v>26132.568196696862</v>
      </c>
      <c r="J355" s="11">
        <f ca="1">MAX(הפחתה[[#This Row],[תשלומים
שנותרו]],הפחתה5[[#This Row],[תשלומים
שנותרו]],הפחתה7[[#This Row],[תשלומים
שנותרו]],הפחתה8[[#This Row],[תשלומים
שנותרו]])</f>
        <v>8</v>
      </c>
    </row>
    <row r="356" spans="1:10" ht="15" customHeight="1" x14ac:dyDescent="0.25">
      <c r="A356" s="8"/>
      <c r="B356" s="11">
        <f>MAX(הפחתה[[#This Row],[מס'']],הפחתה5[[#This Row],[מס'']],הפחתה7[[#This Row],[מס'']],הפחתה8[[#This Row],[מס'']])</f>
        <v>353</v>
      </c>
      <c r="C356" s="12">
        <f ca="1">IF(ValuesEntered,IF(הפחתה23[[#This Row],[מס'']]&lt;=תקופת_ההלוואה,IF(ROW()-ROW(הפחתה[[#Headers],[תאריך]])=1,LoanStart,IF(I355&gt;0,EDATE(C355,1),"")),""),"")</f>
        <v>56097</v>
      </c>
      <c r="D356" s="13">
        <f ca="1">SUM(הפחתה[[#This Row],[יתרת פתיחה]],הפחתה5[[#This Row],[יתרת פתיחה]],הפחתה7[[#This Row],[יתרת פתיחה]],הפחתה8[[#This Row],[יתרת פתיחה]])</f>
        <v>26132.568196696862</v>
      </c>
      <c r="E356" s="13">
        <f ca="1">SUM(הפחתה[[#This Row],[ריבית]],הפחתה5[[#This Row],[ריבית]],הפחתה7[[#This Row],[ריבית]],הפחתה8[[#This Row],[ריבית]])</f>
        <v>101.21303613621338</v>
      </c>
      <c r="F356" s="13">
        <f ca="1">SUM(הפחתה[[#This Row],[קרן]],הפחתה5[[#This Row],[קרן]],הפחתה7[[#This Row],[קרן]],הפחתה8[[#This Row],[קרן]])</f>
        <v>3216.4090715164748</v>
      </c>
      <c r="G356" s="13">
        <f ca="1">IF(הפחתה23[[#This Row],[תאריך]]="",0,PropertyTaxAmount)</f>
        <v>0</v>
      </c>
      <c r="H356" s="13">
        <f ca="1">IF(הפחתה23[[#This Row],[תאריך]]="",0,הפחתה23[[#This Row],[ריבית]]+הפחתה23[[#This Row],[קרן]]+הפחתה23[[#This Row],[מס
רכוש]])</f>
        <v>3317.6221076526881</v>
      </c>
      <c r="I356" s="13">
        <f ca="1">IF(הפחתה23[[#This Row],[תאריך]]="",0,הפחתה23[[#This Row],[יתרת פתיחה]]-הפחתה23[[#This Row],[קרן]])</f>
        <v>22916.159125180387</v>
      </c>
      <c r="J356" s="11">
        <f ca="1">MAX(הפחתה[[#This Row],[תשלומים
שנותרו]],הפחתה5[[#This Row],[תשלומים
שנותרו]],הפחתה7[[#This Row],[תשלומים
שנותרו]],הפחתה8[[#This Row],[תשלומים
שנותרו]])</f>
        <v>7</v>
      </c>
    </row>
    <row r="357" spans="1:10" ht="15" customHeight="1" x14ac:dyDescent="0.25">
      <c r="A357" s="8"/>
      <c r="B357" s="11">
        <f>MAX(הפחתה[[#This Row],[מס'']],הפחתה5[[#This Row],[מס'']],הפחתה7[[#This Row],[מס'']],הפחתה8[[#This Row],[מס'']])</f>
        <v>354</v>
      </c>
      <c r="C357" s="12">
        <f ca="1">IF(ValuesEntered,IF(הפחתה23[[#This Row],[מס'']]&lt;=תקופת_ההלוואה,IF(ROW()-ROW(הפחתה[[#Headers],[תאריך]])=1,LoanStart,IF(I356&gt;0,EDATE(C356,1),"")),""),"")</f>
        <v>56128</v>
      </c>
      <c r="D357" s="13">
        <f ca="1">SUM(הפחתה[[#This Row],[יתרת פתיחה]],הפחתה5[[#This Row],[יתרת פתיחה]],הפחתה7[[#This Row],[יתרת פתיחה]],הפחתה8[[#This Row],[יתרת פתיחה]])</f>
        <v>22916.159125180387</v>
      </c>
      <c r="E357" s="13">
        <f ca="1">SUM(הפחתה[[#This Row],[ריבית]],הפחתה5[[#This Row],[ריבית]],הפחתה7[[#This Row],[ריבית]],הפחתה8[[#This Row],[ריבית]])</f>
        <v>86.944487090613606</v>
      </c>
      <c r="F357" s="13">
        <f ca="1">SUM(הפחתה[[#This Row],[קרן]],הפחתה5[[#This Row],[קרן]],הפחתה7[[#This Row],[קרן]],הפחתה8[[#This Row],[קרן]])</f>
        <v>3230.6148782490063</v>
      </c>
      <c r="G357" s="13">
        <f ca="1">IF(הפחתה23[[#This Row],[תאריך]]="",0,PropertyTaxAmount)</f>
        <v>0</v>
      </c>
      <c r="H357" s="13">
        <f ca="1">IF(הפחתה23[[#This Row],[תאריך]]="",0,הפחתה23[[#This Row],[ריבית]]+הפחתה23[[#This Row],[קרן]]+הפחתה23[[#This Row],[מס
רכוש]])</f>
        <v>3317.5593653396199</v>
      </c>
      <c r="I357" s="13">
        <f ca="1">IF(הפחתה23[[#This Row],[תאריך]]="",0,הפחתה23[[#This Row],[יתרת פתיחה]]-הפחתה23[[#This Row],[קרן]])</f>
        <v>19685.544246931382</v>
      </c>
      <c r="J357" s="11">
        <f ca="1">MAX(הפחתה[[#This Row],[תשלומים
שנותרו]],הפחתה5[[#This Row],[תשלומים
שנותרו]],הפחתה7[[#This Row],[תשלומים
שנותרו]],הפחתה8[[#This Row],[תשלומים
שנותרו]])</f>
        <v>6</v>
      </c>
    </row>
    <row r="358" spans="1:10" ht="15" customHeight="1" x14ac:dyDescent="0.25">
      <c r="A358" s="8"/>
      <c r="B358" s="11">
        <f>MAX(הפחתה[[#This Row],[מס'']],הפחתה5[[#This Row],[מס'']],הפחתה7[[#This Row],[מס'']],הפחתה8[[#This Row],[מס'']])</f>
        <v>355</v>
      </c>
      <c r="C358" s="12">
        <f ca="1">IF(ValuesEntered,IF(הפחתה23[[#This Row],[מס'']]&lt;=תקופת_ההלוואה,IF(ROW()-ROW(הפחתה[[#Headers],[תאריך]])=1,LoanStart,IF(I357&gt;0,EDATE(C357,1),"")),""),"")</f>
        <v>56158</v>
      </c>
      <c r="D358" s="13">
        <f ca="1">SUM(הפחתה[[#This Row],[יתרת פתיחה]],הפחתה5[[#This Row],[יתרת פתיחה]],הפחתה7[[#This Row],[יתרת פתיחה]],הפחתה8[[#This Row],[יתרת פתיחה]])</f>
        <v>19685.544246931382</v>
      </c>
      <c r="E358" s="13">
        <f ca="1">SUM(הפחתה[[#This Row],[ריבית]],הפחתה5[[#This Row],[ריבית]],הפחתה7[[#This Row],[ריבית]],הפחתה8[[#This Row],[ריבית]])</f>
        <v>72.612918620062416</v>
      </c>
      <c r="F358" s="13">
        <f ca="1">SUM(הפחתה[[#This Row],[קרן]],הפחתה5[[#This Row],[קרן]],הפחתה7[[#This Row],[קרן]],הפחתה8[[#This Row],[קרן]])</f>
        <v>3244.883427294606</v>
      </c>
      <c r="G358" s="13">
        <f ca="1">IF(הפחתה23[[#This Row],[תאריך]]="",0,PropertyTaxAmount)</f>
        <v>0</v>
      </c>
      <c r="H358" s="13">
        <f ca="1">IF(הפחתה23[[#This Row],[תאריך]]="",0,הפחתה23[[#This Row],[ריבית]]+הפחתה23[[#This Row],[קרן]]+הפחתה23[[#This Row],[מס
רכוש]])</f>
        <v>3317.4963459146684</v>
      </c>
      <c r="I358" s="13">
        <f ca="1">IF(הפחתה23[[#This Row],[תאריך]]="",0,הפחתה23[[#This Row],[יתרת פתיחה]]-הפחתה23[[#This Row],[קרן]])</f>
        <v>16440.660819636774</v>
      </c>
      <c r="J358" s="11">
        <f ca="1">MAX(הפחתה[[#This Row],[תשלומים
שנותרו]],הפחתה5[[#This Row],[תשלומים
שנותרו]],הפחתה7[[#This Row],[תשלומים
שנותרו]],הפחתה8[[#This Row],[תשלומים
שנותרו]])</f>
        <v>5</v>
      </c>
    </row>
    <row r="359" spans="1:10" ht="15" customHeight="1" x14ac:dyDescent="0.25">
      <c r="A359" s="8"/>
      <c r="B359" s="11">
        <f>MAX(הפחתה[[#This Row],[מס'']],הפחתה5[[#This Row],[מס'']],הפחתה7[[#This Row],[מס'']],הפחתה8[[#This Row],[מס'']])</f>
        <v>356</v>
      </c>
      <c r="C359" s="12">
        <f ca="1">IF(ValuesEntered,IF(הפחתה23[[#This Row],[מס'']]&lt;=תקופת_ההלוואה,IF(ROW()-ROW(הפחתה[[#Headers],[תאריך]])=1,LoanStart,IF(I358&gt;0,EDATE(C358,1),"")),""),"")</f>
        <v>56189</v>
      </c>
      <c r="D359" s="13">
        <f ca="1">SUM(הפחתה[[#This Row],[יתרת פתיחה]],הפחתה5[[#This Row],[יתרת פתיחה]],הפחתה7[[#This Row],[יתרת פתיחה]],הפחתה8[[#This Row],[יתרת פתיחה]])</f>
        <v>16440.660819636774</v>
      </c>
      <c r="E359" s="13">
        <f ca="1">SUM(הפחתה[[#This Row],[ריבית]],הפחתה5[[#This Row],[ריבית]],הפחתה7[[#This Row],[ריבית]],הפחתה8[[#This Row],[ריבית]])</f>
        <v>58.21805238876631</v>
      </c>
      <c r="F359" s="13">
        <f ca="1">SUM(הפחתה[[#This Row],[קרן]],הפחתה5[[#This Row],[קרן]],הפחתה7[[#This Row],[קרן]],הפחתה8[[#This Row],[קרן]])</f>
        <v>3259.2149957651577</v>
      </c>
      <c r="G359" s="13">
        <f ca="1">IF(הפחתה23[[#This Row],[תאריך]]="",0,PropertyTaxAmount)</f>
        <v>0</v>
      </c>
      <c r="H359" s="13">
        <f ca="1">IF(הפחתה23[[#This Row],[תאריך]]="",0,הפחתה23[[#This Row],[ריבית]]+הפחתה23[[#This Row],[קרן]]+הפחתה23[[#This Row],[מס
רכוש]])</f>
        <v>3317.4330481539241</v>
      </c>
      <c r="I359" s="13">
        <f ca="1">IF(הפחתה23[[#This Row],[תאריך]]="",0,הפחתה23[[#This Row],[יתרת פתיחה]]-הפחתה23[[#This Row],[קרן]])</f>
        <v>13181.445823871616</v>
      </c>
      <c r="J359" s="11">
        <f ca="1">MAX(הפחתה[[#This Row],[תשלומים
שנותרו]],הפחתה5[[#This Row],[תשלומים
שנותרו]],הפחתה7[[#This Row],[תשלומים
שנותרו]],הפחתה8[[#This Row],[תשלומים
שנותרו]])</f>
        <v>4</v>
      </c>
    </row>
    <row r="360" spans="1:10" ht="15" customHeight="1" x14ac:dyDescent="0.25">
      <c r="A360" s="8"/>
      <c r="B360" s="11">
        <f>MAX(הפחתה[[#This Row],[מס'']],הפחתה5[[#This Row],[מס'']],הפחתה7[[#This Row],[מס'']],הפחתה8[[#This Row],[מס'']])</f>
        <v>357</v>
      </c>
      <c r="C360" s="12">
        <f ca="1">IF(ValuesEntered,IF(הפחתה23[[#This Row],[מס'']]&lt;=תקופת_ההלוואה,IF(ROW()-ROW(הפחתה[[#Headers],[תאריך]])=1,LoanStart,IF(I359&gt;0,EDATE(C359,1),"")),""),"")</f>
        <v>56219</v>
      </c>
      <c r="D360" s="13">
        <f ca="1">SUM(הפחתה[[#This Row],[יתרת פתיחה]],הפחתה5[[#This Row],[יתרת פתיחה]],הפחתה7[[#This Row],[יתרת פתיחה]],הפחתה8[[#This Row],[יתרת פתיחה]])</f>
        <v>13181.445823871616</v>
      </c>
      <c r="E360" s="13">
        <f ca="1">SUM(הפחתה[[#This Row],[ריבית]],הפחתה5[[#This Row],[ריבית]],הפחתה7[[#This Row],[ריבית]],הפחתה8[[#This Row],[ריבית]])</f>
        <v>43.75960883161531</v>
      </c>
      <c r="F360" s="13">
        <f ca="1">SUM(הפחתה[[#This Row],[קרן]],הפחתה5[[#This Row],[קרן]],הפחתה7[[#This Row],[קרן]],הפחתה8[[#This Row],[קרן]])</f>
        <v>3273.6098619964523</v>
      </c>
      <c r="G360" s="13">
        <f ca="1">IF(הפחתה23[[#This Row],[תאריך]]="",0,PropertyTaxAmount)</f>
        <v>0</v>
      </c>
      <c r="H360" s="13">
        <f ca="1">IF(הפחתה23[[#This Row],[תאריך]]="",0,הפחתה23[[#This Row],[ריבית]]+הפחתה23[[#This Row],[קרן]]+הפחתה23[[#This Row],[מס
רכוש]])</f>
        <v>3317.3694708280677</v>
      </c>
      <c r="I360" s="13">
        <f ca="1">IF(הפחתה23[[#This Row],[תאריך]]="",0,הפחתה23[[#This Row],[יתרת פתיחה]]-הפחתה23[[#This Row],[קרן]])</f>
        <v>9907.8359618751638</v>
      </c>
      <c r="J360" s="11">
        <f ca="1">MAX(הפחתה[[#This Row],[תשלומים
שנותרו]],הפחתה5[[#This Row],[תשלומים
שנותרו]],הפחתה7[[#This Row],[תשלומים
שנותרו]],הפחתה8[[#This Row],[תשלומים
שנותרו]])</f>
        <v>3</v>
      </c>
    </row>
    <row r="361" spans="1:10" ht="15" customHeight="1" x14ac:dyDescent="0.25">
      <c r="A361" s="8"/>
      <c r="B361" s="11">
        <f>MAX(הפחתה[[#This Row],[מס'']],הפחתה5[[#This Row],[מס'']],הפחתה7[[#This Row],[מס'']],הפחתה8[[#This Row],[מס'']])</f>
        <v>358</v>
      </c>
      <c r="C361" s="12">
        <f ca="1">IF(ValuesEntered,IF(הפחתה23[[#This Row],[מס'']]&lt;=תקופת_ההלוואה,IF(ROW()-ROW(הפחתה[[#Headers],[תאריך]])=1,LoanStart,IF(I360&gt;0,EDATE(C360,1),"")),""),"")</f>
        <v>56250</v>
      </c>
      <c r="D361" s="13">
        <f ca="1">SUM(הפחתה[[#This Row],[יתרת פתיחה]],הפחתה5[[#This Row],[יתרת פתיחה]],הפחתה7[[#This Row],[יתרת פתיחה]],הפחתה8[[#This Row],[יתרת פתיחה]])</f>
        <v>9907.8359618751638</v>
      </c>
      <c r="E361" s="13">
        <f ca="1">SUM(הפחתה[[#This Row],[ריבית]],הפחתה5[[#This Row],[ריבית]],הפחתה7[[#This Row],[ריבית]],הפחתה8[[#This Row],[ריבית]])</f>
        <v>29.237307148753555</v>
      </c>
      <c r="F361" s="13">
        <f ca="1">SUM(הפחתה[[#This Row],[קרן]],הפחתה5[[#This Row],[קרן]],הפחתה7[[#This Row],[קרן]],הפחתה8[[#This Row],[קרן]])</f>
        <v>3288.0683055536042</v>
      </c>
      <c r="G361" s="13">
        <f ca="1">IF(הפחתה23[[#This Row],[תאריך]]="",0,PropertyTaxAmount)</f>
        <v>0</v>
      </c>
      <c r="H361" s="13">
        <f ca="1">IF(הפחתה23[[#This Row],[תאריך]]="",0,הפחתה23[[#This Row],[ריבית]]+הפחתה23[[#This Row],[קרן]]+הפחתה23[[#This Row],[מס
רכוש]])</f>
        <v>3317.3056127023578</v>
      </c>
      <c r="I361" s="13">
        <f ca="1">IF(הפחתה23[[#This Row],[תאריך]]="",0,הפחתה23[[#This Row],[יתרת פתיחה]]-הפחתה23[[#This Row],[קרן]])</f>
        <v>6619.7676563215591</v>
      </c>
      <c r="J361" s="11">
        <f ca="1">MAX(הפחתה[[#This Row],[תשלומים
שנותרו]],הפחתה5[[#This Row],[תשלומים
שנותרו]],הפחתה7[[#This Row],[תשלומים
שנותרו]],הפחתה8[[#This Row],[תשלומים
שנותרו]])</f>
        <v>2</v>
      </c>
    </row>
    <row r="362" spans="1:10" ht="15" customHeight="1" x14ac:dyDescent="0.25">
      <c r="A362" s="8"/>
      <c r="B362" s="11">
        <f>MAX(הפחתה[[#This Row],[מס'']],הפחתה5[[#This Row],[מס'']],הפחתה7[[#This Row],[מס'']],הפחתה8[[#This Row],[מס'']])</f>
        <v>359</v>
      </c>
      <c r="C362" s="12">
        <f ca="1">IF(ValuesEntered,IF(הפחתה23[[#This Row],[מס'']]&lt;=תקופת_ההלוואה,IF(ROW()-ROW(הפחתה[[#Headers],[תאריך]])=1,LoanStart,IF(I361&gt;0,EDATE(C361,1),"")),""),"")</f>
        <v>56281</v>
      </c>
      <c r="D362" s="13">
        <f ca="1">SUM(הפחתה[[#This Row],[יתרת פתיחה]],הפחתה5[[#This Row],[יתרת פתיחה]],הפחתה7[[#This Row],[יתרת פתיחה]],הפחתה8[[#This Row],[יתרת פתיחה]])</f>
        <v>6619.7676563215591</v>
      </c>
      <c r="E362" s="13">
        <f ca="1">SUM(הפחתה[[#This Row],[ריבית]],הפחתה5[[#This Row],[ריבית]],הפחתה7[[#This Row],[ריבית]],הפחתה8[[#This Row],[ריבית]])</f>
        <v>14.650865300125833</v>
      </c>
      <c r="F362" s="13">
        <f ca="1">SUM(הפחתה[[#This Row],[קרן]],הפחתה5[[#This Row],[קרן]],הפחתה7[[#This Row],[קרן]],הפחתה8[[#This Row],[קרן]])</f>
        <v>3302.5906072364655</v>
      </c>
      <c r="G362" s="13">
        <f ca="1">IF(הפחתה23[[#This Row],[תאריך]]="",0,PropertyTaxAmount)</f>
        <v>0</v>
      </c>
      <c r="H362" s="13">
        <f ca="1">IF(הפחתה23[[#This Row],[תאריך]]="",0,הפחתה23[[#This Row],[ריבית]]+הפחתה23[[#This Row],[קרן]]+הפחתה23[[#This Row],[מס
רכוש]])</f>
        <v>3317.2414725365916</v>
      </c>
      <c r="I362" s="13">
        <f ca="1">IF(הפחתה23[[#This Row],[תאריך]]="",0,הפחתה23[[#This Row],[יתרת פתיחה]]-הפחתה23[[#This Row],[קרן]])</f>
        <v>3317.1770490850936</v>
      </c>
      <c r="J362" s="11">
        <f ca="1">MAX(הפחתה[[#This Row],[תשלומים
שנותרו]],הפחתה5[[#This Row],[תשלומים
שנותרו]],הפחתה7[[#This Row],[תשלומים
שנותרו]],הפחתה8[[#This Row],[תשלומים
שנותרו]])</f>
        <v>1</v>
      </c>
    </row>
    <row r="363" spans="1:10" ht="15" customHeight="1" x14ac:dyDescent="0.25">
      <c r="A363" s="8"/>
      <c r="B363" s="11">
        <f>MAX(הפחתה[[#This Row],[מס'']],הפחתה5[[#This Row],[מס'']],הפחתה7[[#This Row],[מס'']],הפחתה8[[#This Row],[מס'']])</f>
        <v>360</v>
      </c>
      <c r="C363" s="12">
        <f ca="1">IF(ValuesEntered,IF(הפחתה23[[#This Row],[מס'']]&lt;=תקופת_ההלוואה,IF(ROW()-ROW(הפחתה[[#Headers],[תאריך]])=1,LoanStart,IF(I362&gt;0,EDATE(C362,1),"")),""),"")</f>
        <v>56309</v>
      </c>
      <c r="D363" s="13">
        <f ca="1">SUM(הפחתה[[#This Row],[יתרת פתיחה]],הפחתה5[[#This Row],[יתרת פתיחה]],הפחתה7[[#This Row],[יתרת פתיחה]],הפחתה8[[#This Row],[יתרת פתיחה]])</f>
        <v>3317.1770490850936</v>
      </c>
      <c r="E363" s="13">
        <f ca="1">SUM(הפחתה[[#This Row],[ריבית]],הפחתה5[[#This Row],[ריבית]],הפחתה7[[#This Row],[ריבית]],הפחתה8[[#This Row],[ריבית]])</f>
        <v>0</v>
      </c>
      <c r="F363" s="13">
        <f ca="1">SUM(הפחתה[[#This Row],[קרן]],הפחתה5[[#This Row],[קרן]],הפחתה7[[#This Row],[קרן]],הפחתה8[[#This Row],[קרן]])</f>
        <v>3317.177049085094</v>
      </c>
      <c r="G363" s="13">
        <f ca="1">IF(הפחתה23[[#This Row],[תאריך]]="",0,PropertyTaxAmount)</f>
        <v>0</v>
      </c>
      <c r="H363" s="13">
        <f ca="1">IF(הפחתה23[[#This Row],[תאריך]]="",0,הפחתה23[[#This Row],[ריבית]]+הפחתה23[[#This Row],[קרן]]+הפחתה23[[#This Row],[מס
רכוש]])</f>
        <v>3317.177049085094</v>
      </c>
      <c r="I363" s="13">
        <f ca="1">IF(הפחתה23[[#This Row],[תאריך]]="",0,הפחתה23[[#This Row],[יתרת פתיחה]]-הפחתה23[[#This Row],[קרן]])</f>
        <v>-4.5474735088646412E-13</v>
      </c>
      <c r="J363" s="11">
        <f ca="1">MAX(הפחתה[[#This Row],[תשלומים
שנותרו]],הפחתה5[[#This Row],[תשלומים
שנותרו]],הפחתה7[[#This Row],[תשלומים
שנותרו]],הפחתה8[[#This Row],[תשלומים
שנותרו]])</f>
        <v>0</v>
      </c>
    </row>
  </sheetData>
  <sheetProtection selectLockedCells="1"/>
  <mergeCells count="2">
    <mergeCell ref="B1:J1"/>
    <mergeCell ref="B2:J2"/>
  </mergeCells>
  <conditionalFormatting sqref="B4:J363">
    <cfRule type="expression" dxfId="4" priority="4">
      <formula>$C4=""</formula>
    </cfRule>
  </conditionalFormatting>
  <dataValidations count="11">
    <dataValidation allowBlank="1" showInputMessage="1" showErrorMessage="1" prompt="הכותרת של גליון עבודה זה מופיעה בתא זה ובתא שמתחת" sqref="B1:J1" xr:uid="{6E769D18-7119-4E56-A330-40D60F30D8F1}"/>
    <dataValidation allowBlank="1" showInputMessage="1" showErrorMessage="1" prompt="מספר התשלומים שנותרו מתעדכן באופן אוטומטי בעמודה זו תחת כותרת זו בהתבסס על תקופת ההלוואה בגליון העבודה 'מחשבון משכנתה' ומספר התשלומים שהוחלו על ההלוואה" sqref="J3" xr:uid="{B7DD6972-71CB-41FE-8174-8DEF36781BA8}"/>
    <dataValidation allowBlank="1" showInputMessage="1" showErrorMessage="1" prompt="יתרת הסגירה המותאמת עבור התשלום הכולל מתעדכנת באופן אוטומטי בעמודה זו" sqref="I3" xr:uid="{CF9D31C2-487D-428F-9BA5-0039663341D1}"/>
    <dataValidation allowBlank="1" showInputMessage="1" showErrorMessage="1" prompt="התשלום הכולל מותאם באופן אוטומטי בעמודה זו בהתבסס על סכומי הריבית, הקרן ומס הרכוש המופיעים בעמודות E‏, F ו- G" sqref="H3" xr:uid="{D55E8B3B-C6C1-4EC6-802A-51964A626FB5}"/>
    <dataValidation allowBlank="1" showInputMessage="1" showErrorMessage="1" prompt="תשלום מס רכוש המוזן בתא E8 בגליון העבודה 'מחשבון משכנתה' מתעדכן באופן אוטומטי בעמודה זו " sqref="G3" xr:uid="{DF1A839E-EAFB-4501-8978-4E991BD014C0}"/>
    <dataValidation allowBlank="1" showInputMessage="1" showErrorMessage="1" prompt="סכום התשלום המוחל על תשלום הקרן מתעדכן באופן אוטומטי בעמודה זו" sqref="F3" xr:uid="{37CD1D51-559B-49D6-9EEE-C799B2B6B886}"/>
    <dataValidation allowBlank="1" showInputMessage="1" showErrorMessage="1" prompt="התפלגות הריבית מתעדכנת באופן אוטומטי בעמודה זו" sqref="E3" xr:uid="{DE15EEED-4C8F-4D90-A11F-E892F165A049}"/>
    <dataValidation allowBlank="1" showInputMessage="1" showErrorMessage="1" prompt="יתרת הפתיחה והיתרה המותאמת בעת החלת תשלומים מתעדכנת באופן אוטומטי בעמודה זו" sqref="D3" xr:uid="{81DE264C-C7E0-4B47-84EA-870FAA895419}"/>
    <dataValidation allowBlank="1" showInputMessage="1" showErrorMessage="1" prompt="תאריך התשלום מתעדכן באופן אוטומטי בעמודה זו" sqref="C3" xr:uid="{D5DE4F74-A880-4042-8299-E13FACB10E66}"/>
    <dataValidation allowBlank="1" showInputMessage="1" showErrorMessage="1" prompt="מספר התשלום מופיע בעמודה זו. הוסף תשלומים נוספים על-ידי הוספת שורה חדשה והזנת תאריך התשלום. העמודות יתעדכנו באופן אוטומטי" sqref="B3" xr:uid="{8D243E53-1165-48A6-9717-77B8F2AD7C8F}"/>
    <dataValidation allowBlank="1" showInputMessage="1" showErrorMessage="1" prompt="טבלת סילוקין זו מחושבת באמצעות 'מחשבון משכנתה'. הוסף תשלומים נוספים על-ידי הכנסת שורות חדשות לטבלה. הזן את תאריך התשלום, והעמודות יעודכנו באופן אוטומטי" sqref="A1" xr:uid="{C27FF0DB-16AC-4DC0-83AC-573DE389F83E}"/>
  </dataValidations>
  <printOptions horizontalCentered="1"/>
  <pageMargins left="0.25" right="0.25" top="0.75" bottom="0.75" header="0.3" footer="0.3"/>
  <pageSetup paperSize="9" scale="10" orientation="landscape"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K363"/>
  <sheetViews>
    <sheetView showGridLines="0" rightToLeft="1" zoomScale="70" zoomScaleNormal="70" workbookViewId="0">
      <selection activeCell="C4" sqref="C4"/>
    </sheetView>
  </sheetViews>
  <sheetFormatPr defaultColWidth="8.796875" defaultRowHeight="10.199999999999999" x14ac:dyDescent="0.25"/>
  <cols>
    <col min="1" max="1" width="2.59765625" style="10" customWidth="1"/>
    <col min="2" max="2" width="7" style="10" bestFit="1" customWidth="1"/>
    <col min="3" max="3" width="8.59765625" style="10" bestFit="1" customWidth="1"/>
    <col min="4" max="4" width="12.296875" style="10" bestFit="1" customWidth="1"/>
    <col min="5" max="5" width="8.19921875" style="10" bestFit="1" customWidth="1"/>
    <col min="6" max="6" width="6.8984375" style="10" customWidth="1"/>
    <col min="7" max="7" width="7.796875" style="10" bestFit="1" customWidth="1"/>
    <col min="8" max="8" width="10.19921875" style="10" bestFit="1" customWidth="1"/>
    <col min="9" max="9" width="8.5" style="10" bestFit="1" customWidth="1"/>
    <col min="10" max="10" width="10.19921875" style="10" bestFit="1" customWidth="1"/>
    <col min="11" max="11" width="7" style="10" bestFit="1" customWidth="1"/>
    <col min="12" max="12" width="8.59765625" style="10" bestFit="1" customWidth="1"/>
    <col min="13" max="13" width="12.296875" style="10" bestFit="1" customWidth="1"/>
    <col min="14" max="14" width="8.19921875" style="10" bestFit="1" customWidth="1"/>
    <col min="15" max="15" width="6.8984375" style="10" customWidth="1"/>
    <col min="16" max="16" width="7.796875" style="10" bestFit="1" customWidth="1"/>
    <col min="17" max="17" width="10.19921875" style="10" bestFit="1" customWidth="1"/>
    <col min="18" max="18" width="8.5" style="10" bestFit="1" customWidth="1"/>
    <col min="19" max="19" width="10.19921875" style="10" bestFit="1" customWidth="1"/>
    <col min="20" max="20" width="7" style="10" bestFit="1" customWidth="1"/>
    <col min="21" max="21" width="8.59765625" style="10" bestFit="1" customWidth="1"/>
    <col min="22" max="22" width="12.296875" style="10" bestFit="1" customWidth="1"/>
    <col min="23" max="23" width="8.19921875" style="10" customWidth="1"/>
    <col min="24" max="24" width="6.8984375" style="10" customWidth="1"/>
    <col min="25" max="25" width="7.796875" style="10" bestFit="1" customWidth="1"/>
    <col min="26" max="26" width="10.19921875" style="10" customWidth="1"/>
    <col min="27" max="31" width="8.796875" style="10"/>
    <col min="32" max="33" width="8.796875" style="10" customWidth="1"/>
    <col min="34" max="34" width="7.796875" style="10" bestFit="1" customWidth="1"/>
    <col min="35" max="35" width="10.19921875" style="10" customWidth="1"/>
    <col min="36" max="16384" width="8.796875" style="10"/>
  </cols>
  <sheetData>
    <row r="1" spans="1:37" s="6" customFormat="1" ht="19.8" customHeight="1" x14ac:dyDescent="0.25">
      <c r="A1" s="5"/>
      <c r="B1" s="99" t="s">
        <v>32</v>
      </c>
      <c r="C1" s="99"/>
      <c r="D1" s="99"/>
      <c r="E1" s="99"/>
      <c r="F1" s="99"/>
      <c r="G1" s="99"/>
      <c r="H1" s="99"/>
      <c r="I1" s="99"/>
      <c r="J1" s="99"/>
      <c r="K1" s="93" t="s">
        <v>31</v>
      </c>
      <c r="L1" s="94"/>
      <c r="M1" s="94"/>
      <c r="N1" s="94"/>
      <c r="O1" s="94"/>
      <c r="P1" s="94"/>
      <c r="Q1" s="94"/>
      <c r="R1" s="94"/>
      <c r="S1" s="95"/>
      <c r="T1" s="100" t="s">
        <v>30</v>
      </c>
      <c r="U1" s="99"/>
      <c r="V1" s="99"/>
      <c r="W1" s="99"/>
      <c r="X1" s="99"/>
      <c r="Y1" s="99"/>
      <c r="Z1" s="99"/>
      <c r="AA1" s="99"/>
      <c r="AB1" s="101"/>
      <c r="AC1" s="93" t="s">
        <v>29</v>
      </c>
      <c r="AD1" s="94"/>
      <c r="AE1" s="94"/>
      <c r="AF1" s="94"/>
      <c r="AG1" s="94"/>
      <c r="AH1" s="94"/>
      <c r="AI1" s="94"/>
      <c r="AJ1" s="94"/>
      <c r="AK1" s="95"/>
    </row>
    <row r="2" spans="1:37" s="6" customFormat="1" ht="16.8" customHeight="1" thickBot="1" x14ac:dyDescent="0.3">
      <c r="A2" s="7"/>
      <c r="B2" s="97" t="s">
        <v>21</v>
      </c>
      <c r="C2" s="97"/>
      <c r="D2" s="97"/>
      <c r="E2" s="97"/>
      <c r="F2" s="97"/>
      <c r="G2" s="97"/>
      <c r="H2" s="97"/>
      <c r="I2" s="97"/>
      <c r="J2" s="98"/>
      <c r="K2" s="96" t="s">
        <v>33</v>
      </c>
      <c r="L2" s="97"/>
      <c r="M2" s="97"/>
      <c r="N2" s="97"/>
      <c r="O2" s="97"/>
      <c r="P2" s="97"/>
      <c r="Q2" s="97"/>
      <c r="R2" s="97"/>
      <c r="S2" s="98"/>
      <c r="T2" s="96"/>
      <c r="U2" s="97"/>
      <c r="V2" s="97"/>
      <c r="W2" s="97"/>
      <c r="X2" s="97"/>
      <c r="Y2" s="97"/>
      <c r="Z2" s="97"/>
      <c r="AA2" s="97"/>
      <c r="AB2" s="98"/>
      <c r="AC2" s="96"/>
      <c r="AD2" s="97"/>
      <c r="AE2" s="97"/>
      <c r="AF2" s="97"/>
      <c r="AG2" s="97"/>
      <c r="AH2" s="97"/>
      <c r="AI2" s="97"/>
      <c r="AJ2" s="97"/>
      <c r="AK2" s="98"/>
    </row>
    <row r="3" spans="1:37" ht="35.1" customHeight="1" thickTop="1" x14ac:dyDescent="0.25">
      <c r="A3" s="8"/>
      <c r="B3" s="9" t="s">
        <v>13</v>
      </c>
      <c r="C3" s="9" t="s">
        <v>23</v>
      </c>
      <c r="D3" s="9" t="s">
        <v>24</v>
      </c>
      <c r="E3" s="9" t="s">
        <v>14</v>
      </c>
      <c r="F3" s="9" t="s">
        <v>15</v>
      </c>
      <c r="G3" s="9" t="s">
        <v>58</v>
      </c>
      <c r="H3" s="9" t="s">
        <v>17</v>
      </c>
      <c r="I3" s="9" t="s">
        <v>18</v>
      </c>
      <c r="J3" s="9" t="s">
        <v>19</v>
      </c>
      <c r="K3" s="14" t="s">
        <v>13</v>
      </c>
      <c r="L3" s="15" t="s">
        <v>23</v>
      </c>
      <c r="M3" s="15" t="s">
        <v>24</v>
      </c>
      <c r="N3" s="15" t="s">
        <v>14</v>
      </c>
      <c r="O3" s="15" t="s">
        <v>15</v>
      </c>
      <c r="P3" s="15" t="s">
        <v>58</v>
      </c>
      <c r="Q3" s="15" t="s">
        <v>17</v>
      </c>
      <c r="R3" s="15" t="s">
        <v>18</v>
      </c>
      <c r="S3" s="16" t="s">
        <v>19</v>
      </c>
      <c r="T3" s="9" t="s">
        <v>13</v>
      </c>
      <c r="U3" s="9" t="s">
        <v>23</v>
      </c>
      <c r="V3" s="9" t="s">
        <v>24</v>
      </c>
      <c r="W3" s="9" t="s">
        <v>14</v>
      </c>
      <c r="X3" s="9" t="s">
        <v>15</v>
      </c>
      <c r="Y3" s="9" t="s">
        <v>58</v>
      </c>
      <c r="Z3" s="9" t="s">
        <v>17</v>
      </c>
      <c r="AA3" s="9" t="s">
        <v>18</v>
      </c>
      <c r="AB3" s="9" t="s">
        <v>19</v>
      </c>
      <c r="AC3" s="14" t="s">
        <v>13</v>
      </c>
      <c r="AD3" s="15" t="s">
        <v>23</v>
      </c>
      <c r="AE3" s="15" t="s">
        <v>24</v>
      </c>
      <c r="AF3" s="15" t="s">
        <v>14</v>
      </c>
      <c r="AG3" s="15" t="s">
        <v>15</v>
      </c>
      <c r="AH3" s="15" t="s">
        <v>58</v>
      </c>
      <c r="AI3" s="15" t="s">
        <v>17</v>
      </c>
      <c r="AJ3" s="15" t="s">
        <v>18</v>
      </c>
      <c r="AK3" s="16" t="s">
        <v>19</v>
      </c>
    </row>
    <row r="4" spans="1:37" ht="15" customHeight="1" x14ac:dyDescent="0.25">
      <c r="A4" s="8"/>
      <c r="B4" s="11">
        <f>ROWS($B$4:B4)</f>
        <v>1</v>
      </c>
      <c r="C4" s="12">
        <f>IF(ValuesEntered,IF(הפחתה[[#This Row],[מס'']]&lt;=תקופת_ההלוואה,IF(ROW()-ROW(הפחתה[[#Headers],[תאריך]])=1,LoanStart,IF(I3&gt;0,EDATE(C3,1),"")),""),"")</f>
        <v>45383</v>
      </c>
      <c r="D4" s="13">
        <f>IF(ROW()-ROW(הפחתה[[#Headers],[יתרת פתיחה]])=1,סכום_הלוואה,IF(הפחתה[[#This Row],[תאריך]]="",0,INDEX(הפחתה[], ROW()-4,8)))</f>
        <v>600000</v>
      </c>
      <c r="E4" s="13">
        <f>IF(ValuesEntered,IF(ROW()-ROW(הפחתה[[#Headers],[ריבית]])=1,-IPMT(שיעור_ריבית/12,1,תקופת_ההלוואה-ROWS($C$4:C4)+1,הפחתה[[#This Row],[יתרת פתיחה]]),IFERROR(-IPMT(שיעור_ריבית/12,1,הפחתה[[#This Row],[תשלומים
שנותרו]],D5),0)),0)</f>
        <v>2650</v>
      </c>
      <c r="F4" s="13">
        <f>IFERROR(IF(AND(ValuesEntered,הפחתה[[#This Row],[תאריך]]&lt;&gt;""),-PPMT(שיעור_ריבית/12,1,תקופת_ההלוואה-ROWS($C$4:C4)+1,הפחתה[[#This Row],[יתרת פתיחה]]),""),0)</f>
        <v>681.82791438521735</v>
      </c>
      <c r="G4" s="13">
        <f>(הפחתה[[#This Row],[יתרת פתיחה]])*(מדד/12)</f>
        <v>0</v>
      </c>
      <c r="H4" s="13">
        <f>IF(הפחתה[[#This Row],[תאריך]]="",0,הפחתה[[#This Row],[ריבית]]+הפחתה[[#This Row],[קרן]]+הפחתה[[#This Row],[מדד]])</f>
        <v>3331.8279143852174</v>
      </c>
      <c r="I4" s="13">
        <f>IF(הפחתה[[#This Row],[תאריך]]="",0,הפחתה[[#This Row],[יתרת פתיחה]]-הפחתה[[#This Row],[קרן]]+הפחתה[[#This Row],[מדד]])</f>
        <v>599318.17208561476</v>
      </c>
      <c r="J4" s="11">
        <f>IF(הפחתה[[#This Row],[יתרת
סגירה]]&gt;0,LastRow-ROW(),0)</f>
        <v>359</v>
      </c>
      <c r="K4" s="11">
        <f>ROWS($K$4:K4)</f>
        <v>1</v>
      </c>
      <c r="L4" s="12">
        <f>IF(ValuesEntered2,IF(הפחתה5[[#This Row],[מס'']]&lt;=תקופת_ההלוואה2,IF(ROW()-ROW(הפחתה5[[#Headers],[תאריך]])=1,LoanStart2,IF(R3&gt;0,EDATE(L3,1),"")),""),"")</f>
        <v>45383</v>
      </c>
      <c r="M4" s="13">
        <f>IF(ROW()-ROW(הפחתה5[[#Headers],[יתרת פתיחה]])=1,סכום_הלוואה2,IF(הפחתה5[[#This Row],[תאריך]]="",0,INDEX(הפחתה5[], ROW()-4,8)))</f>
        <v>300000</v>
      </c>
      <c r="N4" s="13">
        <f>IF(ValuesEntered2,IF(ROW()-ROW(הפחתה5[[#Headers],[ריבית]])=1,-IPMT(שיעור_ריבית2/12,1,תקופת_ההלוואה2-ROWS($L$4:L4)+1,הפחתה5[[#This Row],[יתרת פתיחה]]),IFERROR(-IPMT(שיעור_ריבית2/12,1,הפחתה5[[#This Row],[תשלומים
שנותרו]],M5),0)),0)</f>
        <v>1175</v>
      </c>
      <c r="O4" s="13">
        <f>IFERROR(IF(AND(ValuesEntered2,הפחתה5[[#This Row],[תאריך]]&lt;&gt;""),-PPMT(שיעור_ריבית2/12,1,תקופת_ההלוואה2-ROWS($L$4:L4)+1,הפחתה5[[#This Row],[יתרת פתיחה]]),""),0)</f>
        <v>526.73581858805949</v>
      </c>
      <c r="P4" s="13">
        <f>(הפחתה5[[#This Row],[יתרת פתיחה]])*(מדד2/12)</f>
        <v>0</v>
      </c>
      <c r="Q4" s="13">
        <f>IF(הפחתה5[[#This Row],[תאריך]]="",0,הפחתה5[[#This Row],[ריבית]]+הפחתה5[[#This Row],[קרן]]+הפחתה5[[#This Row],[מדד]])</f>
        <v>1701.7358185880594</v>
      </c>
      <c r="R4" s="13">
        <f>IF(הפחתה5[[#This Row],[תאריך]]="",0,הפחתה5[[#This Row],[יתרת פתיחה]]-הפחתה5[[#This Row],[קרן]]+הפחתה5[[#This Row],[מדד]])</f>
        <v>299473.26418141194</v>
      </c>
      <c r="S4" s="11">
        <f>IF(הפחתה5[[#This Row],[יתרת
סגירה]]&gt;0,LastRow2-ROW(),0)</f>
        <v>299</v>
      </c>
      <c r="T4" s="11">
        <f>ROWS($T$4:T4)</f>
        <v>1</v>
      </c>
      <c r="U4" s="12">
        <f ca="1">IF(ValuesEntered3,IF(הפחתה7[[#This Row],[מס'']]&lt;=תקופת_ההלוואה3,IF(ROW()-ROW(הפחתה7[[#Headers],[תאריך]])=1,LoanStart3,IF(AA3&gt;0,EDATE(U3,1),"")),""),"")</f>
        <v>45621</v>
      </c>
      <c r="V4" s="13">
        <f>IF(ROW()-ROW(הפחתה7[[#Headers],[יתרת פתיחה]])=1,סכום_הלוואה3,IF(הפחתה7[[#This Row],[תאריך]]="",0,INDEX(הפחתה7[], ROW()-4,8)))</f>
        <v>100000</v>
      </c>
      <c r="W4" s="13">
        <f ca="1">IF(ValuesEntered3,IF(ROW()-ROW(הפחתה7[[#Headers],[ריבית]])=1,-IPMT(שיעור_ריבית3/12,1,תקופת_ההלוואה3-ROWS($C$4:U4)+1,הפחתה7[[#This Row],[יתרת פתיחה]]),IFERROR(-IPMT(שיעור_ריבית3/12,1,הפחתה7[[#This Row],[תשלומים
שנותרו]],V5),0)),0)</f>
        <v>191.66666666666666</v>
      </c>
      <c r="X4" s="13">
        <f ca="1">IFERROR(IF(AND(ValuesEntered3,הפחתה7[[#This Row],[תאריך]]&lt;&gt;""),-PPMT(שיעור_ריבית3/12,1,תקופת_ההלוואה3-ROWS($C$4:U4)+1,הפחתה7[[#This Row],[יתרת פתיחה]]),""),0)</f>
        <v>246.94451073752808</v>
      </c>
      <c r="Y4" s="13">
        <f>(הפחתה7[[#This Row],[יתרת פתיחה]])*(מדד3/12)</f>
        <v>166.66666666666669</v>
      </c>
      <c r="Z4" s="13">
        <f ca="1">IF(הפחתה7[[#This Row],[תאריך]]="",0,הפחתה7[[#This Row],[ריבית]]+הפחתה7[[#This Row],[קרן]]+הפחתה7[[#This Row],[מדד]])</f>
        <v>605.27784407086142</v>
      </c>
      <c r="AA4" s="13">
        <f ca="1">IF(הפחתה7[[#This Row],[תאריך]]="",0,הפחתה7[[#This Row],[יתרת פתיחה]]-הפחתה7[[#This Row],[קרן]]+הפחתה7[[#This Row],[מדד]])</f>
        <v>99919.72215592915</v>
      </c>
      <c r="AB4" s="11">
        <f ca="1">IF(הפחתה7[[#This Row],[יתרת
סגירה]]&gt;0,LastRow3-ROW(),0)</f>
        <v>299</v>
      </c>
      <c r="AC4" s="17">
        <f>ROWS($AC$4:AC4)</f>
        <v>1</v>
      </c>
      <c r="AD4" s="18" t="str">
        <f ca="1">IF(ValuesEntered4,IF(הפחתה8[[#This Row],[מס'']]&lt;=תקופת_ההלוואה4,IF(ROW()-ROW(הפחתה8[[#Headers],[תאריך]])=1,LoanStart4,IF(AJ3&gt;0,EDATE(AD3,1),"")),""),"")</f>
        <v/>
      </c>
      <c r="AE4" s="19">
        <f>IF(ROW()-ROW(הפחתה8[[#Headers],[יתרת פתיחה]])=1,סכום_הלוואה4,IF(הפחתה8[[#This Row],[תאריך]]="",0,INDEX(הפחתה8[], ROW()-4,8)))</f>
        <v>0</v>
      </c>
      <c r="AF4" s="19">
        <f ca="1">IF(ValuesEntered4,IF(ROW()-ROW(הפחתה8[[#Headers],[ריבית]])=1,-IPMT(שיעור_ריבית4/12,1,תקופת_ההלוואה4-ROWS($C$4:AD4)+1,הפחתה8[[#This Row],[יתרת פתיחה]]),IFERROR(-IPMT(שיעור_ריבית4/12,1,הפחתה8[[#This Row],[תשלומים
שנותרו]],AE5),0)),0)</f>
        <v>0</v>
      </c>
      <c r="AG4" s="19" t="str">
        <f ca="1">IFERROR(IF(AND(ValuesEntered4,הפחתה8[[#This Row],[תאריך]]&lt;&gt;""),-PPMT(שיעור_ריבית4/12,1,תקופת_ההלוואה4-ROWS($C$4:AD4)+1,הפחתה8[[#This Row],[יתרת פתיחה]]),""),0)</f>
        <v/>
      </c>
      <c r="AH4" s="19">
        <f>(הפחתה8[[#This Row],[יתרת פתיחה]])*(מדד4/12)</f>
        <v>0</v>
      </c>
      <c r="AI4" s="19">
        <f ca="1">IF(הפחתה8[[#This Row],[תאריך]]="",0,הפחתה8[[#This Row],[ריבית]]+הפחתה8[[#This Row],[קרן]]+הפחתה8[[#This Row],[מדד]])</f>
        <v>0</v>
      </c>
      <c r="AJ4" s="19">
        <f ca="1">IF(הפחתה8[[#This Row],[תאריך]]="",0,הפחתה8[[#This Row],[יתרת פתיחה]]-הפחתה8[[#This Row],[קרן]])</f>
        <v>0</v>
      </c>
      <c r="AK4" s="20">
        <f ca="1">IF(הפחתה8[[#This Row],[יתרת
סגירה]]&gt;0,LastRow4-ROW(),0)</f>
        <v>0</v>
      </c>
    </row>
    <row r="5" spans="1:37" ht="15" customHeight="1" x14ac:dyDescent="0.25">
      <c r="A5" s="8"/>
      <c r="B5" s="11">
        <f>ROWS($B$4:B5)</f>
        <v>2</v>
      </c>
      <c r="C5" s="12">
        <f>IF(ValuesEntered,IF(הפחתה[[#This Row],[מס'']]&lt;=תקופת_ההלוואה,IF(ROW()-ROW(הפחתה[[#Headers],[תאריך]])=1,LoanStart,IF(I4&gt;0,EDATE(C4,1),"")),""),"")</f>
        <v>45413</v>
      </c>
      <c r="D5" s="13">
        <f>IF(ROW()-ROW(הפחתה[[#Headers],[יתרת פתיחה]])=1,סכום_הלוואה,IF(הפחתה[[#This Row],[תאריך]]="",0,INDEX(הפחתה[], ROW()-4,8)))</f>
        <v>599318.17208561476</v>
      </c>
      <c r="E5" s="13">
        <f>IF(ValuesEntered,IF(ROW()-ROW(הפחתה[[#Headers],[ריבית]])=1,-IPMT(שיעור_ריבית/12,1,תקופת_ההלוואה-ROWS($C$4:C5)+1,הפחתה[[#This Row],[יתרת פתיחה]]),IFERROR(-IPMT(שיעור_ריבית/12,1,הפחתה[[#This Row],[תשלומים
שנותרו]],D6),0)),0)</f>
        <v>2643.9638863770169</v>
      </c>
      <c r="F5" s="13">
        <f>IFERROR(IF(AND(ValuesEntered,הפחתה[[#This Row],[תאריך]]&lt;&gt;""),-PPMT(שיעור_ריבית/12,1,תקופת_ההלוואה-ROWS($C$4:C5)+1,הפחתה[[#This Row],[יתרת פתיחה]]),""),0)</f>
        <v>684.83932100708557</v>
      </c>
      <c r="G5" s="13">
        <f>(הפחתה[[#This Row],[יתרת פתיחה]])*(מדד/12)</f>
        <v>0</v>
      </c>
      <c r="H5" s="13">
        <f>IF(הפחתה[[#This Row],[תאריך]]="",0,הפחתה[[#This Row],[ריבית]]+הפחתה[[#This Row],[קרן]]+הפחתה[[#This Row],[מדד]])</f>
        <v>3328.8032073841023</v>
      </c>
      <c r="I5" s="13">
        <f>IF(הפחתה[[#This Row],[תאריך]]="",0,הפחתה[[#This Row],[יתרת פתיחה]]-הפחתה[[#This Row],[קרן]]+הפחתה[[#This Row],[מדד]])</f>
        <v>598633.33276460762</v>
      </c>
      <c r="J5" s="11">
        <f>IF(הפחתה[[#This Row],[יתרת
סגירה]]&gt;0,LastRow-ROW(),0)</f>
        <v>358</v>
      </c>
      <c r="K5" s="11">
        <f>ROWS($K$4:K5)</f>
        <v>2</v>
      </c>
      <c r="L5" s="12">
        <f>IF(ValuesEntered2,IF(הפחתה5[[#This Row],[מס'']]&lt;=תקופת_ההלוואה2,IF(ROW()-ROW(הפחתה5[[#Headers],[תאריך]])=1,LoanStart2,IF(R4&gt;0,EDATE(L4,1),"")),""),"")</f>
        <v>45413</v>
      </c>
      <c r="M5" s="13">
        <f>IF(ROW()-ROW(הפחתה5[[#Headers],[יתרת פתיחה]])=1,סכום_הלוואה2,IF(הפחתה5[[#This Row],[תאריך]]="",0,INDEX(הפחתה5[], ROW()-4,8)))</f>
        <v>299473.26418141194</v>
      </c>
      <c r="N5" s="13">
        <f>IF(ValuesEntered2,IF(ROW()-ROW(הפחתה5[[#Headers],[ריבית]])=1,-IPMT(שיעור_ריבית2/12,1,תקופת_ההלוואה2-ROWS($L$4:L5)+1,הפחתה5[[#This Row],[יתרת פתיחה]]),IFERROR(-IPMT(שיעור_ריבית2/12,1,הפחתה5[[#This Row],[תשלומים
שנותרו]],M6),0)),0)</f>
        <v>1170.8658224806209</v>
      </c>
      <c r="O5" s="13">
        <f>IFERROR(IF(AND(ValuesEntered2,הפחתה5[[#This Row],[תאריך]]&lt;&gt;""),-PPMT(שיעור_ריבית2/12,1,תקופת_ההלוואה2-ROWS($L$4:L5)+1,הפחתה5[[#This Row],[יתרת פתיחה]]),""),0)</f>
        <v>528.79886721086291</v>
      </c>
      <c r="P5" s="13">
        <f>(הפחתה5[[#This Row],[יתרת פתיחה]])*(מדד2/12)</f>
        <v>0</v>
      </c>
      <c r="Q5" s="13">
        <f>IF(הפחתה5[[#This Row],[תאריך]]="",0,הפחתה5[[#This Row],[ריבית]]+הפחתה5[[#This Row],[קרן]]+הפחתה5[[#This Row],[מדד]])</f>
        <v>1699.6646896914838</v>
      </c>
      <c r="R5" s="13">
        <f>IF(הפחתה5[[#This Row],[תאריך]]="",0,הפחתה5[[#This Row],[יתרת פתיחה]]-הפחתה5[[#This Row],[קרן]]+הפחתה5[[#This Row],[מדד]])</f>
        <v>298944.46531420108</v>
      </c>
      <c r="S5" s="11">
        <f>IF(הפחתה5[[#This Row],[יתרת
סגירה]]&gt;0,LastRow2-ROW(),0)</f>
        <v>298</v>
      </c>
      <c r="T5" s="11">
        <f>ROWS($T$4:T5)</f>
        <v>2</v>
      </c>
      <c r="U5" s="12">
        <f ca="1">IF(ValuesEntered3,IF(הפחתה7[[#This Row],[מס'']]&lt;=תקופת_ההלוואה3,IF(ROW()-ROW(הפחתה7[[#Headers],[תאריך]])=1,LoanStart3,IF(AA4&gt;0,EDATE(U4,1),"")),""),"")</f>
        <v>45651</v>
      </c>
      <c r="V5" s="13">
        <f ca="1">IF(ROW()-ROW(הפחתה7[[#Headers],[יתרת פתיחה]])=1,סכום_הלוואה3,IF(הפחתה7[[#This Row],[תאריך]]="",0,INDEX(הפחתה7[], ROW()-4,8)))</f>
        <v>99919.72215592915</v>
      </c>
      <c r="W5" s="13">
        <f ca="1">IF(ValuesEntered3,IF(ROW()-ROW(הפחתה7[[#Headers],[ריבית]])=1,-IPMT(שיעור_ריבית3/12,1,תקופת_ההלוואה3-ROWS($C$4:U5)+1,הפחתה7[[#This Row],[יתרת פתיחה]]),IFERROR(-IPMT(שיעור_ריבית3/12,1,הפחתה7[[#This Row],[תשלומים
שנותרו]],V6),0)),0)</f>
        <v>191.35697899077786</v>
      </c>
      <c r="X5" s="13">
        <f ca="1">IFERROR(IF(AND(ValuesEntered3,הפחתה7[[#This Row],[תאריך]]&lt;&gt;""),-PPMT(שיעור_ריבית3/12,1,תקופת_ההלוואה3-ROWS($C$4:U5)+1,הפחתה7[[#This Row],[יתרת פתיחה]]),""),0)</f>
        <v>247.83120491361797</v>
      </c>
      <c r="Y5" s="13">
        <f ca="1">(הפחתה7[[#This Row],[יתרת פתיחה]])*(מדד3/12)</f>
        <v>166.53287025988192</v>
      </c>
      <c r="Z5" s="13">
        <f ca="1">IF(הפחתה7[[#This Row],[תאריך]]="",0,הפחתה7[[#This Row],[ריבית]]+הפחתה7[[#This Row],[קרן]]+הפחתה7[[#This Row],[מדד]])</f>
        <v>605.7210541642778</v>
      </c>
      <c r="AA5" s="13">
        <f ca="1">IF(הפחתה7[[#This Row],[תאריך]]="",0,הפחתה7[[#This Row],[יתרת פתיחה]]-הפחתה7[[#This Row],[קרן]]+הפחתה7[[#This Row],[מדד]])</f>
        <v>99838.423821275414</v>
      </c>
      <c r="AB5" s="11">
        <f ca="1">IF(הפחתה7[[#This Row],[יתרת
סגירה]]&gt;0,LastRow3-ROW(),0)</f>
        <v>298</v>
      </c>
      <c r="AC5" s="17">
        <f>ROWS($AC$4:AC5)</f>
        <v>2</v>
      </c>
      <c r="AD5" s="18" t="str">
        <f ca="1">IF(ValuesEntered4,IF(הפחתה8[[#This Row],[מס'']]&lt;=תקופת_ההלוואה4,IF(ROW()-ROW(הפחתה8[[#Headers],[תאריך]])=1,LoanStart4,IF(AJ4&gt;0,EDATE(AD4,1),"")),""),"")</f>
        <v/>
      </c>
      <c r="AE5" s="19">
        <f ca="1">IF(ROW()-ROW(הפחתה8[[#Headers],[יתרת פתיחה]])=1,סכום_הלוואה4,IF(הפחתה8[[#This Row],[תאריך]]="",0,INDEX(הפחתה8[], ROW()-4,8)))</f>
        <v>0</v>
      </c>
      <c r="AF5" s="19">
        <f ca="1">IF(ValuesEntered4,IF(ROW()-ROW(הפחתה8[[#Headers],[ריבית]])=1,-IPMT(שיעור_ריבית4/12,1,תקופת_ההלוואה4-ROWS($C$4:AD5)+1,הפחתה8[[#This Row],[יתרת פתיחה]]),IFERROR(-IPMT(שיעור_ריבית4/12,1,הפחתה8[[#This Row],[תשלומים
שנותרו]],AE6),0)),0)</f>
        <v>0</v>
      </c>
      <c r="AG5" s="19" t="str">
        <f ca="1">IFERROR(IF(AND(ValuesEntered4,הפחתה8[[#This Row],[תאריך]]&lt;&gt;""),-PPMT(שיעור_ריבית4/12,1,תקופת_ההלוואה4-ROWS($C$4:AD5)+1,הפחתה8[[#This Row],[יתרת פתיחה]]),""),0)</f>
        <v/>
      </c>
      <c r="AH5" s="19">
        <f ca="1">(הפחתה8[[#This Row],[יתרת פתיחה]])*(מדד4/12)</f>
        <v>0</v>
      </c>
      <c r="AI5" s="19">
        <f ca="1">IF(הפחתה8[[#This Row],[תאריך]]="",0,הפחתה8[[#This Row],[ריבית]]+הפחתה8[[#This Row],[קרן]]+הפחתה8[[#This Row],[מדד]])</f>
        <v>0</v>
      </c>
      <c r="AJ5" s="19">
        <f ca="1">IF(הפחתה8[[#This Row],[תאריך]]="",0,הפחתה8[[#This Row],[יתרת פתיחה]]-הפחתה8[[#This Row],[קרן]])</f>
        <v>0</v>
      </c>
      <c r="AK5" s="20">
        <f ca="1">IF(הפחתה8[[#This Row],[יתרת
סגירה]]&gt;0,LastRow4-ROW(),0)</f>
        <v>0</v>
      </c>
    </row>
    <row r="6" spans="1:37" ht="15" customHeight="1" x14ac:dyDescent="0.25">
      <c r="A6" s="8"/>
      <c r="B6" s="11">
        <f>ROWS($B$4:B6)</f>
        <v>3</v>
      </c>
      <c r="C6" s="12">
        <f>IF(ValuesEntered,IF(הפחתה[[#This Row],[מס'']]&lt;=תקופת_ההלוואה,IF(ROW()-ROW(הפחתה[[#Headers],[תאריך]])=1,LoanStart,IF(I5&gt;0,EDATE(C5,1),"")),""),"")</f>
        <v>45444</v>
      </c>
      <c r="D6" s="13">
        <f>IF(ROW()-ROW(הפחתה[[#Headers],[יתרת פתיחה]])=1,סכום_הלוואה,IF(הפחתה[[#This Row],[תאריך]]="",0,INDEX(הפחתה[], ROW()-4,8)))</f>
        <v>598633.33276460762</v>
      </c>
      <c r="E6" s="13">
        <f>IF(ValuesEntered,IF(ROW()-ROW(הפחתה[[#Headers],[ריבית]])=1,-IPMT(שיעור_ריבית/12,1,תקופת_ההלוואה-ROWS($C$4:C6)+1,הפחתה[[#This Row],[יתרת פתיחה]]),IFERROR(-IPMT(שיעור_ריבית/12,1,הפחתה[[#This Row],[תשלומים
שנותרו]],D7),0)),0)</f>
        <v>2640.9258202533142</v>
      </c>
      <c r="F6" s="13">
        <f>IFERROR(IF(AND(ValuesEntered,הפחתה[[#This Row],[תאריך]]&lt;&gt;""),-PPMT(שיעור_ריבית/12,1,תקופת_ההלוואה-ROWS($C$4:C6)+1,הפחתה[[#This Row],[יתרת פתיחה]]),""),0)</f>
        <v>687.86402800820008</v>
      </c>
      <c r="G6" s="13">
        <f>(הפחתה[[#This Row],[יתרת פתיחה]])*(מדד/12)</f>
        <v>0</v>
      </c>
      <c r="H6" s="13">
        <f>IF(הפחתה[[#This Row],[תאריך]]="",0,הפחתה[[#This Row],[ריבית]]+הפחתה[[#This Row],[קרן]]+הפחתה[[#This Row],[מדד]])</f>
        <v>3328.7898482615142</v>
      </c>
      <c r="I6" s="13">
        <f>IF(הפחתה[[#This Row],[תאריך]]="",0,הפחתה[[#This Row],[יתרת פתיחה]]-הפחתה[[#This Row],[קרן]]+הפחתה[[#This Row],[מדד]])</f>
        <v>597945.46873659943</v>
      </c>
      <c r="J6" s="11">
        <f>IF(הפחתה[[#This Row],[יתרת
סגירה]]&gt;0,LastRow-ROW(),0)</f>
        <v>357</v>
      </c>
      <c r="K6" s="11">
        <f>ROWS($K$4:K6)</f>
        <v>3</v>
      </c>
      <c r="L6" s="12">
        <f>IF(ValuesEntered2,IF(הפחתה5[[#This Row],[מס'']]&lt;=תקופת_ההלוואה2,IF(ROW()-ROW(הפחתה5[[#Headers],[תאריך]])=1,LoanStart2,IF(R5&gt;0,EDATE(L5,1),"")),""),"")</f>
        <v>45444</v>
      </c>
      <c r="M6" s="13">
        <f>IF(ROW()-ROW(הפחתה5[[#Headers],[יתרת פתיחה]])=1,סכום_הלוואה2,IF(הפחתה5[[#This Row],[תאריך]]="",0,INDEX(הפחתה5[], ROW()-4,8)))</f>
        <v>298944.46531420108</v>
      </c>
      <c r="N6" s="13">
        <f>IF(ValuesEntered2,IF(ROW()-ROW(הפחתה5[[#Headers],[ריבית]])=1,-IPMT(שיעור_ריבית2/12,1,תקופת_ההלוואה2-ROWS($L$4:L6)+1,הפחתה5[[#This Row],[יתרת פתיחה]]),IFERROR(-IPMT(שיעור_ריבית2/12,1,הפחתה5[[#This Row],[תשלומים
שנותרו]],M7),0)),0)</f>
        <v>1168.7865816625335</v>
      </c>
      <c r="O6" s="13">
        <f>IFERROR(IF(AND(ValuesEntered2,הפחתה5[[#This Row],[תאריך]]&lt;&gt;""),-PPMT(שיעור_ריבית2/12,1,תקופת_ההלוואה2-ROWS($L$4:L6)+1,הפחתה5[[#This Row],[יתרת פתיחה]]),""),0)</f>
        <v>530.86999610743874</v>
      </c>
      <c r="P6" s="13">
        <f>(הפחתה5[[#This Row],[יתרת פתיחה]])*(מדד2/12)</f>
        <v>0</v>
      </c>
      <c r="Q6" s="13">
        <f>IF(הפחתה5[[#This Row],[תאריך]]="",0,הפחתה5[[#This Row],[ריבית]]+הפחתה5[[#This Row],[קרן]]+הפחתה5[[#This Row],[מדד]])</f>
        <v>1699.6565777699723</v>
      </c>
      <c r="R6" s="13">
        <f>IF(הפחתה5[[#This Row],[תאריך]]="",0,הפחתה5[[#This Row],[יתרת פתיחה]]-הפחתה5[[#This Row],[קרן]]+הפחתה5[[#This Row],[מדד]])</f>
        <v>298413.59531809366</v>
      </c>
      <c r="S6" s="11">
        <f>IF(הפחתה5[[#This Row],[יתרת
סגירה]]&gt;0,LastRow2-ROW(),0)</f>
        <v>297</v>
      </c>
      <c r="T6" s="11">
        <f>ROWS($T$4:T6)</f>
        <v>3</v>
      </c>
      <c r="U6" s="12">
        <f ca="1">IF(ValuesEntered3,IF(הפחתה7[[#This Row],[מס'']]&lt;=תקופת_ההלוואה3,IF(ROW()-ROW(הפחתה7[[#Headers],[תאריך]])=1,LoanStart3,IF(AA5&gt;0,EDATE(U5,1),"")),""),"")</f>
        <v>45682</v>
      </c>
      <c r="V6" s="13">
        <f ca="1">IF(ROW()-ROW(הפחתה7[[#Headers],[יתרת פתיחה]])=1,סכום_הלוואה3,IF(הפחתה7[[#This Row],[תאריך]]="",0,INDEX(הפחתה7[], ROW()-4,8)))</f>
        <v>99838.423821275414</v>
      </c>
      <c r="W6" s="13">
        <f ca="1">IF(ValuesEntered3,IF(ROW()-ROW(הפחתה7[[#Headers],[ריבית]])=1,-IPMT(שיעור_ריבית3/12,1,תקופת_ההלוואה3-ROWS($C$4:U6)+1,הפחתה7[[#This Row],[יתרת פתיחה]]),IFERROR(-IPMT(שיעור_ריבית3/12,1,הפחתה7[[#This Row],[תשלומים
שנותרו]],V7),0)),0)</f>
        <v>191.19919187153255</v>
      </c>
      <c r="X6" s="13">
        <f ca="1">IFERROR(IF(AND(ValuesEntered3,הפחתה7[[#This Row],[תאריך]]&lt;&gt;""),-PPMT(שיעור_ריבית3/12,1,תקופת_ההלוואה3-ROWS($C$4:U6)+1,הפחתה7[[#This Row],[יתרת פתיחה]]),""),0)</f>
        <v>248.72108742432241</v>
      </c>
      <c r="Y6" s="13">
        <f ca="1">(הפחתה7[[#This Row],[יתרת פתיחה]])*(מדד3/12)</f>
        <v>166.39737303545903</v>
      </c>
      <c r="Z6" s="13">
        <f ca="1">IF(הפחתה7[[#This Row],[תאריך]]="",0,הפחתה7[[#This Row],[ריבית]]+הפחתה7[[#This Row],[קרן]]+הפחתה7[[#This Row],[מדד]])</f>
        <v>606.31765233131398</v>
      </c>
      <c r="AA6" s="13">
        <f ca="1">IF(הפחתה7[[#This Row],[תאריך]]="",0,הפחתה7[[#This Row],[יתרת פתיחה]]-הפחתה7[[#This Row],[קרן]]+הפחתה7[[#This Row],[מדד]])</f>
        <v>99756.100106886559</v>
      </c>
      <c r="AB6" s="11">
        <f ca="1">IF(הפחתה7[[#This Row],[יתרת
סגירה]]&gt;0,LastRow3-ROW(),0)</f>
        <v>297</v>
      </c>
      <c r="AC6" s="17">
        <f>ROWS($AC$4:AC6)</f>
        <v>3</v>
      </c>
      <c r="AD6" s="18" t="str">
        <f ca="1">IF(ValuesEntered4,IF(הפחתה8[[#This Row],[מס'']]&lt;=תקופת_ההלוואה4,IF(ROW()-ROW(הפחתה8[[#Headers],[תאריך]])=1,LoanStart4,IF(AJ5&gt;0,EDATE(AD5,1),"")),""),"")</f>
        <v/>
      </c>
      <c r="AE6" s="19">
        <f ca="1">IF(ROW()-ROW(הפחתה8[[#Headers],[יתרת פתיחה]])=1,סכום_הלוואה4,IF(הפחתה8[[#This Row],[תאריך]]="",0,INDEX(הפחתה8[], ROW()-4,8)))</f>
        <v>0</v>
      </c>
      <c r="AF6" s="19">
        <f ca="1">IF(ValuesEntered4,IF(ROW()-ROW(הפחתה8[[#Headers],[ריבית]])=1,-IPMT(שיעור_ריבית4/12,1,תקופת_ההלוואה4-ROWS($C$4:AD6)+1,הפחתה8[[#This Row],[יתרת פתיחה]]),IFERROR(-IPMT(שיעור_ריבית4/12,1,הפחתה8[[#This Row],[תשלומים
שנותרו]],AE7),0)),0)</f>
        <v>0</v>
      </c>
      <c r="AG6" s="19" t="str">
        <f ca="1">IFERROR(IF(AND(ValuesEntered4,הפחתה8[[#This Row],[תאריך]]&lt;&gt;""),-PPMT(שיעור_ריבית4/12,1,תקופת_ההלוואה4-ROWS($C$4:AD6)+1,הפחתה8[[#This Row],[יתרת פתיחה]]),""),0)</f>
        <v/>
      </c>
      <c r="AH6" s="19">
        <f ca="1">(הפחתה8[[#This Row],[יתרת פתיחה]])*(מדד4/12)</f>
        <v>0</v>
      </c>
      <c r="AI6" s="19">
        <f ca="1">IF(הפחתה8[[#This Row],[תאריך]]="",0,הפחתה8[[#This Row],[ריבית]]+הפחתה8[[#This Row],[קרן]]+הפחתה8[[#This Row],[מדד]])</f>
        <v>0</v>
      </c>
      <c r="AJ6" s="19">
        <f ca="1">IF(הפחתה8[[#This Row],[תאריך]]="",0,הפחתה8[[#This Row],[יתרת פתיחה]]-הפחתה8[[#This Row],[קרן]])</f>
        <v>0</v>
      </c>
      <c r="AK6" s="20">
        <f ca="1">IF(הפחתה8[[#This Row],[יתרת
סגירה]]&gt;0,LastRow4-ROW(),0)</f>
        <v>0</v>
      </c>
    </row>
    <row r="7" spans="1:37" ht="15" customHeight="1" x14ac:dyDescent="0.25">
      <c r="A7" s="8"/>
      <c r="B7" s="11">
        <f>ROWS($B$4:B7)</f>
        <v>4</v>
      </c>
      <c r="C7" s="12">
        <f>IF(ValuesEntered,IF(הפחתה[[#This Row],[מס'']]&lt;=תקופת_ההלוואה,IF(ROW()-ROW(הפחתה[[#Headers],[תאריך]])=1,LoanStart,IF(I6&gt;0,EDATE(C6,1),"")),""),"")</f>
        <v>45474</v>
      </c>
      <c r="D7" s="13">
        <f>IF(ROW()-ROW(הפחתה[[#Headers],[יתרת פתיחה]])=1,סכום_הלוואה,IF(הפחתה[[#This Row],[תאריך]]="",0,INDEX(הפחתה[], ROW()-4,8)))</f>
        <v>597945.46873659943</v>
      </c>
      <c r="E7" s="13">
        <f>IF(ValuesEntered,IF(ROW()-ROW(הפחתה[[#Headers],[ריבית]])=1,-IPMT(שיעור_ריבית/12,1,תקופת_ההלוואה-ROWS($C$4:C7)+1,הפחתה[[#This Row],[יתרת פתיחה]]),IFERROR(-IPMT(שיעור_ריבית/12,1,הפחתה[[#This Row],[תשלומים
שנותרו]],D8),0)),0)</f>
        <v>2637.8743360042317</v>
      </c>
      <c r="F7" s="13">
        <f>IFERROR(IF(AND(ValuesEntered,הפחתה[[#This Row],[תאריך]]&lt;&gt;""),-PPMT(שיעור_ריבית/12,1,תקופת_ההלוואה-ROWS($C$4:C7)+1,הפחתה[[#This Row],[יתרת פתיחה]]),""),0)</f>
        <v>690.90209413190291</v>
      </c>
      <c r="G7" s="13">
        <f>(הפחתה[[#This Row],[יתרת פתיחה]])*(מדד/12)</f>
        <v>0</v>
      </c>
      <c r="H7" s="13">
        <f>IF(הפחתה[[#This Row],[תאריך]]="",0,הפחתה[[#This Row],[ריבית]]+הפחתה[[#This Row],[קרן]]+הפחתה[[#This Row],[מדד]])</f>
        <v>3328.7764301361349</v>
      </c>
      <c r="I7" s="13">
        <f>IF(הפחתה[[#This Row],[תאריך]]="",0,הפחתה[[#This Row],[יתרת פתיחה]]-הפחתה[[#This Row],[קרן]]+הפחתה[[#This Row],[מדד]])</f>
        <v>597254.56664246751</v>
      </c>
      <c r="J7" s="11">
        <f>IF(הפחתה[[#This Row],[יתרת
סגירה]]&gt;0,LastRow-ROW(),0)</f>
        <v>356</v>
      </c>
      <c r="K7" s="11">
        <f>ROWS($K$4:K7)</f>
        <v>4</v>
      </c>
      <c r="L7" s="12">
        <f>IF(ValuesEntered2,IF(הפחתה5[[#This Row],[מס'']]&lt;=תקופת_ההלוואה2,IF(ROW()-ROW(הפחתה5[[#Headers],[תאריך]])=1,LoanStart2,IF(R6&gt;0,EDATE(L6,1),"")),""),"")</f>
        <v>45474</v>
      </c>
      <c r="M7" s="13">
        <f>IF(ROW()-ROW(הפחתה5[[#Headers],[יתרת פתיחה]])=1,סכום_הלוואה2,IF(הפחתה5[[#This Row],[תאריך]]="",0,INDEX(הפחתה5[], ROW()-4,8)))</f>
        <v>298413.59531809366</v>
      </c>
      <c r="N7" s="13">
        <f>IF(ValuesEntered2,IF(ROW()-ROW(הפחתה5[[#Headers],[ריבית]])=1,-IPMT(שיעור_ריבית2/12,1,תקופת_ההלוואה2-ROWS($L$4:L7)+1,הפחתה5[[#This Row],[יתרת פתיחה]]),IFERROR(-IPMT(שיעור_ריבית2/12,1,הפחתה5[[#This Row],[תשלומים
שנותרו]],M8),0)),0)</f>
        <v>1166.6991971512418</v>
      </c>
      <c r="O7" s="13">
        <f>IFERROR(IF(AND(ValuesEntered2,הפחתה5[[#This Row],[תאריך]]&lt;&gt;""),-PPMT(שיעור_ריבית2/12,1,תקופת_ההלוואה2-ROWS($L$4:L7)+1,הפחתה5[[#This Row],[יתרת פתיחה]]),""),0)</f>
        <v>532.94923692552618</v>
      </c>
      <c r="P7" s="13">
        <f>(הפחתה5[[#This Row],[יתרת פתיחה]])*(מדד2/12)</f>
        <v>0</v>
      </c>
      <c r="Q7" s="13">
        <f>IF(הפחתה5[[#This Row],[תאריך]]="",0,הפחתה5[[#This Row],[ריבית]]+הפחתה5[[#This Row],[קרן]]+הפחתה5[[#This Row],[מדד]])</f>
        <v>1699.6484340767679</v>
      </c>
      <c r="R7" s="13">
        <f>IF(הפחתה5[[#This Row],[תאריך]]="",0,הפחתה5[[#This Row],[יתרת פתיחה]]-הפחתה5[[#This Row],[קרן]]+הפחתה5[[#This Row],[מדד]])</f>
        <v>297880.64608116815</v>
      </c>
      <c r="S7" s="11">
        <f>IF(הפחתה5[[#This Row],[יתרת
סגירה]]&gt;0,LastRow2-ROW(),0)</f>
        <v>296</v>
      </c>
      <c r="T7" s="11">
        <f>ROWS($T$4:T7)</f>
        <v>4</v>
      </c>
      <c r="U7" s="12">
        <f ca="1">IF(ValuesEntered3,IF(הפחתה7[[#This Row],[מס'']]&lt;=תקופת_ההלוואה3,IF(ROW()-ROW(הפחתה7[[#Headers],[תאריך]])=1,LoanStart3,IF(AA6&gt;0,EDATE(U6,1),"")),""),"")</f>
        <v>45713</v>
      </c>
      <c r="V7" s="13">
        <f ca="1">IF(ROW()-ROW(הפחתה7[[#Headers],[יתרת פתיחה]])=1,סכום_הלוואה3,IF(הפחתה7[[#This Row],[תאריך]]="",0,INDEX(הפחתה7[], ROW()-4,8)))</f>
        <v>99756.100106886559</v>
      </c>
      <c r="W7" s="13">
        <f ca="1">IF(ValuesEntered3,IF(ROW()-ROW(הפחתה7[[#Headers],[ריבית]])=1,-IPMT(שיעור_ריבית3/12,1,תקופת_ההלוואה3-ROWS($C$4:U7)+1,הפחתה7[[#This Row],[יתרת פתיחה]]),IFERROR(-IPMT(שיעור_ריבית3/12,1,הפחתה7[[#This Row],[תשלומים
שנותרו]],V8),0)),0)</f>
        <v>191.03943003257027</v>
      </c>
      <c r="X7" s="13">
        <f ca="1">IFERROR(IF(AND(ValuesEntered3,הפחתה7[[#This Row],[תאריך]]&lt;&gt;""),-PPMT(שיעור_ריבית3/12,1,תקופת_ההלוואה3-ROWS($C$4:U7)+1,הפחתה7[[#This Row],[יתרת פתיחה]]),""),0)</f>
        <v>249.61416978164766</v>
      </c>
      <c r="Y7" s="13">
        <f ca="1">(הפחתה7[[#This Row],[יתרת פתיחה]])*(מדד3/12)</f>
        <v>166.26016684481095</v>
      </c>
      <c r="Z7" s="13">
        <f ca="1">IF(הפחתה7[[#This Row],[תאריך]]="",0,הפחתה7[[#This Row],[ריבית]]+הפחתה7[[#This Row],[קרן]]+הפחתה7[[#This Row],[מדד]])</f>
        <v>606.91376665902885</v>
      </c>
      <c r="AA7" s="13">
        <f ca="1">IF(הפחתה7[[#This Row],[תאריך]]="",0,הפחתה7[[#This Row],[יתרת פתיחה]]-הפחתה7[[#This Row],[קרן]]+הפחתה7[[#This Row],[מדד]])</f>
        <v>99672.746103949714</v>
      </c>
      <c r="AB7" s="11">
        <f ca="1">IF(הפחתה7[[#This Row],[יתרת
סגירה]]&gt;0,LastRow3-ROW(),0)</f>
        <v>296</v>
      </c>
      <c r="AC7" s="17">
        <f>ROWS($AC$4:AC7)</f>
        <v>4</v>
      </c>
      <c r="AD7" s="43" t="str">
        <f ca="1">IF(ValuesEntered4,IF(הפחתה8[[#This Row],[מס'']]&lt;=תקופת_ההלוואה4,IF(ROW()-ROW(הפחתה8[[#Headers],[תאריך]])=1,LoanStart4,IF(AJ6&gt;0,EDATE(AD6,1),"")),""),"")</f>
        <v/>
      </c>
      <c r="AE7" s="19">
        <f ca="1">IF(ROW()-ROW(הפחתה8[[#Headers],[יתרת פתיחה]])=1,סכום_הלוואה4,IF(הפחתה8[[#This Row],[תאריך]]="",0,INDEX(הפחתה8[], ROW()-4,8)))</f>
        <v>0</v>
      </c>
      <c r="AF7" s="19">
        <f ca="1">IF(ValuesEntered4,IF(ROW()-ROW(הפחתה8[[#Headers],[ריבית]])=1,-IPMT(שיעור_ריבית4/12,1,תקופת_ההלוואה4-ROWS($C$4:AD7)+1,הפחתה8[[#This Row],[יתרת פתיחה]]),IFERROR(-IPMT(שיעור_ריבית4/12,1,הפחתה8[[#This Row],[תשלומים
שנותרו]],AE8),0)),0)</f>
        <v>0</v>
      </c>
      <c r="AG7" s="19" t="str">
        <f ca="1">IFERROR(IF(AND(ValuesEntered4,הפחתה8[[#This Row],[תאריך]]&lt;&gt;""),-PPMT(שיעור_ריבית4/12,1,תקופת_ההלוואה4-ROWS($C$4:AD7)+1,הפחתה8[[#This Row],[יתרת פתיחה]]),""),0)</f>
        <v/>
      </c>
      <c r="AH7" s="19">
        <f ca="1">(הפחתה8[[#This Row],[יתרת פתיחה]])*(מדד4/12)</f>
        <v>0</v>
      </c>
      <c r="AI7" s="19">
        <f ca="1">IF(הפחתה8[[#This Row],[תאריך]]="",0,הפחתה8[[#This Row],[ריבית]]+הפחתה8[[#This Row],[קרן]]+הפחתה8[[#This Row],[מדד]])</f>
        <v>0</v>
      </c>
      <c r="AJ7" s="19">
        <f ca="1">IF(הפחתה8[[#This Row],[תאריך]]="",0,הפחתה8[[#This Row],[יתרת פתיחה]]-הפחתה8[[#This Row],[קרן]])</f>
        <v>0</v>
      </c>
      <c r="AK7" s="20">
        <f ca="1">IF(הפחתה8[[#This Row],[יתרת
סגירה]]&gt;0,LastRow4-ROW(),0)</f>
        <v>0</v>
      </c>
    </row>
    <row r="8" spans="1:37" ht="15" customHeight="1" x14ac:dyDescent="0.25">
      <c r="A8" s="8"/>
      <c r="B8" s="11">
        <f>ROWS($B$4:B8)</f>
        <v>5</v>
      </c>
      <c r="C8" s="12">
        <f>IF(ValuesEntered,IF(הפחתה[[#This Row],[מס'']]&lt;=תקופת_ההלוואה,IF(ROW()-ROW(הפחתה[[#Headers],[תאריך]])=1,LoanStart,IF(I7&gt;0,EDATE(C7,1),"")),""),"")</f>
        <v>45505</v>
      </c>
      <c r="D8" s="13">
        <f>IF(ROW()-ROW(הפחתה[[#Headers],[יתרת פתיחה]])=1,סכום_הלוואה,IF(הפחתה[[#This Row],[תאריך]]="",0,INDEX(הפחתה[], ROW()-4,8)))</f>
        <v>597254.56664246751</v>
      </c>
      <c r="E8" s="13">
        <f>IF(ValuesEntered,IF(ROW()-ROW(הפחתה[[#Headers],[ריבית]])=1,-IPMT(שיעור_ריבית/12,1,תקופת_ההלוואה-ROWS($C$4:C8)+1,הפחתה[[#This Row],[יתרת פתיחה]]),IFERROR(-IPMT(שיעור_ריבית/12,1,הפחתה[[#This Row],[תשלומים
שנותרו]],D9),0)),0)</f>
        <v>2634.8093743663821</v>
      </c>
      <c r="F8" s="13">
        <f>IFERROR(IF(AND(ValuesEntered,הפחתה[[#This Row],[תאריך]]&lt;&gt;""),-PPMT(שיעור_ריבית/12,1,תקופת_ההלוואה-ROWS($C$4:C8)+1,הפחתה[[#This Row],[יתרת פתיחה]]),""),0)</f>
        <v>693.9535783809855</v>
      </c>
      <c r="G8" s="13">
        <f>(הפחתה[[#This Row],[יתרת פתיחה]])*(מדד/12)</f>
        <v>0</v>
      </c>
      <c r="H8" s="13">
        <f>IF(הפחתה[[#This Row],[תאריך]]="",0,הפחתה[[#This Row],[ריבית]]+הפחתה[[#This Row],[קרן]]+הפחתה[[#This Row],[מדד]])</f>
        <v>3328.7629527473678</v>
      </c>
      <c r="I8" s="13">
        <f>IF(הפחתה[[#This Row],[תאריך]]="",0,הפחתה[[#This Row],[יתרת פתיחה]]-הפחתה[[#This Row],[קרן]]+הפחתה[[#This Row],[מדד]])</f>
        <v>596560.61306408653</v>
      </c>
      <c r="J8" s="11">
        <f>IF(הפחתה[[#This Row],[יתרת
סגירה]]&gt;0,LastRow-ROW(),0)</f>
        <v>355</v>
      </c>
      <c r="K8" s="11">
        <f>ROWS($K$4:K8)</f>
        <v>5</v>
      </c>
      <c r="L8" s="12">
        <f>IF(ValuesEntered2,IF(הפחתה5[[#This Row],[מס'']]&lt;=תקופת_ההלוואה2,IF(ROW()-ROW(הפחתה5[[#Headers],[תאריך]])=1,LoanStart2,IF(R7&gt;0,EDATE(L7,1),"")),""),"")</f>
        <v>45505</v>
      </c>
      <c r="M8" s="13">
        <f>IF(ROW()-ROW(הפחתה5[[#Headers],[יתרת פתיחה]])=1,סכום_הלוואה2,IF(הפחתה5[[#This Row],[תאריך]]="",0,INDEX(הפחתה5[], ROW()-4,8)))</f>
        <v>297880.64608116815</v>
      </c>
      <c r="N8" s="13">
        <f>IF(ValuesEntered2,IF(ROW()-ROW(הפחתה5[[#Headers],[ריבית]])=1,-IPMT(שיעור_ריבית2/12,1,תקופת_ההלוואה2-ROWS($L$4:L8)+1,הפחתה5[[#This Row],[יתרת פתיחה]]),IFERROR(-IPMT(שיעור_ריבית2/12,1,הפחתה5[[#This Row],[תשלומים
שנותרו]],M9),0)),0)</f>
        <v>1164.6036370506142</v>
      </c>
      <c r="O8" s="13">
        <f>IFERROR(IF(AND(ValuesEntered2,הפחתה5[[#This Row],[תאריך]]&lt;&gt;""),-PPMT(שיעור_ריבית2/12,1,תקופת_ההלוואה2-ROWS($L$4:L8)+1,הפחתה5[[#This Row],[יתרת פתיחה]]),""),0)</f>
        <v>535.03662143681788</v>
      </c>
      <c r="P8" s="13">
        <f>(הפחתה5[[#This Row],[יתרת פתיחה]])*(מדד2/12)</f>
        <v>0</v>
      </c>
      <c r="Q8" s="13">
        <f>IF(הפחתה5[[#This Row],[תאריך]]="",0,הפחתה5[[#This Row],[ריבית]]+הפחתה5[[#This Row],[קרן]]+הפחתה5[[#This Row],[מדד]])</f>
        <v>1699.6402584874322</v>
      </c>
      <c r="R8" s="13">
        <f>IF(הפחתה5[[#This Row],[תאריך]]="",0,הפחתה5[[#This Row],[יתרת פתיחה]]-הפחתה5[[#This Row],[קרן]]+הפחתה5[[#This Row],[מדד]])</f>
        <v>297345.60945973132</v>
      </c>
      <c r="S8" s="11">
        <f>IF(הפחתה5[[#This Row],[יתרת
סגירה]]&gt;0,LastRow2-ROW(),0)</f>
        <v>295</v>
      </c>
      <c r="T8" s="11">
        <f>ROWS($T$4:T8)</f>
        <v>5</v>
      </c>
      <c r="U8" s="12">
        <f ca="1">IF(ValuesEntered3,IF(הפחתה7[[#This Row],[מס'']]&lt;=תקופת_ההלוואה3,IF(ROW()-ROW(הפחתה7[[#Headers],[תאריך]])=1,LoanStart3,IF(AA7&gt;0,EDATE(U7,1),"")),""),"")</f>
        <v>45741</v>
      </c>
      <c r="V8" s="13">
        <f ca="1">IF(ROW()-ROW(הפחתה7[[#Headers],[יתרת פתיחה]])=1,סכום_הלוואה3,IF(הפחתה7[[#This Row],[תאריך]]="",0,INDEX(הפחתה7[], ROW()-4,8)))</f>
        <v>99672.746103949714</v>
      </c>
      <c r="W8" s="13">
        <f ca="1">IF(ValuesEntered3,IF(ROW()-ROW(הפחתה7[[#Headers],[ריבית]])=1,-IPMT(שיעור_ריבית3/12,1,תקופת_ההלוואה3-ROWS($C$4:U8)+1,הפחתה7[[#This Row],[יתרת פתיחה]]),IFERROR(-IPMT(שיעור_ריבית3/12,1,הפחתה7[[#This Row],[תשלומים
שנותרו]],V9),0)),0)</f>
        <v>190.87768402750666</v>
      </c>
      <c r="X8" s="13">
        <f ca="1">IFERROR(IF(AND(ValuesEntered3,הפחתה7[[#This Row],[תאריך]]&lt;&gt;""),-PPMT(שיעור_ריבית3/12,1,תקופת_ההלוואה3-ROWS($C$4:U8)+1,הפחתה7[[#This Row],[יתרת פתיחה]]),""),0)</f>
        <v>250.51046353976747</v>
      </c>
      <c r="Y8" s="13">
        <f ca="1">(הפחתה7[[#This Row],[יתרת פתיחה]])*(מדד3/12)</f>
        <v>166.12124350658286</v>
      </c>
      <c r="Z8" s="13">
        <f ca="1">IF(הפחתה7[[#This Row],[תאריך]]="",0,הפחתה7[[#This Row],[ריבית]]+הפחתה7[[#This Row],[קרן]]+הפחתה7[[#This Row],[מדד]])</f>
        <v>607.50939107385693</v>
      </c>
      <c r="AA8" s="13">
        <f ca="1">IF(הפחתה7[[#This Row],[תאריך]]="",0,הפחתה7[[#This Row],[יתרת פתיחה]]-הפחתה7[[#This Row],[קרן]]+הפחתה7[[#This Row],[מדד]])</f>
        <v>99588.356883916524</v>
      </c>
      <c r="AB8" s="11">
        <f ca="1">IF(הפחתה7[[#This Row],[יתרת
סגירה]]&gt;0,LastRow3-ROW(),0)</f>
        <v>295</v>
      </c>
      <c r="AC8" s="17">
        <f>ROWS($AC$4:AC8)</f>
        <v>5</v>
      </c>
      <c r="AD8" s="18" t="str">
        <f ca="1">IF(ValuesEntered4,IF(הפחתה8[[#This Row],[מס'']]&lt;=תקופת_ההלוואה4,IF(ROW()-ROW(הפחתה8[[#Headers],[תאריך]])=1,LoanStart4,IF(AJ7&gt;0,EDATE(AD7,1),"")),""),"")</f>
        <v/>
      </c>
      <c r="AE8" s="19">
        <f ca="1">IF(ROW()-ROW(הפחתה8[[#Headers],[יתרת פתיחה]])=1,סכום_הלוואה4,IF(הפחתה8[[#This Row],[תאריך]]="",0,INDEX(הפחתה8[], ROW()-4,8)))</f>
        <v>0</v>
      </c>
      <c r="AF8" s="19">
        <f ca="1">IF(ValuesEntered4,IF(ROW()-ROW(הפחתה8[[#Headers],[ריבית]])=1,-IPMT(שיעור_ריבית4/12,1,תקופת_ההלוואה4-ROWS($C$4:AD8)+1,הפחתה8[[#This Row],[יתרת פתיחה]]),IFERROR(-IPMT(שיעור_ריבית4/12,1,הפחתה8[[#This Row],[תשלומים
שנותרו]],AE9),0)),0)</f>
        <v>0</v>
      </c>
      <c r="AG8" s="19" t="str">
        <f ca="1">IFERROR(IF(AND(ValuesEntered4,הפחתה8[[#This Row],[תאריך]]&lt;&gt;""),-PPMT(שיעור_ריבית4/12,1,תקופת_ההלוואה4-ROWS($C$4:AD8)+1,הפחתה8[[#This Row],[יתרת פתיחה]]),""),0)</f>
        <v/>
      </c>
      <c r="AH8" s="19">
        <f ca="1">(הפחתה8[[#This Row],[יתרת פתיחה]])*(מדד4/12)</f>
        <v>0</v>
      </c>
      <c r="AI8" s="19">
        <f ca="1">IF(הפחתה8[[#This Row],[תאריך]]="",0,הפחתה8[[#This Row],[ריבית]]+הפחתה8[[#This Row],[קרן]]+הפחתה8[[#This Row],[מדד]])</f>
        <v>0</v>
      </c>
      <c r="AJ8" s="19">
        <f ca="1">IF(הפחתה8[[#This Row],[תאריך]]="",0,הפחתה8[[#This Row],[יתרת פתיחה]]-הפחתה8[[#This Row],[קרן]])</f>
        <v>0</v>
      </c>
      <c r="AK8" s="20">
        <f ca="1">IF(הפחתה8[[#This Row],[יתרת
סגירה]]&gt;0,LastRow4-ROW(),0)</f>
        <v>0</v>
      </c>
    </row>
    <row r="9" spans="1:37" ht="15" customHeight="1" x14ac:dyDescent="0.25">
      <c r="A9" s="8"/>
      <c r="B9" s="11">
        <f>ROWS($B$4:B9)</f>
        <v>6</v>
      </c>
      <c r="C9" s="12">
        <f>IF(ValuesEntered,IF(הפחתה[[#This Row],[מס'']]&lt;=תקופת_ההלוואה,IF(ROW()-ROW(הפחתה[[#Headers],[תאריך]])=1,LoanStart,IF(I8&gt;0,EDATE(C8,1),"")),""),"")</f>
        <v>45536</v>
      </c>
      <c r="D9" s="13">
        <f>IF(ROW()-ROW(הפחתה[[#Headers],[יתרת פתיחה]])=1,סכום_הלוואה,IF(הפחתה[[#This Row],[תאריך]]="",0,INDEX(הפחתה[], ROW()-4,8)))</f>
        <v>596560.61306408653</v>
      </c>
      <c r="E9" s="13">
        <f>IF(ValuesEntered,IF(ROW()-ROW(הפחתה[[#Headers],[ריבית]])=1,-IPMT(שיעור_ריבית/12,1,תקופת_ההלוואה-ROWS($C$4:C9)+1,הפחתה[[#This Row],[יתרת פתיחה]]),IFERROR(-IPMT(שיעור_ריבית/12,1,הפחתה[[#This Row],[תשלומים
שנותרו]],D10),0)),0)</f>
        <v>2631.7308758146323</v>
      </c>
      <c r="F9" s="13">
        <f>IFERROR(IF(AND(ValuesEntered,הפחתה[[#This Row],[תאריך]]&lt;&gt;""),-PPMT(שיעור_ריבית/12,1,תקופת_ההלוואה-ROWS($C$4:C9)+1,הפחתה[[#This Row],[יתרת פתיחה]]),""),0)</f>
        <v>697.01854001883476</v>
      </c>
      <c r="G9" s="13">
        <f>(הפחתה[[#This Row],[יתרת פתיחה]])*(מדד/12)</f>
        <v>0</v>
      </c>
      <c r="H9" s="13">
        <f>IF(הפחתה[[#This Row],[תאריך]]="",0,הפחתה[[#This Row],[ריבית]]+הפחתה[[#This Row],[קרן]]+הפחתה[[#This Row],[מדד]])</f>
        <v>3328.7494158334671</v>
      </c>
      <c r="I9" s="13">
        <f>IF(הפחתה[[#This Row],[תאריך]]="",0,הפחתה[[#This Row],[יתרת פתיחה]]-הפחתה[[#This Row],[קרן]]+הפחתה[[#This Row],[מדד]])</f>
        <v>595863.59452406771</v>
      </c>
      <c r="J9" s="11">
        <f>IF(הפחתה[[#This Row],[יתרת
סגירה]]&gt;0,LastRow-ROW(),0)</f>
        <v>354</v>
      </c>
      <c r="K9" s="11">
        <f>ROWS($K$4:K9)</f>
        <v>6</v>
      </c>
      <c r="L9" s="12">
        <f>IF(ValuesEntered2,IF(הפחתה5[[#This Row],[מס'']]&lt;=תקופת_ההלוואה2,IF(ROW()-ROW(הפחתה5[[#Headers],[תאריך]])=1,LoanStart2,IF(R8&gt;0,EDATE(L8,1),"")),""),"")</f>
        <v>45536</v>
      </c>
      <c r="M9" s="13">
        <f>IF(ROW()-ROW(הפחתה5[[#Headers],[יתרת פתיחה]])=1,סכום_הלוואה2,IF(הפחתה5[[#This Row],[תאריך]]="",0,INDEX(הפחתה5[], ROW()-4,8)))</f>
        <v>297345.60945973132</v>
      </c>
      <c r="N9" s="13">
        <f>IF(ValuesEntered2,IF(ROW()-ROW(הפחתה5[[#Headers],[ריבית]])=1,-IPMT(שיעור_ריבית2/12,1,תקופת_ההלוואה2-ROWS($L$4:L9)+1,הפחתה5[[#This Row],[יתרת פתיחה]]),IFERROR(-IPMT(שיעור_ריבית2/12,1,הפחתה5[[#This Row],[תשלומים
שנותרו]],M10),0)),0)</f>
        <v>1162.4998693395926</v>
      </c>
      <c r="O9" s="13">
        <f>IFERROR(IF(AND(ValuesEntered2,הפחתה5[[#This Row],[תאריך]]&lt;&gt;""),-PPMT(שיעור_ריבית2/12,1,תקופת_ההלוואה2-ROWS($L$4:L9)+1,הפחתה5[[#This Row],[יתרת פתיחה]]),""),0)</f>
        <v>537.13218153744538</v>
      </c>
      <c r="P9" s="13">
        <f>(הפחתה5[[#This Row],[יתרת פתיחה]])*(מדד2/12)</f>
        <v>0</v>
      </c>
      <c r="Q9" s="13">
        <f>IF(הפחתה5[[#This Row],[תאריך]]="",0,הפחתה5[[#This Row],[ריבית]]+הפחתה5[[#This Row],[קרן]]+הפחתה5[[#This Row],[מדד]])</f>
        <v>1699.632050877038</v>
      </c>
      <c r="R9" s="13">
        <f>IF(הפחתה5[[#This Row],[תאריך]]="",0,הפחתה5[[#This Row],[יתרת פתיחה]]-הפחתה5[[#This Row],[קרן]]+הפחתה5[[#This Row],[מדד]])</f>
        <v>296808.47727819387</v>
      </c>
      <c r="S9" s="11">
        <f>IF(הפחתה5[[#This Row],[יתרת
סגירה]]&gt;0,LastRow2-ROW(),0)</f>
        <v>294</v>
      </c>
      <c r="T9" s="11">
        <f>ROWS($T$4:T9)</f>
        <v>6</v>
      </c>
      <c r="U9" s="12">
        <f ca="1">IF(ValuesEntered3,IF(הפחתה7[[#This Row],[מס'']]&lt;=תקופת_ההלוואה3,IF(ROW()-ROW(הפחתה7[[#Headers],[תאריך]])=1,LoanStart3,IF(AA8&gt;0,EDATE(U8,1),"")),""),"")</f>
        <v>45772</v>
      </c>
      <c r="V9" s="13">
        <f ca="1">IF(ROW()-ROW(הפחתה7[[#Headers],[יתרת פתיחה]])=1,סכום_הלוואה3,IF(הפחתה7[[#This Row],[תאריך]]="",0,INDEX(הפחתה7[], ROW()-4,8)))</f>
        <v>99588.356883916524</v>
      </c>
      <c r="W9" s="13">
        <f ca="1">IF(ValuesEntered3,IF(ROW()-ROW(הפחתה7[[#Headers],[ריבית]])=1,-IPMT(שיעור_ריבית3/12,1,תקופת_ההלוואה3-ROWS($C$4:U9)+1,הפחתה7[[#This Row],[יתרת פתיחה]]),IFERROR(-IPMT(שיעור_ריבית3/12,1,הפחתה7[[#This Row],[תשלומים
שנותרו]],V10),0)),0)</f>
        <v>190.71394437198674</v>
      </c>
      <c r="X9" s="13">
        <f ca="1">IFERROR(IF(AND(ValuesEntered3,הפחתה7[[#This Row],[תאריך]]&lt;&gt;""),-PPMT(שיעור_ריבית3/12,1,תקופת_ההלוואה3-ROWS($C$4:U9)+1,הפחתה7[[#This Row],[יתרת פתיחה]]),""),0)</f>
        <v>251.40998029518644</v>
      </c>
      <c r="Y9" s="13">
        <f ca="1">(הפחתה7[[#This Row],[יתרת פתיחה]])*(מדד3/12)</f>
        <v>165.98059480652756</v>
      </c>
      <c r="Z9" s="13">
        <f ca="1">IF(הפחתה7[[#This Row],[תאריך]]="",0,הפחתה7[[#This Row],[ריבית]]+הפחתה7[[#This Row],[קרן]]+הפחתה7[[#This Row],[מדד]])</f>
        <v>608.10451947370075</v>
      </c>
      <c r="AA9" s="13">
        <f ca="1">IF(הפחתה7[[#This Row],[תאריך]]="",0,הפחתה7[[#This Row],[יתרת פתיחה]]-הפחתה7[[#This Row],[קרן]]+הפחתה7[[#This Row],[מדד]])</f>
        <v>99502.927498427875</v>
      </c>
      <c r="AB9" s="11">
        <f ca="1">IF(הפחתה7[[#This Row],[יתרת
סגירה]]&gt;0,LastRow3-ROW(),0)</f>
        <v>294</v>
      </c>
      <c r="AC9" s="17">
        <f>ROWS($AC$4:AC9)</f>
        <v>6</v>
      </c>
      <c r="AD9" s="18" t="str">
        <f ca="1">IF(ValuesEntered4,IF(הפחתה8[[#This Row],[מס'']]&lt;=תקופת_ההלוואה4,IF(ROW()-ROW(הפחתה8[[#Headers],[תאריך]])=1,LoanStart4,IF(AJ8&gt;0,EDATE(AD8,1),"")),""),"")</f>
        <v/>
      </c>
      <c r="AE9" s="19">
        <f ca="1">IF(ROW()-ROW(הפחתה8[[#Headers],[יתרת פתיחה]])=1,סכום_הלוואה4,IF(הפחתה8[[#This Row],[תאריך]]="",0,INDEX(הפחתה8[], ROW()-4,8)))</f>
        <v>0</v>
      </c>
      <c r="AF9" s="19">
        <f ca="1">IF(ValuesEntered4,IF(ROW()-ROW(הפחתה8[[#Headers],[ריבית]])=1,-IPMT(שיעור_ריבית4/12,1,תקופת_ההלוואה4-ROWS($C$4:AD9)+1,הפחתה8[[#This Row],[יתרת פתיחה]]),IFERROR(-IPMT(שיעור_ריבית4/12,1,הפחתה8[[#This Row],[תשלומים
שנותרו]],AE10),0)),0)</f>
        <v>0</v>
      </c>
      <c r="AG9" s="19" t="str">
        <f ca="1">IFERROR(IF(AND(ValuesEntered4,הפחתה8[[#This Row],[תאריך]]&lt;&gt;""),-PPMT(שיעור_ריבית4/12,1,תקופת_ההלוואה4-ROWS($C$4:AD9)+1,הפחתה8[[#This Row],[יתרת פתיחה]]),""),0)</f>
        <v/>
      </c>
      <c r="AH9" s="19">
        <f ca="1">(הפחתה8[[#This Row],[יתרת פתיחה]])*(מדד4/12)</f>
        <v>0</v>
      </c>
      <c r="AI9" s="19">
        <f ca="1">IF(הפחתה8[[#This Row],[תאריך]]="",0,הפחתה8[[#This Row],[ריבית]]+הפחתה8[[#This Row],[קרן]]+הפחתה8[[#This Row],[מדד]])</f>
        <v>0</v>
      </c>
      <c r="AJ9" s="19">
        <f ca="1">IF(הפחתה8[[#This Row],[תאריך]]="",0,הפחתה8[[#This Row],[יתרת פתיחה]]-הפחתה8[[#This Row],[קרן]])</f>
        <v>0</v>
      </c>
      <c r="AK9" s="20">
        <f ca="1">IF(הפחתה8[[#This Row],[יתרת
סגירה]]&gt;0,LastRow4-ROW(),0)</f>
        <v>0</v>
      </c>
    </row>
    <row r="10" spans="1:37" ht="15" customHeight="1" x14ac:dyDescent="0.25">
      <c r="A10" s="8"/>
      <c r="B10" s="11">
        <f>ROWS($B$4:B10)</f>
        <v>7</v>
      </c>
      <c r="C10" s="12">
        <f>IF(ValuesEntered,IF(הפחתה[[#This Row],[מס'']]&lt;=תקופת_ההלוואה,IF(ROW()-ROW(הפחתה[[#Headers],[תאריך]])=1,LoanStart,IF(I9&gt;0,EDATE(C9,1),"")),""),"")</f>
        <v>45566</v>
      </c>
      <c r="D10" s="13">
        <f>IF(ROW()-ROW(הפחתה[[#Headers],[יתרת פתיחה]])=1,סכום_הלוואה,IF(הפחתה[[#This Row],[תאריך]]="",0,INDEX(הפחתה[], ROW()-4,8)))</f>
        <v>595863.59452406771</v>
      </c>
      <c r="E10" s="13">
        <f>IF(ValuesEntered,IF(ROW()-ROW(הפחתה[[#Headers],[ריבית]])=1,-IPMT(שיעור_ריבית/12,1,תקופת_ההלוואה-ROWS($C$4:C10)+1,הפחתה[[#This Row],[יתרת פתיחה]]),IFERROR(-IPMT(שיעור_ריבית/12,1,הפחתה[[#This Row],[תשלומים
שנותרו]],D11),0)),0)</f>
        <v>2628.6387805609456</v>
      </c>
      <c r="F10" s="13">
        <f>IFERROR(IF(AND(ValuesEntered,הפחתה[[#This Row],[תאריך]]&lt;&gt;""),-PPMT(שיעור_ריבית/12,1,תקופת_ההלוואה-ROWS($C$4:C10)+1,הפחתה[[#This Row],[יתרת פתיחה]]),""),0)</f>
        <v>700.0970385705848</v>
      </c>
      <c r="G10" s="13">
        <f>(הפחתה[[#This Row],[יתרת פתיחה]])*(מדד/12)</f>
        <v>0</v>
      </c>
      <c r="H10" s="13">
        <f>IF(הפחתה[[#This Row],[תאריך]]="",0,הפחתה[[#This Row],[ריבית]]+הפחתה[[#This Row],[קרן]]+הפחתה[[#This Row],[מדד]])</f>
        <v>3328.7358191315307</v>
      </c>
      <c r="I10" s="13">
        <f>IF(הפחתה[[#This Row],[תאריך]]="",0,הפחתה[[#This Row],[יתרת פתיחה]]-הפחתה[[#This Row],[קרן]]+הפחתה[[#This Row],[מדד]])</f>
        <v>595163.49748549715</v>
      </c>
      <c r="J10" s="11">
        <f>IF(הפחתה[[#This Row],[יתרת
סגירה]]&gt;0,LastRow-ROW(),0)</f>
        <v>353</v>
      </c>
      <c r="K10" s="11">
        <f>ROWS($K$4:K10)</f>
        <v>7</v>
      </c>
      <c r="L10" s="12">
        <f>IF(ValuesEntered2,IF(הפחתה5[[#This Row],[מס'']]&lt;=תקופת_ההלוואה2,IF(ROW()-ROW(הפחתה5[[#Headers],[תאריך]])=1,LoanStart2,IF(R9&gt;0,EDATE(L9,1),"")),""),"")</f>
        <v>45566</v>
      </c>
      <c r="M10" s="13">
        <f>IF(ROW()-ROW(הפחתה5[[#Headers],[יתרת פתיחה]])=1,סכום_הלוואה2,IF(הפחתה5[[#This Row],[תאריך]]="",0,INDEX(הפחתה5[], ROW()-4,8)))</f>
        <v>296808.47727819387</v>
      </c>
      <c r="N10" s="13">
        <f>IF(ValuesEntered2,IF(ROW()-ROW(הפחתה5[[#Headers],[ריבית]])=1,-IPMT(שיעור_ריבית2/12,1,תקופת_ההלוואה2-ROWS($L$4:L10)+1,הפחתה5[[#This Row],[יתרת פתיחה]]),IFERROR(-IPMT(שיעור_ריבית2/12,1,הפחתה5[[#This Row],[תשלומים
שנותרו]],M11),0)),0)</f>
        <v>1160.3878618717026</v>
      </c>
      <c r="O10" s="13">
        <f>IFERROR(IF(AND(ValuesEntered2,הפחתה5[[#This Row],[תאריך]]&lt;&gt;""),-PPMT(שיעור_ריבית2/12,1,תקופת_ההלוואה2-ROWS($L$4:L10)+1,הפחתה5[[#This Row],[יתרת פתיחה]]),""),0)</f>
        <v>539.23594924846714</v>
      </c>
      <c r="P10" s="13">
        <f>(הפחתה5[[#This Row],[יתרת פתיחה]])*(מדד2/12)</f>
        <v>0</v>
      </c>
      <c r="Q10" s="13">
        <f>IF(הפחתה5[[#This Row],[תאריך]]="",0,הפחתה5[[#This Row],[ריבית]]+הפחתה5[[#This Row],[קרן]]+הפחתה5[[#This Row],[מדד]])</f>
        <v>1699.6238111201696</v>
      </c>
      <c r="R10" s="13">
        <f>IF(הפחתה5[[#This Row],[תאריך]]="",0,הפחתה5[[#This Row],[יתרת פתיחה]]-הפחתה5[[#This Row],[קרן]]+הפחתה5[[#This Row],[מדד]])</f>
        <v>296269.24132894538</v>
      </c>
      <c r="S10" s="11">
        <f>IF(הפחתה5[[#This Row],[יתרת
סגירה]]&gt;0,LastRow2-ROW(),0)</f>
        <v>293</v>
      </c>
      <c r="T10" s="11">
        <f>ROWS($T$4:T10)</f>
        <v>7</v>
      </c>
      <c r="U10" s="12">
        <f ca="1">IF(ValuesEntered3,IF(הפחתה7[[#This Row],[מס'']]&lt;=תקופת_ההלוואה3,IF(ROW()-ROW(הפחתה7[[#Headers],[תאריך]])=1,LoanStart3,IF(AA9&gt;0,EDATE(U9,1),"")),""),"")</f>
        <v>45802</v>
      </c>
      <c r="V10" s="13">
        <f ca="1">IF(ROW()-ROW(הפחתה7[[#Headers],[יתרת פתיחה]])=1,סכום_הלוואה3,IF(הפחתה7[[#This Row],[תאריך]]="",0,INDEX(הפחתה7[], ROW()-4,8)))</f>
        <v>99502.927498427875</v>
      </c>
      <c r="W10" s="13">
        <f ca="1">IF(ValuesEntered3,IF(ROW()-ROW(הפחתה7[[#Headers],[ריבית]])=1,-IPMT(שיעור_ריבית3/12,1,תקופת_ההלוואה3-ROWS($C$4:U10)+1,הפחתה7[[#This Row],[יתרת פתיחה]]),IFERROR(-IPMT(שיעור_ריבית3/12,1,הפחתה7[[#This Row],[תשלומים
שנותרו]],V11),0)),0)</f>
        <v>190.54820154354016</v>
      </c>
      <c r="X10" s="13">
        <f ca="1">IFERROR(IF(AND(ValuesEntered3,הפחתה7[[#This Row],[תאריך]]&lt;&gt;""),-PPMT(שיעור_ריבית3/12,1,תקופת_ההלוואה3-ROWS($C$4:U10)+1,הפחתה7[[#This Row],[יתרת פתיחה]]),""),0)</f>
        <v>252.31273168690456</v>
      </c>
      <c r="Y10" s="13">
        <f ca="1">(הפחתה7[[#This Row],[יתרת פתיחה]])*(מדד3/12)</f>
        <v>165.8382124973798</v>
      </c>
      <c r="Z10" s="13">
        <f ca="1">IF(הפחתה7[[#This Row],[תאריך]]="",0,הפחתה7[[#This Row],[ריבית]]+הפחתה7[[#This Row],[קרן]]+הפחתה7[[#This Row],[מדד]])</f>
        <v>608.69914572782454</v>
      </c>
      <c r="AA10" s="13">
        <f ca="1">IF(הפחתה7[[#This Row],[תאריך]]="",0,הפחתה7[[#This Row],[יתרת פתיחה]]-הפחתה7[[#This Row],[קרן]]+הפחתה7[[#This Row],[מדד]])</f>
        <v>99416.452979238355</v>
      </c>
      <c r="AB10" s="11">
        <f ca="1">IF(הפחתה7[[#This Row],[יתרת
סגירה]]&gt;0,LastRow3-ROW(),0)</f>
        <v>293</v>
      </c>
      <c r="AC10" s="17">
        <f>ROWS($AC$4:AC10)</f>
        <v>7</v>
      </c>
      <c r="AD10" s="18" t="str">
        <f ca="1">IF(ValuesEntered4,IF(הפחתה8[[#This Row],[מס'']]&lt;=תקופת_ההלוואה4,IF(ROW()-ROW(הפחתה8[[#Headers],[תאריך]])=1,LoanStart4,IF(AJ9&gt;0,EDATE(AD9,1),"")),""),"")</f>
        <v/>
      </c>
      <c r="AE10" s="19">
        <f ca="1">IF(ROW()-ROW(הפחתה8[[#Headers],[יתרת פתיחה]])=1,סכום_הלוואה4,IF(הפחתה8[[#This Row],[תאריך]]="",0,INDEX(הפחתה8[], ROW()-4,8)))</f>
        <v>0</v>
      </c>
      <c r="AF10" s="19">
        <f ca="1">IF(ValuesEntered4,IF(ROW()-ROW(הפחתה8[[#Headers],[ריבית]])=1,-IPMT(שיעור_ריבית4/12,1,תקופת_ההלוואה4-ROWS($C$4:AD10)+1,הפחתה8[[#This Row],[יתרת פתיחה]]),IFERROR(-IPMT(שיעור_ריבית4/12,1,הפחתה8[[#This Row],[תשלומים
שנותרו]],AE11),0)),0)</f>
        <v>0</v>
      </c>
      <c r="AG10" s="19" t="str">
        <f ca="1">IFERROR(IF(AND(ValuesEntered4,הפחתה8[[#This Row],[תאריך]]&lt;&gt;""),-PPMT(שיעור_ריבית4/12,1,תקופת_ההלוואה4-ROWS($C$4:AD10)+1,הפחתה8[[#This Row],[יתרת פתיחה]]),""),0)</f>
        <v/>
      </c>
      <c r="AH10" s="19">
        <f ca="1">(הפחתה8[[#This Row],[יתרת פתיחה]])*(מדד4/12)</f>
        <v>0</v>
      </c>
      <c r="AI10" s="19">
        <f ca="1">IF(הפחתה8[[#This Row],[תאריך]]="",0,הפחתה8[[#This Row],[ריבית]]+הפחתה8[[#This Row],[קרן]]+הפחתה8[[#This Row],[מדד]])</f>
        <v>0</v>
      </c>
      <c r="AJ10" s="19">
        <f ca="1">IF(הפחתה8[[#This Row],[תאריך]]="",0,הפחתה8[[#This Row],[יתרת פתיחה]]-הפחתה8[[#This Row],[קרן]])</f>
        <v>0</v>
      </c>
      <c r="AK10" s="20">
        <f ca="1">IF(הפחתה8[[#This Row],[יתרת
סגירה]]&gt;0,LastRow4-ROW(),0)</f>
        <v>0</v>
      </c>
    </row>
    <row r="11" spans="1:37" ht="15" customHeight="1" x14ac:dyDescent="0.25">
      <c r="A11" s="8"/>
      <c r="B11" s="11">
        <f>ROWS($B$4:B11)</f>
        <v>8</v>
      </c>
      <c r="C11" s="12">
        <f>IF(ValuesEntered,IF(הפחתה[[#This Row],[מס'']]&lt;=תקופת_ההלוואה,IF(ROW()-ROW(הפחתה[[#Headers],[תאריך]])=1,LoanStart,IF(I10&gt;0,EDATE(C10,1),"")),""),"")</f>
        <v>45597</v>
      </c>
      <c r="D11" s="13">
        <f>IF(ROW()-ROW(הפחתה[[#Headers],[יתרת פתיחה]])=1,סכום_הלוואה,IF(הפחתה[[#This Row],[תאריך]]="",0,INDEX(הפחתה[], ROW()-4,8)))</f>
        <v>595163.49748549715</v>
      </c>
      <c r="E11" s="13">
        <f>IF(ValuesEntered,IF(ROW()-ROW(הפחתה[[#Headers],[ריבית]])=1,-IPMT(שיעור_ריבית/12,1,תקופת_ההלוואה-ROWS($C$4:C11)+1,הפחתה[[#This Row],[יתרת פתיחה]]),IFERROR(-IPMT(שיעור_ריבית/12,1,הפחתה[[#This Row],[תשלומים
שנותרו]],D12),0)),0)</f>
        <v>2625.5330285532218</v>
      </c>
      <c r="F11" s="13">
        <f>IFERROR(IF(AND(ValuesEntered,הפחתה[[#This Row],[תאריך]]&lt;&gt;""),-PPMT(שיעור_ריבית/12,1,תקופת_ההלוואה-ROWS($C$4:C11)+1,הפחתה[[#This Row],[יתרת פתיחה]]),""),0)</f>
        <v>703.18913382427149</v>
      </c>
      <c r="G11" s="13">
        <f>(הפחתה[[#This Row],[יתרת פתיחה]])*(מדד/12)</f>
        <v>0</v>
      </c>
      <c r="H11" s="13">
        <f>IF(הפחתה[[#This Row],[תאריך]]="",0,הפחתה[[#This Row],[ריבית]]+הפחתה[[#This Row],[קרן]]+הפחתה[[#This Row],[מדד]])</f>
        <v>3328.7221623774931</v>
      </c>
      <c r="I11" s="13">
        <f>IF(הפחתה[[#This Row],[תאריך]]="",0,הפחתה[[#This Row],[יתרת פתיחה]]-הפחתה[[#This Row],[קרן]]+הפחתה[[#This Row],[מדד]])</f>
        <v>594460.30835167284</v>
      </c>
      <c r="J11" s="11">
        <f>IF(הפחתה[[#This Row],[יתרת
סגירה]]&gt;0,LastRow-ROW(),0)</f>
        <v>352</v>
      </c>
      <c r="K11" s="11">
        <f>ROWS($K$4:K11)</f>
        <v>8</v>
      </c>
      <c r="L11" s="12">
        <f>IF(ValuesEntered2,IF(הפחתה5[[#This Row],[מס'']]&lt;=תקופת_ההלוואה2,IF(ROW()-ROW(הפחתה5[[#Headers],[תאריך]])=1,LoanStart2,IF(R10&gt;0,EDATE(L10,1),"")),""),"")</f>
        <v>45597</v>
      </c>
      <c r="M11" s="13">
        <f>IF(ROW()-ROW(הפחתה5[[#Headers],[יתרת פתיחה]])=1,סכום_הלוואה2,IF(הפחתה5[[#This Row],[תאריך]]="",0,INDEX(הפחתה5[], ROW()-4,8)))</f>
        <v>296269.24132894538</v>
      </c>
      <c r="N11" s="13">
        <f>IF(ValuesEntered2,IF(ROW()-ROW(הפחתה5[[#Headers],[ריבית]])=1,-IPMT(שיעור_ריבית2/12,1,תקופת_ההלוואה2-ROWS($L$4:L11)+1,הפחתה5[[#This Row],[יתרת פתיחה]]),IFERROR(-IPMT(שיעור_ריבית2/12,1,הפחתה5[[#This Row],[תשלומים
שנותרו]],M12),0)),0)</f>
        <v>1158.2675823745635</v>
      </c>
      <c r="O11" s="13">
        <f>IFERROR(IF(AND(ValuesEntered2,הפחתה5[[#This Row],[תאריך]]&lt;&gt;""),-PPMT(שיעור_ריבית2/12,1,תקופת_ההלוואה2-ROWS($L$4:L11)+1,הפחתה5[[#This Row],[יתרת פתיחה]]),""),0)</f>
        <v>541.34795671635698</v>
      </c>
      <c r="P11" s="13">
        <f>(הפחתה5[[#This Row],[יתרת פתיחה]])*(מדד2/12)</f>
        <v>0</v>
      </c>
      <c r="Q11" s="13">
        <f>IF(הפחתה5[[#This Row],[תאריך]]="",0,הפחתה5[[#This Row],[ריבית]]+הפחתה5[[#This Row],[קרן]]+הפחתה5[[#This Row],[מדד]])</f>
        <v>1699.6155390909205</v>
      </c>
      <c r="R11" s="13">
        <f>IF(הפחתה5[[#This Row],[תאריך]]="",0,הפחתה5[[#This Row],[יתרת פתיחה]]-הפחתה5[[#This Row],[קרן]]+הפחתה5[[#This Row],[מדד]])</f>
        <v>295727.89337222901</v>
      </c>
      <c r="S11" s="11">
        <f>IF(הפחתה5[[#This Row],[יתרת
סגירה]]&gt;0,LastRow2-ROW(),0)</f>
        <v>292</v>
      </c>
      <c r="T11" s="11">
        <f>ROWS($T$4:T11)</f>
        <v>8</v>
      </c>
      <c r="U11" s="12">
        <f ca="1">IF(ValuesEntered3,IF(הפחתה7[[#This Row],[מס'']]&lt;=תקופת_ההלוואה3,IF(ROW()-ROW(הפחתה7[[#Headers],[תאריך]])=1,LoanStart3,IF(AA10&gt;0,EDATE(U10,1),"")),""),"")</f>
        <v>45833</v>
      </c>
      <c r="V11" s="13">
        <f ca="1">IF(ROW()-ROW(הפחתה7[[#Headers],[יתרת פתיחה]])=1,סכום_הלוואה3,IF(הפחתה7[[#This Row],[תאריך]]="",0,INDEX(הפחתה7[], ROW()-4,8)))</f>
        <v>99416.452979238355</v>
      </c>
      <c r="W11" s="13">
        <f ca="1">IF(ValuesEntered3,IF(ROW()-ROW(הפחתה7[[#Headers],[ריבית]])=1,-IPMT(שיעור_ריבית3/12,1,תקופת_ההלוואה3-ROWS($C$4:U11)+1,הפחתה7[[#This Row],[יתרת פתיחה]]),IFERROR(-IPMT(שיעור_ריבית3/12,1,הפחתה7[[#This Row],[תשלומים
שנותרו]],V12),0)),0)</f>
        <v>190.38044598143594</v>
      </c>
      <c r="X11" s="13">
        <f ca="1">IFERROR(IF(AND(ValuesEntered3,הפחתה7[[#This Row],[תאריך]]&lt;&gt;""),-PPMT(שיעור_ריבית3/12,1,תקופת_ההלוואה3-ROWS($C$4:U11)+1,הפחתה7[[#This Row],[יתרת פתיחה]]),""),0)</f>
        <v>253.21872939658221</v>
      </c>
      <c r="Y11" s="13">
        <f ca="1">(הפחתה7[[#This Row],[יתרת פתיחה]])*(מדד3/12)</f>
        <v>165.69408829873061</v>
      </c>
      <c r="Z11" s="13">
        <f ca="1">IF(הפחתה7[[#This Row],[תאריך]]="",0,הפחתה7[[#This Row],[ריבית]]+הפחתה7[[#This Row],[קרן]]+הפחתה7[[#This Row],[מדד]])</f>
        <v>609.29326367674867</v>
      </c>
      <c r="AA11" s="13">
        <f ca="1">IF(הפחתה7[[#This Row],[תאריך]]="",0,הפחתה7[[#This Row],[יתרת פתיחה]]-הפחתה7[[#This Row],[קרן]]+הפחתה7[[#This Row],[מדד]])</f>
        <v>99328.928338140497</v>
      </c>
      <c r="AB11" s="11">
        <f ca="1">IF(הפחתה7[[#This Row],[יתרת
סגירה]]&gt;0,LastRow3-ROW(),0)</f>
        <v>292</v>
      </c>
      <c r="AC11" s="17">
        <f>ROWS($AC$4:AC11)</f>
        <v>8</v>
      </c>
      <c r="AD11" s="18" t="str">
        <f ca="1">IF(ValuesEntered4,IF(הפחתה8[[#This Row],[מס'']]&lt;=תקופת_ההלוואה4,IF(ROW()-ROW(הפחתה8[[#Headers],[תאריך]])=1,LoanStart4,IF(AJ10&gt;0,EDATE(AD10,1),"")),""),"")</f>
        <v/>
      </c>
      <c r="AE11" s="19">
        <f ca="1">IF(ROW()-ROW(הפחתה8[[#Headers],[יתרת פתיחה]])=1,סכום_הלוואה4,IF(הפחתה8[[#This Row],[תאריך]]="",0,INDEX(הפחתה8[], ROW()-4,8)))</f>
        <v>0</v>
      </c>
      <c r="AF11" s="19">
        <f ca="1">IF(ValuesEntered4,IF(ROW()-ROW(הפחתה8[[#Headers],[ריבית]])=1,-IPMT(שיעור_ריבית4/12,1,תקופת_ההלוואה4-ROWS($C$4:AD11)+1,הפחתה8[[#This Row],[יתרת פתיחה]]),IFERROR(-IPMT(שיעור_ריבית4/12,1,הפחתה8[[#This Row],[תשלומים
שנותרו]],AE12),0)),0)</f>
        <v>0</v>
      </c>
      <c r="AG11" s="19" t="str">
        <f ca="1">IFERROR(IF(AND(ValuesEntered4,הפחתה8[[#This Row],[תאריך]]&lt;&gt;""),-PPMT(שיעור_ריבית4/12,1,תקופת_ההלוואה4-ROWS($C$4:AD11)+1,הפחתה8[[#This Row],[יתרת פתיחה]]),""),0)</f>
        <v/>
      </c>
      <c r="AH11" s="19">
        <f ca="1">(הפחתה8[[#This Row],[יתרת פתיחה]])*(מדד4/12)</f>
        <v>0</v>
      </c>
      <c r="AI11" s="19">
        <f ca="1">IF(הפחתה8[[#This Row],[תאריך]]="",0,הפחתה8[[#This Row],[ריבית]]+הפחתה8[[#This Row],[קרן]]+הפחתה8[[#This Row],[מדד]])</f>
        <v>0</v>
      </c>
      <c r="AJ11" s="19">
        <f ca="1">IF(הפחתה8[[#This Row],[תאריך]]="",0,הפחתה8[[#This Row],[יתרת פתיחה]]-הפחתה8[[#This Row],[קרן]])</f>
        <v>0</v>
      </c>
      <c r="AK11" s="20">
        <f ca="1">IF(הפחתה8[[#This Row],[יתרת
סגירה]]&gt;0,LastRow4-ROW(),0)</f>
        <v>0</v>
      </c>
    </row>
    <row r="12" spans="1:37" ht="15" customHeight="1" x14ac:dyDescent="0.25">
      <c r="A12" s="8"/>
      <c r="B12" s="11">
        <f>ROWS($B$4:B12)</f>
        <v>9</v>
      </c>
      <c r="C12" s="12">
        <f>IF(ValuesEntered,IF(הפחתה[[#This Row],[מס'']]&lt;=תקופת_ההלוואה,IF(ROW()-ROW(הפחתה[[#Headers],[תאריך]])=1,LoanStart,IF(I11&gt;0,EDATE(C11,1),"")),""),"")</f>
        <v>45627</v>
      </c>
      <c r="D12" s="13">
        <f>IF(ROW()-ROW(הפחתה[[#Headers],[יתרת פתיחה]])=1,סכום_הלוואה,IF(הפחתה[[#This Row],[תאריך]]="",0,INDEX(הפחתה[], ROW()-4,8)))</f>
        <v>594460.30835167284</v>
      </c>
      <c r="E12" s="13">
        <f>IF(ValuesEntered,IF(ROW()-ROW(הפחתה[[#Headers],[ריבית]])=1,-IPMT(שיעור_ריבית/12,1,תקופת_ההלוואה-ROWS($C$4:C12)+1,הפחתה[[#This Row],[יתרת פתיחה]]),IFERROR(-IPMT(שיעור_ריבית/12,1,הפחתה[[#This Row],[תשלומים
שנותרו]],D13),0)),0)</f>
        <v>2622.4135594741306</v>
      </c>
      <c r="F12" s="13">
        <f>IFERROR(IF(AND(ValuesEntered,הפחתה[[#This Row],[תאריך]]&lt;&gt;""),-PPMT(שיעור_ריבית/12,1,תקופת_ההלוואה-ROWS($C$4:C12)+1,הפחתה[[#This Row],[יתרת פתיחה]]),""),0)</f>
        <v>706.29488583199532</v>
      </c>
      <c r="G12" s="13">
        <f>(הפחתה[[#This Row],[יתרת פתיחה]])*(מדד/12)</f>
        <v>0</v>
      </c>
      <c r="H12" s="13">
        <f>IF(הפחתה[[#This Row],[תאריך]]="",0,הפחתה[[#This Row],[ריבית]]+הפחתה[[#This Row],[קרן]]+הפחתה[[#This Row],[מדד]])</f>
        <v>3328.7084453061261</v>
      </c>
      <c r="I12" s="13">
        <f>IF(הפחתה[[#This Row],[תאריך]]="",0,הפחתה[[#This Row],[יתרת פתיחה]]-הפחתה[[#This Row],[קרן]]+הפחתה[[#This Row],[מדד]])</f>
        <v>593754.01346584084</v>
      </c>
      <c r="J12" s="11">
        <f>IF(הפחתה[[#This Row],[יתרת
סגירה]]&gt;0,LastRow-ROW(),0)</f>
        <v>351</v>
      </c>
      <c r="K12" s="11">
        <f>ROWS($K$4:K12)</f>
        <v>9</v>
      </c>
      <c r="L12" s="12">
        <f>IF(ValuesEntered2,IF(הפחתה5[[#This Row],[מס'']]&lt;=תקופת_ההלוואה2,IF(ROW()-ROW(הפחתה5[[#Headers],[תאריך]])=1,LoanStart2,IF(R11&gt;0,EDATE(L11,1),"")),""),"")</f>
        <v>45627</v>
      </c>
      <c r="M12" s="13">
        <f>IF(ROW()-ROW(הפחתה5[[#Headers],[יתרת פתיחה]])=1,סכום_הלוואה2,IF(הפחתה5[[#This Row],[תאריך]]="",0,INDEX(הפחתה5[], ROW()-4,8)))</f>
        <v>295727.89337222901</v>
      </c>
      <c r="N12" s="13">
        <f>IF(ValuesEntered2,IF(ROW()-ROW(הפחתה5[[#Headers],[ריבית]])=1,-IPMT(שיעור_ריבית2/12,1,תקופת_ההלוואה2-ROWS($L$4:L12)+1,הפחתה5[[#This Row],[יתרת פתיחה]]),IFERROR(-IPMT(שיעור_ריבית2/12,1,הפחתה5[[#This Row],[תשלומים
שנותרו]],M13),0)),0)</f>
        <v>1156.138998449394</v>
      </c>
      <c r="O12" s="13">
        <f>IFERROR(IF(AND(ValuesEntered2,הפחתה5[[#This Row],[תאריך]]&lt;&gt;""),-PPMT(שיעור_ריבית2/12,1,תקופת_ההלוואה2-ROWS($L$4:L12)+1,הפחתה5[[#This Row],[יתרת פתיחה]]),""),0)</f>
        <v>543.46823621349586</v>
      </c>
      <c r="P12" s="13">
        <f>(הפחתה5[[#This Row],[יתרת פתיחה]])*(מדד2/12)</f>
        <v>0</v>
      </c>
      <c r="Q12" s="13">
        <f>IF(הפחתה5[[#This Row],[תאריך]]="",0,הפחתה5[[#This Row],[ריבית]]+הפחתה5[[#This Row],[קרן]]+הפחתה5[[#This Row],[מדד]])</f>
        <v>1699.6072346628898</v>
      </c>
      <c r="R12" s="13">
        <f>IF(הפחתה5[[#This Row],[תאריך]]="",0,הפחתה5[[#This Row],[יתרת פתיחה]]-הפחתה5[[#This Row],[קרן]]+הפחתה5[[#This Row],[מדד]])</f>
        <v>295184.42513601552</v>
      </c>
      <c r="S12" s="11">
        <f>IF(הפחתה5[[#This Row],[יתרת
סגירה]]&gt;0,LastRow2-ROW(),0)</f>
        <v>291</v>
      </c>
      <c r="T12" s="11">
        <f>ROWS($T$4:T12)</f>
        <v>9</v>
      </c>
      <c r="U12" s="12">
        <f ca="1">IF(ValuesEntered3,IF(הפחתה7[[#This Row],[מס'']]&lt;=תקופת_ההלוואה3,IF(ROW()-ROW(הפחתה7[[#Headers],[תאריך]])=1,LoanStart3,IF(AA11&gt;0,EDATE(U11,1),"")),""),"")</f>
        <v>45863</v>
      </c>
      <c r="V12" s="13">
        <f ca="1">IF(ROW()-ROW(הפחתה7[[#Headers],[יתרת פתיחה]])=1,סכום_הלוואה3,IF(הפחתה7[[#This Row],[תאריך]]="",0,INDEX(הפחתה7[], ROW()-4,8)))</f>
        <v>99328.928338140497</v>
      </c>
      <c r="W12" s="13">
        <f ca="1">IF(ValuesEntered3,IF(ROW()-ROW(הפחתה7[[#Headers],[ריבית]])=1,-IPMT(שיעור_ריבית3/12,1,תקופת_ההלוואה3-ROWS($C$4:U12)+1,הפחתה7[[#This Row],[יתרת פתיחה]]),IFERROR(-IPMT(שיעור_ריבית3/12,1,הפחתה7[[#This Row],[תשלומים
שנותרו]],V13),0)),0)</f>
        <v>190.21066808653663</v>
      </c>
      <c r="X12" s="13">
        <f ca="1">IFERROR(IF(AND(ValuesEntered3,הפחתה7[[#This Row],[תאריך]]&lt;&gt;""),-PPMT(שיעור_ריבית3/12,1,תקופת_ההלוואה3-ROWS($C$4:U12)+1,הפחתה7[[#This Row],[יתרת פתיחה]]),""),0)</f>
        <v>254.12798514870636</v>
      </c>
      <c r="Y12" s="13">
        <f ca="1">(הפחתה7[[#This Row],[יתרת פתיחה]])*(מדד3/12)</f>
        <v>165.54821389690085</v>
      </c>
      <c r="Z12" s="13">
        <f ca="1">IF(הפחתה7[[#This Row],[תאריך]]="",0,הפחתה7[[#This Row],[ריבית]]+הפחתה7[[#This Row],[קרן]]+הפחתה7[[#This Row],[מדד]])</f>
        <v>609.88686713214383</v>
      </c>
      <c r="AA12" s="13">
        <f ca="1">IF(הפחתה7[[#This Row],[תאריך]]="",0,הפחתה7[[#This Row],[יתרת פתיחה]]-הפחתה7[[#This Row],[קרן]]+הפחתה7[[#This Row],[מדד]])</f>
        <v>99240.348566888686</v>
      </c>
      <c r="AB12" s="11">
        <f ca="1">IF(הפחתה7[[#This Row],[יתרת
סגירה]]&gt;0,LastRow3-ROW(),0)</f>
        <v>291</v>
      </c>
      <c r="AC12" s="17">
        <f>ROWS($AC$4:AC12)</f>
        <v>9</v>
      </c>
      <c r="AD12" s="18" t="str">
        <f ca="1">IF(ValuesEntered4,IF(הפחתה8[[#This Row],[מס'']]&lt;=תקופת_ההלוואה4,IF(ROW()-ROW(הפחתה8[[#Headers],[תאריך]])=1,LoanStart4,IF(AJ11&gt;0,EDATE(AD11,1),"")),""),"")</f>
        <v/>
      </c>
      <c r="AE12" s="19">
        <f ca="1">IF(ROW()-ROW(הפחתה8[[#Headers],[יתרת פתיחה]])=1,סכום_הלוואה4,IF(הפחתה8[[#This Row],[תאריך]]="",0,INDEX(הפחתה8[], ROW()-4,8)))</f>
        <v>0</v>
      </c>
      <c r="AF12" s="19">
        <f ca="1">IF(ValuesEntered4,IF(ROW()-ROW(הפחתה8[[#Headers],[ריבית]])=1,-IPMT(שיעור_ריבית4/12,1,תקופת_ההלוואה4-ROWS($C$4:AD12)+1,הפחתה8[[#This Row],[יתרת פתיחה]]),IFERROR(-IPMT(שיעור_ריבית4/12,1,הפחתה8[[#This Row],[תשלומים
שנותרו]],AE13),0)),0)</f>
        <v>0</v>
      </c>
      <c r="AG12" s="19" t="str">
        <f ca="1">IFERROR(IF(AND(ValuesEntered4,הפחתה8[[#This Row],[תאריך]]&lt;&gt;""),-PPMT(שיעור_ריבית4/12,1,תקופת_ההלוואה4-ROWS($C$4:AD12)+1,הפחתה8[[#This Row],[יתרת פתיחה]]),""),0)</f>
        <v/>
      </c>
      <c r="AH12" s="19">
        <f ca="1">(הפחתה8[[#This Row],[יתרת פתיחה]])*(מדד4/12)</f>
        <v>0</v>
      </c>
      <c r="AI12" s="19">
        <f ca="1">IF(הפחתה8[[#This Row],[תאריך]]="",0,הפחתה8[[#This Row],[ריבית]]+הפחתה8[[#This Row],[קרן]]+הפחתה8[[#This Row],[מדד]])</f>
        <v>0</v>
      </c>
      <c r="AJ12" s="19">
        <f ca="1">IF(הפחתה8[[#This Row],[תאריך]]="",0,הפחתה8[[#This Row],[יתרת פתיחה]]-הפחתה8[[#This Row],[קרן]])</f>
        <v>0</v>
      </c>
      <c r="AK12" s="20">
        <f ca="1">IF(הפחתה8[[#This Row],[יתרת
סגירה]]&gt;0,LastRow4-ROW(),0)</f>
        <v>0</v>
      </c>
    </row>
    <row r="13" spans="1:37" ht="15" customHeight="1" x14ac:dyDescent="0.25">
      <c r="A13" s="8"/>
      <c r="B13" s="11">
        <f>ROWS($B$4:B13)</f>
        <v>10</v>
      </c>
      <c r="C13" s="12">
        <f>IF(ValuesEntered,IF(הפחתה[[#This Row],[מס'']]&lt;=תקופת_ההלוואה,IF(ROW()-ROW(הפחתה[[#Headers],[תאריך]])=1,LoanStart,IF(I12&gt;0,EDATE(C12,1),"")),""),"")</f>
        <v>45658</v>
      </c>
      <c r="D13" s="13">
        <f>IF(ROW()-ROW(הפחתה[[#Headers],[יתרת פתיחה]])=1,סכום_הלוואה,IF(הפחתה[[#This Row],[תאריך]]="",0,INDEX(הפחתה[], ROW()-4,8)))</f>
        <v>593754.01346584084</v>
      </c>
      <c r="E13" s="13">
        <f>IF(ValuesEntered,IF(ROW()-ROW(הפחתה[[#Headers],[ריבית]])=1,-IPMT(שיעור_ריבית/12,1,תקופת_ההלוואה-ROWS($C$4:C13)+1,הפחתה[[#This Row],[יתרת פתיחה]]),IFERROR(-IPMT(שיעור_ריבית/12,1,הפחתה[[#This Row],[תשלומים
שנותרו]],D14),0)),0)</f>
        <v>2619.2803127399397</v>
      </c>
      <c r="F13" s="13">
        <f>IFERROR(IF(AND(ValuesEntered,הפחתה[[#This Row],[תאריך]]&lt;&gt;""),-PPMT(שיעור_ריבית/12,1,תקופת_ההלוואה-ROWS($C$4:C13)+1,הפחתה[[#This Row],[יתרת פתיחה]]),""),0)</f>
        <v>709.41435491108655</v>
      </c>
      <c r="G13" s="13">
        <f>(הפחתה[[#This Row],[יתרת פתיחה]])*(מדד/12)</f>
        <v>0</v>
      </c>
      <c r="H13" s="13">
        <f>IF(הפחתה[[#This Row],[תאריך]]="",0,הפחתה[[#This Row],[ריבית]]+הפחתה[[#This Row],[קרן]]+הפחתה[[#This Row],[מדד]])</f>
        <v>3328.6946676510261</v>
      </c>
      <c r="I13" s="13">
        <f>IF(הפחתה[[#This Row],[תאריך]]="",0,הפחתה[[#This Row],[יתרת פתיחה]]-הפחתה[[#This Row],[קרן]]+הפחתה[[#This Row],[מדד]])</f>
        <v>593044.59911092976</v>
      </c>
      <c r="J13" s="11">
        <f>IF(הפחתה[[#This Row],[יתרת
סגירה]]&gt;0,LastRow-ROW(),0)</f>
        <v>350</v>
      </c>
      <c r="K13" s="11">
        <f>ROWS($K$4:K13)</f>
        <v>10</v>
      </c>
      <c r="L13" s="12">
        <f>IF(ValuesEntered2,IF(הפחתה5[[#This Row],[מס'']]&lt;=תקופת_ההלוואה2,IF(ROW()-ROW(הפחתה5[[#Headers],[תאריך]])=1,LoanStart2,IF(R12&gt;0,EDATE(L12,1),"")),""),"")</f>
        <v>45658</v>
      </c>
      <c r="M13" s="13">
        <f>IF(ROW()-ROW(הפחתה5[[#Headers],[יתרת פתיחה]])=1,סכום_הלוואה2,IF(הפחתה5[[#This Row],[תאריך]]="",0,INDEX(הפחתה5[], ROW()-4,8)))</f>
        <v>295184.42513601552</v>
      </c>
      <c r="N13" s="13">
        <f>IF(ValuesEntered2,IF(ROW()-ROW(הפחתה5[[#Headers],[ריבית]])=1,-IPMT(שיעור_ריבית2/12,1,תקופת_ההלוואה2-ROWS($L$4:L13)+1,הפחתה5[[#This Row],[יתרת פתיחה]]),IFERROR(-IPMT(שיעור_ריבית2/12,1,הפחתה5[[#This Row],[תשלומים
שנותרו]],M14),0)),0)</f>
        <v>1154.0020775705175</v>
      </c>
      <c r="O13" s="13">
        <f>IFERROR(IF(AND(ValuesEntered2,הפחתה5[[#This Row],[תאריך]]&lt;&gt;""),-PPMT(שיעור_ריבית2/12,1,תקופת_ההלוואה2-ROWS($L$4:L13)+1,הפחתה5[[#This Row],[יתרת פתיחה]]),""),0)</f>
        <v>545.59682013866563</v>
      </c>
      <c r="P13" s="13">
        <f>(הפחתה5[[#This Row],[יתרת פתיחה]])*(מדד2/12)</f>
        <v>0</v>
      </c>
      <c r="Q13" s="13">
        <f>IF(הפחתה5[[#This Row],[תאריך]]="",0,הפחתה5[[#This Row],[ריבית]]+הפחתה5[[#This Row],[קרן]]+הפחתה5[[#This Row],[מדד]])</f>
        <v>1699.5988977091831</v>
      </c>
      <c r="R13" s="13">
        <f>IF(הפחתה5[[#This Row],[תאריך]]="",0,הפחתה5[[#This Row],[יתרת פתיחה]]-הפחתה5[[#This Row],[קרן]]+הפחתה5[[#This Row],[מדד]])</f>
        <v>294638.82831587683</v>
      </c>
      <c r="S13" s="11">
        <f>IF(הפחתה5[[#This Row],[יתרת
סגירה]]&gt;0,LastRow2-ROW(),0)</f>
        <v>290</v>
      </c>
      <c r="T13" s="11">
        <f>ROWS($T$4:T13)</f>
        <v>10</v>
      </c>
      <c r="U13" s="12">
        <f ca="1">IF(ValuesEntered3,IF(הפחתה7[[#This Row],[מס'']]&lt;=תקופת_ההלוואה3,IF(ROW()-ROW(הפחתה7[[#Headers],[תאריך]])=1,LoanStart3,IF(AA12&gt;0,EDATE(U12,1),"")),""),"")</f>
        <v>45894</v>
      </c>
      <c r="V13" s="13">
        <f ca="1">IF(ROW()-ROW(הפחתה7[[#Headers],[יתרת פתיחה]])=1,סכום_הלוואה3,IF(הפחתה7[[#This Row],[תאריך]]="",0,INDEX(הפחתה7[], ROW()-4,8)))</f>
        <v>99240.348566888686</v>
      </c>
      <c r="W13" s="13">
        <f ca="1">IF(ValuesEntered3,IF(ROW()-ROW(הפחתה7[[#Headers],[ריבית]])=1,-IPMT(שיעור_ריבית3/12,1,תקופת_ההלוואה3-ROWS($C$4:U13)+1,הפחתה7[[#This Row],[יתרת פתיחה]]),IFERROR(-IPMT(שיעור_ריבית3/12,1,הפחתה7[[#This Row],[תשלומים
שנותרו]],V14),0)),0)</f>
        <v>190.03885822115191</v>
      </c>
      <c r="X13" s="13">
        <f ca="1">IFERROR(IF(AND(ValuesEntered3,הפחתה7[[#This Row],[תאריך]]&lt;&gt;""),-PPMT(שיעור_ריבית3/12,1,תקופת_ההלוואה3-ROWS($C$4:U13)+1,הפחתה7[[#This Row],[יתרת פתיחה]]),""),0)</f>
        <v>255.04051071075736</v>
      </c>
      <c r="Y13" s="13">
        <f ca="1">(הפחתה7[[#This Row],[יתרת פתיחה]])*(מדד3/12)</f>
        <v>165.40058094481449</v>
      </c>
      <c r="Z13" s="13">
        <f ca="1">IF(הפחתה7[[#This Row],[תאריך]]="",0,הפחתה7[[#This Row],[ריבית]]+הפחתה7[[#This Row],[קרן]]+הפחתה7[[#This Row],[מדד]])</f>
        <v>610.47994987672371</v>
      </c>
      <c r="AA13" s="13">
        <f ca="1">IF(הפחתה7[[#This Row],[תאריך]]="",0,הפחתה7[[#This Row],[יתרת פתיחה]]-הפחתה7[[#This Row],[קרן]]+הפחתה7[[#This Row],[מדד]])</f>
        <v>99150.708637122749</v>
      </c>
      <c r="AB13" s="11">
        <f ca="1">IF(הפחתה7[[#This Row],[יתרת
סגירה]]&gt;0,LastRow3-ROW(),0)</f>
        <v>290</v>
      </c>
      <c r="AC13" s="17">
        <f>ROWS($AC$4:AC13)</f>
        <v>10</v>
      </c>
      <c r="AD13" s="18" t="str">
        <f ca="1">IF(ValuesEntered4,IF(הפחתה8[[#This Row],[מס'']]&lt;=תקופת_ההלוואה4,IF(ROW()-ROW(הפחתה8[[#Headers],[תאריך]])=1,LoanStart4,IF(AJ12&gt;0,EDATE(AD12,1),"")),""),"")</f>
        <v/>
      </c>
      <c r="AE13" s="19">
        <f ca="1">IF(ROW()-ROW(הפחתה8[[#Headers],[יתרת פתיחה]])=1,סכום_הלוואה4,IF(הפחתה8[[#This Row],[תאריך]]="",0,INDEX(הפחתה8[], ROW()-4,8)))</f>
        <v>0</v>
      </c>
      <c r="AF13" s="19">
        <f ca="1">IF(ValuesEntered4,IF(ROW()-ROW(הפחתה8[[#Headers],[ריבית]])=1,-IPMT(שיעור_ריבית4/12,1,תקופת_ההלוואה4-ROWS($C$4:AD13)+1,הפחתה8[[#This Row],[יתרת פתיחה]]),IFERROR(-IPMT(שיעור_ריבית4/12,1,הפחתה8[[#This Row],[תשלומים
שנותרו]],AE14),0)),0)</f>
        <v>0</v>
      </c>
      <c r="AG13" s="19" t="str">
        <f ca="1">IFERROR(IF(AND(ValuesEntered4,הפחתה8[[#This Row],[תאריך]]&lt;&gt;""),-PPMT(שיעור_ריבית4/12,1,תקופת_ההלוואה4-ROWS($C$4:AD13)+1,הפחתה8[[#This Row],[יתרת פתיחה]]),""),0)</f>
        <v/>
      </c>
      <c r="AH13" s="19">
        <f ca="1">(הפחתה8[[#This Row],[יתרת פתיחה]])*(מדד4/12)</f>
        <v>0</v>
      </c>
      <c r="AI13" s="19">
        <f ca="1">IF(הפחתה8[[#This Row],[תאריך]]="",0,הפחתה8[[#This Row],[ריבית]]+הפחתה8[[#This Row],[קרן]]+הפחתה8[[#This Row],[מדד]])</f>
        <v>0</v>
      </c>
      <c r="AJ13" s="19">
        <f ca="1">IF(הפחתה8[[#This Row],[תאריך]]="",0,הפחתה8[[#This Row],[יתרת פתיחה]]-הפחתה8[[#This Row],[קרן]])</f>
        <v>0</v>
      </c>
      <c r="AK13" s="20">
        <f ca="1">IF(הפחתה8[[#This Row],[יתרת
סגירה]]&gt;0,LastRow4-ROW(),0)</f>
        <v>0</v>
      </c>
    </row>
    <row r="14" spans="1:37" ht="15" customHeight="1" x14ac:dyDescent="0.25">
      <c r="A14" s="8"/>
      <c r="B14" s="11">
        <f>ROWS($B$4:B14)</f>
        <v>11</v>
      </c>
      <c r="C14" s="12">
        <f>IF(ValuesEntered,IF(הפחתה[[#This Row],[מס'']]&lt;=תקופת_ההלוואה,IF(ROW()-ROW(הפחתה[[#Headers],[תאריך]])=1,LoanStart,IF(I13&gt;0,EDATE(C13,1),"")),""),"")</f>
        <v>45689</v>
      </c>
      <c r="D14" s="13">
        <f>IF(ROW()-ROW(הפחתה[[#Headers],[יתרת פתיחה]])=1,סכום_הלוואה,IF(הפחתה[[#This Row],[תאריך]]="",0,INDEX(הפחתה[], ROW()-4,8)))</f>
        <v>593044.59911092976</v>
      </c>
      <c r="E14" s="13">
        <f>IF(ValuesEntered,IF(ROW()-ROW(הפחתה[[#Headers],[ריבית]])=1,-IPMT(שיעור_ריבית/12,1,תקופת_ההלוואה-ROWS($C$4:C14)+1,הפחתה[[#This Row],[יתרת פתיחה]]),IFERROR(-IPMT(שיעור_ריבית/12,1,הפחתה[[#This Row],[תשלומים
שנותרו]],D15),0)),0)</f>
        <v>2616.1332274993401</v>
      </c>
      <c r="F14" s="13">
        <f>IFERROR(IF(AND(ValuesEntered,הפחתה[[#This Row],[תאריך]]&lt;&gt;""),-PPMT(שיעור_ריבית/12,1,תקופת_ההלוואה-ROWS($C$4:C14)+1,הפחתה[[#This Row],[יתרת פתיחה]]),""),0)</f>
        <v>712.54760164527738</v>
      </c>
      <c r="G14" s="13">
        <f>(הפחתה[[#This Row],[יתרת פתיחה]])*(מדד/12)</f>
        <v>0</v>
      </c>
      <c r="H14" s="13">
        <f>IF(הפחתה[[#This Row],[תאריך]]="",0,הפחתה[[#This Row],[ריבית]]+הפחתה[[#This Row],[קרן]]+הפחתה[[#This Row],[מדד]])</f>
        <v>3328.6808291446177</v>
      </c>
      <c r="I14" s="13">
        <f>IF(הפחתה[[#This Row],[תאריך]]="",0,הפחתה[[#This Row],[יתרת פתיחה]]-הפחתה[[#This Row],[קרן]]+הפחתה[[#This Row],[מדד]])</f>
        <v>592332.05150928453</v>
      </c>
      <c r="J14" s="11">
        <f>IF(הפחתה[[#This Row],[יתרת
סגירה]]&gt;0,LastRow-ROW(),0)</f>
        <v>349</v>
      </c>
      <c r="K14" s="11">
        <f>ROWS($K$4:K14)</f>
        <v>11</v>
      </c>
      <c r="L14" s="12">
        <f>IF(ValuesEntered2,IF(הפחתה5[[#This Row],[מס'']]&lt;=תקופת_ההלוואה2,IF(ROW()-ROW(הפחתה5[[#Headers],[תאריך]])=1,LoanStart2,IF(R13&gt;0,EDATE(L13,1),"")),""),"")</f>
        <v>45689</v>
      </c>
      <c r="M14" s="13">
        <f>IF(ROW()-ROW(הפחתה5[[#Headers],[יתרת פתיחה]])=1,סכום_הלוואה2,IF(הפחתה5[[#This Row],[תאריך]]="",0,INDEX(הפחתה5[], ROW()-4,8)))</f>
        <v>294638.82831587683</v>
      </c>
      <c r="N14" s="13">
        <f>IF(ValuesEntered2,IF(ROW()-ROW(הפחתה5[[#Headers],[ריבית]])=1,-IPMT(שיעור_ריבית2/12,1,תקופת_ההלוואה2-ROWS($L$4:L14)+1,הפחתה5[[#This Row],[יתרת פתיחה]]),IFERROR(-IPMT(שיעור_ריבית2/12,1,הפחתה5[[#This Row],[תשלומים
שנותרו]],M15),0)),0)</f>
        <v>1151.8567870848656</v>
      </c>
      <c r="O14" s="13">
        <f>IFERROR(IF(AND(ValuesEntered2,הפחתה5[[#This Row],[תאריך]]&lt;&gt;""),-PPMT(שיעור_ריבית2/12,1,תקופת_ההלוואה2-ROWS($L$4:L14)+1,הפחתה5[[#This Row],[יתרת פתיחה]]),""),0)</f>
        <v>547.733741017542</v>
      </c>
      <c r="P14" s="13">
        <f>(הפחתה5[[#This Row],[יתרת פתיחה]])*(מדד2/12)</f>
        <v>0</v>
      </c>
      <c r="Q14" s="13">
        <f>IF(הפחתה5[[#This Row],[תאריך]]="",0,הפחתה5[[#This Row],[ריבית]]+הפחתה5[[#This Row],[קרן]]+הפחתה5[[#This Row],[מדד]])</f>
        <v>1699.5905281024075</v>
      </c>
      <c r="R14" s="13">
        <f>IF(הפחתה5[[#This Row],[תאריך]]="",0,הפחתה5[[#This Row],[יתרת פתיחה]]-הפחתה5[[#This Row],[קרן]]+הפחתה5[[#This Row],[מדד]])</f>
        <v>294091.09457485931</v>
      </c>
      <c r="S14" s="11">
        <f>IF(הפחתה5[[#This Row],[יתרת
סגירה]]&gt;0,LastRow2-ROW(),0)</f>
        <v>289</v>
      </c>
      <c r="T14" s="11">
        <f>ROWS($T$4:T14)</f>
        <v>11</v>
      </c>
      <c r="U14" s="12">
        <f ca="1">IF(ValuesEntered3,IF(הפחתה7[[#This Row],[מס'']]&lt;=תקופת_ההלוואה3,IF(ROW()-ROW(הפחתה7[[#Headers],[תאריך]])=1,LoanStart3,IF(AA13&gt;0,EDATE(U13,1),"")),""),"")</f>
        <v>45925</v>
      </c>
      <c r="V14" s="13">
        <f ca="1">IF(ROW()-ROW(הפחתה7[[#Headers],[יתרת פתיחה]])=1,סכום_הלוואה3,IF(הפחתה7[[#This Row],[תאריך]]="",0,INDEX(הפחתה7[], ROW()-4,8)))</f>
        <v>99150.708637122749</v>
      </c>
      <c r="W14" s="13">
        <f ca="1">IF(ValuesEntered3,IF(ROW()-ROW(הפחתה7[[#Headers],[ריבית]])=1,-IPMT(שיעור_ריבית3/12,1,תקופת_ההלוואה3-ROWS($C$4:U14)+1,הפחתה7[[#This Row],[יתרת פתיחה]]),IFERROR(-IPMT(שיעור_ריבית3/12,1,הפחתה7[[#This Row],[תשלומים
שנותרו]],V15),0)),0)</f>
        <v>189.86500670889154</v>
      </c>
      <c r="X14" s="13">
        <f ca="1">IFERROR(IF(AND(ValuesEntered3,הפחתה7[[#This Row],[תאריך]]&lt;&gt;""),-PPMT(שיעור_ריבית3/12,1,תקופת_ההלוואה3-ROWS($C$4:U14)+1,הפחתה7[[#This Row],[יתרת פתיחה]]),""),0)</f>
        <v>255.95631789337673</v>
      </c>
      <c r="Y14" s="13">
        <f ca="1">(הפחתה7[[#This Row],[יתרת פתיחה]])*(מדד3/12)</f>
        <v>165.25118106187125</v>
      </c>
      <c r="Z14" s="13">
        <f ca="1">IF(הפחתה7[[#This Row],[תאריך]]="",0,הפחתה7[[#This Row],[ריבית]]+הפחתה7[[#This Row],[קרן]]+הפחתה7[[#This Row],[מדד]])</f>
        <v>611.0725056641395</v>
      </c>
      <c r="AA14" s="13">
        <f ca="1">IF(הפחתה7[[#This Row],[תאריך]]="",0,הפחתה7[[#This Row],[יתרת פתיחה]]-הפחתה7[[#This Row],[קרן]]+הפחתה7[[#This Row],[מדד]])</f>
        <v>99060.003500291248</v>
      </c>
      <c r="AB14" s="11">
        <f ca="1">IF(הפחתה7[[#This Row],[יתרת
סגירה]]&gt;0,LastRow3-ROW(),0)</f>
        <v>289</v>
      </c>
      <c r="AC14" s="17">
        <f>ROWS($AC$4:AC14)</f>
        <v>11</v>
      </c>
      <c r="AD14" s="18" t="str">
        <f ca="1">IF(ValuesEntered4,IF(הפחתה8[[#This Row],[מס'']]&lt;=תקופת_ההלוואה4,IF(ROW()-ROW(הפחתה8[[#Headers],[תאריך]])=1,LoanStart4,IF(AJ13&gt;0,EDATE(AD13,1),"")),""),"")</f>
        <v/>
      </c>
      <c r="AE14" s="19">
        <f ca="1">IF(ROW()-ROW(הפחתה8[[#Headers],[יתרת פתיחה]])=1,סכום_הלוואה4,IF(הפחתה8[[#This Row],[תאריך]]="",0,INDEX(הפחתה8[], ROW()-4,8)))</f>
        <v>0</v>
      </c>
      <c r="AF14" s="19">
        <f ca="1">IF(ValuesEntered4,IF(ROW()-ROW(הפחתה8[[#Headers],[ריבית]])=1,-IPMT(שיעור_ריבית4/12,1,תקופת_ההלוואה4-ROWS($C$4:AD14)+1,הפחתה8[[#This Row],[יתרת פתיחה]]),IFERROR(-IPMT(שיעור_ריבית4/12,1,הפחתה8[[#This Row],[תשלומים
שנותרו]],AE15),0)),0)</f>
        <v>0</v>
      </c>
      <c r="AG14" s="19" t="str">
        <f ca="1">IFERROR(IF(AND(ValuesEntered4,הפחתה8[[#This Row],[תאריך]]&lt;&gt;""),-PPMT(שיעור_ריבית4/12,1,תקופת_ההלוואה4-ROWS($C$4:AD14)+1,הפחתה8[[#This Row],[יתרת פתיחה]]),""),0)</f>
        <v/>
      </c>
      <c r="AH14" s="19">
        <f ca="1">(הפחתה8[[#This Row],[יתרת פתיחה]])*(מדד4/12)</f>
        <v>0</v>
      </c>
      <c r="AI14" s="19">
        <f ca="1">IF(הפחתה8[[#This Row],[תאריך]]="",0,הפחתה8[[#This Row],[ריבית]]+הפחתה8[[#This Row],[קרן]]+הפחתה8[[#This Row],[מדד]])</f>
        <v>0</v>
      </c>
      <c r="AJ14" s="19">
        <f ca="1">IF(הפחתה8[[#This Row],[תאריך]]="",0,הפחתה8[[#This Row],[יתרת פתיחה]]-הפחתה8[[#This Row],[קרן]])</f>
        <v>0</v>
      </c>
      <c r="AK14" s="20">
        <f ca="1">IF(הפחתה8[[#This Row],[יתרת
סגירה]]&gt;0,LastRow4-ROW(),0)</f>
        <v>0</v>
      </c>
    </row>
    <row r="15" spans="1:37" ht="15" customHeight="1" x14ac:dyDescent="0.25">
      <c r="A15" s="8"/>
      <c r="B15" s="11">
        <f>ROWS($B$4:B15)</f>
        <v>12</v>
      </c>
      <c r="C15" s="12">
        <f>IF(ValuesEntered,IF(הפחתה[[#This Row],[מס'']]&lt;=תקופת_ההלוואה,IF(ROW()-ROW(הפחתה[[#Headers],[תאריך]])=1,LoanStart,IF(I14&gt;0,EDATE(C14,1),"")),""),"")</f>
        <v>45717</v>
      </c>
      <c r="D15" s="13">
        <f>IF(ROW()-ROW(הפחתה[[#Headers],[יתרת פתיחה]])=1,סכום_הלוואה,IF(הפחתה[[#This Row],[תאריך]]="",0,INDEX(הפחתה[], ROW()-4,8)))</f>
        <v>592332.05150928453</v>
      </c>
      <c r="E15" s="13">
        <f>IF(ValuesEntered,IF(ROW()-ROW(הפחתה[[#Headers],[ריבית]])=1,-IPMT(שיעור_ריבית/12,1,תקופת_ההלוואה-ROWS($C$4:C15)+1,הפחתה[[#This Row],[יתרת פתיחה]]),IFERROR(-IPMT(שיעור_ריבית/12,1,הפחתה[[#This Row],[תשלומים
שנותרו]],D16),0)),0)</f>
        <v>2612.9722426322605</v>
      </c>
      <c r="F15" s="13">
        <f>IFERROR(IF(AND(ValuesEntered,הפחתה[[#This Row],[תאריך]]&lt;&gt;""),-PPMT(שיעור_ריבית/12,1,תקופת_ההלוואה-ROWS($C$4:C15)+1,הפחתה[[#This Row],[יתרת פתיחה]]),""),0)</f>
        <v>715.69468688587745</v>
      </c>
      <c r="G15" s="13">
        <f>(הפחתה[[#This Row],[יתרת פתיחה]])*(מדד/12)</f>
        <v>0</v>
      </c>
      <c r="H15" s="13">
        <f>IF(הפחתה[[#This Row],[תאריך]]="",0,הפחתה[[#This Row],[ריבית]]+הפחתה[[#This Row],[קרן]]+הפחתה[[#This Row],[מדד]])</f>
        <v>3328.6669295181382</v>
      </c>
      <c r="I15" s="13">
        <f>IF(הפחתה[[#This Row],[תאריך]]="",0,הפחתה[[#This Row],[יתרת פתיחה]]-הפחתה[[#This Row],[קרן]]+הפחתה[[#This Row],[מדד]])</f>
        <v>591616.35682239861</v>
      </c>
      <c r="J15" s="11">
        <f>IF(הפחתה[[#This Row],[יתרת
סגירה]]&gt;0,LastRow-ROW(),0)</f>
        <v>348</v>
      </c>
      <c r="K15" s="11">
        <f>ROWS($K$4:K15)</f>
        <v>12</v>
      </c>
      <c r="L15" s="12">
        <f>IF(ValuesEntered2,IF(הפחתה5[[#This Row],[מס'']]&lt;=תקופת_ההלוואה2,IF(ROW()-ROW(הפחתה5[[#Headers],[תאריך]])=1,LoanStart2,IF(R14&gt;0,EDATE(L14,1),"")),""),"")</f>
        <v>45717</v>
      </c>
      <c r="M15" s="13">
        <f>IF(ROW()-ROW(הפחתה5[[#Headers],[יתרת פתיחה]])=1,סכום_הלוואה2,IF(הפחתה5[[#This Row],[תאריך]]="",0,INDEX(הפחתה5[], ROW()-4,8)))</f>
        <v>294091.09457485931</v>
      </c>
      <c r="N15" s="13">
        <f>IF(ValuesEntered2,IF(ROW()-ROW(הפחתה5[[#Headers],[ריבית]])=1,-IPMT(שיעור_ריבית2/12,1,תקופת_ההלוואה2-ROWS($L$4:L15)+1,הפחתה5[[#This Row],[יתרת פתיחה]]),IFERROR(-IPMT(שיעור_ריבית2/12,1,הפחתה5[[#This Row],[תשלומים
שנותרו]],M16),0)),0)</f>
        <v>1149.7030942114782</v>
      </c>
      <c r="O15" s="13">
        <f>IFERROR(IF(AND(ValuesEntered2,הפחתה5[[#This Row],[תאריך]]&lt;&gt;""),-PPMT(שיעור_ריבית2/12,1,תקופת_ההלוואה2-ROWS($L$4:L15)+1,הפחתה5[[#This Row],[יתרת פתיחה]]),""),0)</f>
        <v>549.8790315031938</v>
      </c>
      <c r="P15" s="13">
        <f>(הפחתה5[[#This Row],[יתרת פתיחה]])*(מדד2/12)</f>
        <v>0</v>
      </c>
      <c r="Q15" s="13">
        <f>IF(הפחתה5[[#This Row],[תאריך]]="",0,הפחתה5[[#This Row],[ריבית]]+הפחתה5[[#This Row],[קרן]]+הפחתה5[[#This Row],[מדד]])</f>
        <v>1699.582125714672</v>
      </c>
      <c r="R15" s="13">
        <f>IF(הפחתה5[[#This Row],[תאריך]]="",0,הפחתה5[[#This Row],[יתרת פתיחה]]-הפחתה5[[#This Row],[קרן]]+הפחתה5[[#This Row],[מדד]])</f>
        <v>293541.21554335614</v>
      </c>
      <c r="S15" s="11">
        <f>IF(הפחתה5[[#This Row],[יתרת
סגירה]]&gt;0,LastRow2-ROW(),0)</f>
        <v>288</v>
      </c>
      <c r="T15" s="11">
        <f>ROWS($T$4:T15)</f>
        <v>12</v>
      </c>
      <c r="U15" s="12">
        <f ca="1">IF(ValuesEntered3,IF(הפחתה7[[#This Row],[מס'']]&lt;=תקופת_ההלוואה3,IF(ROW()-ROW(הפחתה7[[#Headers],[תאריך]])=1,LoanStart3,IF(AA14&gt;0,EDATE(U14,1),"")),""),"")</f>
        <v>45955</v>
      </c>
      <c r="V15" s="13">
        <f ca="1">IF(ROW()-ROW(הפחתה7[[#Headers],[יתרת פתיחה]])=1,סכום_הלוואה3,IF(הפחתה7[[#This Row],[תאריך]]="",0,INDEX(הפחתה7[], ROW()-4,8)))</f>
        <v>99060.003500291248</v>
      </c>
      <c r="W15" s="13">
        <f ca="1">IF(ValuesEntered3,IF(ROW()-ROW(הפחתה7[[#Headers],[ריבית]])=1,-IPMT(שיעור_ריבית3/12,1,תקופת_ההלוואה3-ROWS($C$4:U15)+1,הפחתה7[[#This Row],[יתרת פתיחה]]),IFERROR(-IPMT(שיעור_ריבית3/12,1,הפחתה7[[#This Row],[תשלומים
שנותרו]],V16),0)),0)</f>
        <v>189.68910383451785</v>
      </c>
      <c r="X15" s="13">
        <f ca="1">IFERROR(IF(AND(ValuesEntered3,הפחתה7[[#This Row],[תאריך]]&lt;&gt;""),-PPMT(שיעור_ריבית3/12,1,תקופת_ההלוואה3-ROWS($C$4:U15)+1,הפחתה7[[#This Row],[יתרת פתיחה]]),""),0)</f>
        <v>256.8754185505353</v>
      </c>
      <c r="Y15" s="13">
        <f ca="1">(הפחתה7[[#This Row],[יתרת פתיחה]])*(מדד3/12)</f>
        <v>165.10000583381876</v>
      </c>
      <c r="Z15" s="13">
        <f ca="1">IF(הפחתה7[[#This Row],[תאריך]]="",0,הפחתה7[[#This Row],[ריבית]]+הפחתה7[[#This Row],[קרן]]+הפחתה7[[#This Row],[מדד]])</f>
        <v>611.66452821887185</v>
      </c>
      <c r="AA15" s="13">
        <f ca="1">IF(הפחתה7[[#This Row],[תאריך]]="",0,הפחתה7[[#This Row],[יתרת פתיחה]]-הפחתה7[[#This Row],[קרן]]+הפחתה7[[#This Row],[מדד]])</f>
        <v>98968.228087574535</v>
      </c>
      <c r="AB15" s="11">
        <f ca="1">IF(הפחתה7[[#This Row],[יתרת
סגירה]]&gt;0,LastRow3-ROW(),0)</f>
        <v>288</v>
      </c>
      <c r="AC15" s="17">
        <f>ROWS($AC$4:AC15)</f>
        <v>12</v>
      </c>
      <c r="AD15" s="18" t="str">
        <f ca="1">IF(ValuesEntered4,IF(הפחתה8[[#This Row],[מס'']]&lt;=תקופת_ההלוואה4,IF(ROW()-ROW(הפחתה8[[#Headers],[תאריך]])=1,LoanStart4,IF(AJ14&gt;0,EDATE(AD14,1),"")),""),"")</f>
        <v/>
      </c>
      <c r="AE15" s="19">
        <f ca="1">IF(ROW()-ROW(הפחתה8[[#Headers],[יתרת פתיחה]])=1,סכום_הלוואה4,IF(הפחתה8[[#This Row],[תאריך]]="",0,INDEX(הפחתה8[], ROW()-4,8)))</f>
        <v>0</v>
      </c>
      <c r="AF15" s="19">
        <f ca="1">IF(ValuesEntered4,IF(ROW()-ROW(הפחתה8[[#Headers],[ריבית]])=1,-IPMT(שיעור_ריבית4/12,1,תקופת_ההלוואה4-ROWS($C$4:AD15)+1,הפחתה8[[#This Row],[יתרת פתיחה]]),IFERROR(-IPMT(שיעור_ריבית4/12,1,הפחתה8[[#This Row],[תשלומים
שנותרו]],AE16),0)),0)</f>
        <v>0</v>
      </c>
      <c r="AG15" s="19" t="str">
        <f ca="1">IFERROR(IF(AND(ValuesEntered4,הפחתה8[[#This Row],[תאריך]]&lt;&gt;""),-PPMT(שיעור_ריבית4/12,1,תקופת_ההלוואה4-ROWS($C$4:AD15)+1,הפחתה8[[#This Row],[יתרת פתיחה]]),""),0)</f>
        <v/>
      </c>
      <c r="AH15" s="19">
        <f ca="1">(הפחתה8[[#This Row],[יתרת פתיחה]])*(מדד4/12)</f>
        <v>0</v>
      </c>
      <c r="AI15" s="19">
        <f ca="1">IF(הפחתה8[[#This Row],[תאריך]]="",0,הפחתה8[[#This Row],[ריבית]]+הפחתה8[[#This Row],[קרן]]+הפחתה8[[#This Row],[מדד]])</f>
        <v>0</v>
      </c>
      <c r="AJ15" s="19">
        <f ca="1">IF(הפחתה8[[#This Row],[תאריך]]="",0,הפחתה8[[#This Row],[יתרת פתיחה]]-הפחתה8[[#This Row],[קרן]])</f>
        <v>0</v>
      </c>
      <c r="AK15" s="20">
        <f ca="1">IF(הפחתה8[[#This Row],[יתרת
סגירה]]&gt;0,LastRow4-ROW(),0)</f>
        <v>0</v>
      </c>
    </row>
    <row r="16" spans="1:37" ht="15" customHeight="1" x14ac:dyDescent="0.25">
      <c r="A16" s="8"/>
      <c r="B16" s="11">
        <f>ROWS($B$4:B16)</f>
        <v>13</v>
      </c>
      <c r="C16" s="12">
        <f>IF(ValuesEntered,IF(הפחתה[[#This Row],[מס'']]&lt;=תקופת_ההלוואה,IF(ROW()-ROW(הפחתה[[#Headers],[תאריך]])=1,LoanStart,IF(I15&gt;0,EDATE(C15,1),"")),""),"")</f>
        <v>45748</v>
      </c>
      <c r="D16" s="13">
        <f>IF(ROW()-ROW(הפחתה[[#Headers],[יתרת פתיחה]])=1,סכום_הלוואה,IF(הפחתה[[#This Row],[תאריך]]="",0,INDEX(הפחתה[], ROW()-4,8)))</f>
        <v>591616.35682239861</v>
      </c>
      <c r="E16" s="13">
        <f>IF(ValuesEntered,IF(ROW()-ROW(הפחתה[[#Headers],[ריבית]])=1,-IPMT(שיעור_ריבית/12,1,תקופת_ההלוואה-ROWS($C$4:C16)+1,הפחתה[[#This Row],[יתרת פתיחה]]),IFERROR(-IPMT(שיעור_ריבית/12,1,הפחתה[[#This Row],[תשלומים
שנותרו]],D17),0)),0)</f>
        <v>2609.7972967486853</v>
      </c>
      <c r="F16" s="13">
        <f>IFERROR(IF(AND(ValuesEntered,הפחתה[[#This Row],[תאריך]]&lt;&gt;""),-PPMT(שיעור_ריבית/12,1,תקופת_ההלוואה-ROWS($C$4:C16)+1,הפחתה[[#This Row],[יתרת פתיחה]]),""),0)</f>
        <v>718.85567175295648</v>
      </c>
      <c r="G16" s="13">
        <f>(הפחתה[[#This Row],[יתרת פתיחה]])*(מדד/12)</f>
        <v>0</v>
      </c>
      <c r="H16" s="13">
        <f>IF(הפחתה[[#This Row],[תאריך]]="",0,הפחתה[[#This Row],[ריבית]]+הפחתה[[#This Row],[קרן]]+הפחתה[[#This Row],[מדד]])</f>
        <v>3328.6529685016417</v>
      </c>
      <c r="I16" s="13">
        <f>IF(הפחתה[[#This Row],[תאריך]]="",0,הפחתה[[#This Row],[יתרת פתיחה]]-הפחתה[[#This Row],[קרן]]+הפחתה[[#This Row],[מדד]])</f>
        <v>590897.50115064566</v>
      </c>
      <c r="J16" s="11">
        <f>IF(הפחתה[[#This Row],[יתרת
סגירה]]&gt;0,LastRow-ROW(),0)</f>
        <v>347</v>
      </c>
      <c r="K16" s="11">
        <f>ROWS($K$4:K16)</f>
        <v>13</v>
      </c>
      <c r="L16" s="12">
        <f>IF(ValuesEntered2,IF(הפחתה5[[#This Row],[מס'']]&lt;=תקופת_ההלוואה2,IF(ROW()-ROW(הפחתה5[[#Headers],[תאריך]])=1,LoanStart2,IF(R15&gt;0,EDATE(L15,1),"")),""),"")</f>
        <v>45748</v>
      </c>
      <c r="M16" s="13">
        <f>IF(ROW()-ROW(הפחתה5[[#Headers],[יתרת פתיחה]])=1,סכום_הלוואה2,IF(הפחתה5[[#This Row],[תאריך]]="",0,INDEX(הפחתה5[], ROW()-4,8)))</f>
        <v>293541.21554335614</v>
      </c>
      <c r="N16" s="13">
        <f>IF(ValuesEntered2,IF(ROW()-ROW(הפחתה5[[#Headers],[ריבית]])=1,-IPMT(שיעור_ריבית2/12,1,תקופת_ההלוואה2-ROWS($L$4:L16)+1,הפחתה5[[#This Row],[יתרת פתיחה]]),IFERROR(-IPMT(שיעור_ריבית2/12,1,הפחתה5[[#This Row],[תשלומים
שנותרו]],M17),0)),0)</f>
        <v>1147.5409660410032</v>
      </c>
      <c r="O16" s="13">
        <f>IFERROR(IF(AND(ValuesEntered2,הפחתה5[[#This Row],[תאריך]]&lt;&gt;""),-PPMT(שיעור_ריבית2/12,1,תקופת_ההלוואה2-ROWS($L$4:L16)+1,הפחתה5[[#This Row],[יתרת פתיחה]]),""),0)</f>
        <v>552.0327243765812</v>
      </c>
      <c r="P16" s="13">
        <f>(הפחתה5[[#This Row],[יתרת פתיחה]])*(מדד2/12)</f>
        <v>0</v>
      </c>
      <c r="Q16" s="13">
        <f>IF(הפחתה5[[#This Row],[תאריך]]="",0,הפחתה5[[#This Row],[ריבית]]+הפחתה5[[#This Row],[קרן]]+הפחתה5[[#This Row],[מדד]])</f>
        <v>1699.5736904175844</v>
      </c>
      <c r="R16" s="13">
        <f>IF(הפחתה5[[#This Row],[תאריך]]="",0,הפחתה5[[#This Row],[יתרת פתיחה]]-הפחתה5[[#This Row],[קרן]]+הפחתה5[[#This Row],[מדד]])</f>
        <v>292989.18281897955</v>
      </c>
      <c r="S16" s="11">
        <f>IF(הפחתה5[[#This Row],[יתרת
סגירה]]&gt;0,LastRow2-ROW(),0)</f>
        <v>287</v>
      </c>
      <c r="T16" s="11">
        <f>ROWS($T$4:T16)</f>
        <v>13</v>
      </c>
      <c r="U16" s="12">
        <f ca="1">IF(ValuesEntered3,IF(הפחתה7[[#This Row],[מס'']]&lt;=תקופת_ההלוואה3,IF(ROW()-ROW(הפחתה7[[#Headers],[תאריך]])=1,LoanStart3,IF(AA15&gt;0,EDATE(U15,1),"")),""),"")</f>
        <v>45986</v>
      </c>
      <c r="V16" s="13">
        <f ca="1">IF(ROW()-ROW(הפחתה7[[#Headers],[יתרת פתיחה]])=1,סכום_הלוואה3,IF(הפחתה7[[#This Row],[תאריך]]="",0,INDEX(הפחתה7[], ROW()-4,8)))</f>
        <v>98968.228087574535</v>
      </c>
      <c r="W16" s="13">
        <f ca="1">IF(ValuesEntered3,IF(ROW()-ROW(הפחתה7[[#Headers],[ריבית]])=1,-IPMT(שיעור_ריבית3/12,1,תקופת_ההלוואה3-ROWS($C$4:U16)+1,הפחתה7[[#This Row],[יתרת פתיחה]]),IFERROR(-IPMT(שיעור_ריבית3/12,1,הפחתה7[[#This Row],[תשלומים
שנותרו]],V17),0)),0)</f>
        <v>189.51113984379762</v>
      </c>
      <c r="X16" s="13">
        <f ca="1">IFERROR(IF(AND(ValuesEntered3,הפחתה7[[#This Row],[תאריך]]&lt;&gt;""),-PPMT(שיעור_ריבית3/12,1,תקופת_ההלוואה3-ROWS($C$4:U16)+1,הפחתה7[[#This Row],[יתרת פתיחה]]),""),0)</f>
        <v>257.79782457970305</v>
      </c>
      <c r="Y16" s="13">
        <f ca="1">(הפחתה7[[#This Row],[יתרת פתיחה]])*(מדד3/12)</f>
        <v>164.94704681262422</v>
      </c>
      <c r="Z16" s="13">
        <f ca="1">IF(הפחתה7[[#This Row],[תאריך]]="",0,הפחתה7[[#This Row],[ריבית]]+הפחתה7[[#This Row],[קרן]]+הפחתה7[[#This Row],[מדד]])</f>
        <v>612.25601123612489</v>
      </c>
      <c r="AA16" s="13">
        <f ca="1">IF(הפחתה7[[#This Row],[תאריך]]="",0,הפחתה7[[#This Row],[יתרת פתיחה]]-הפחתה7[[#This Row],[קרן]]+הפחתה7[[#This Row],[מדד]])</f>
        <v>98875.37730980746</v>
      </c>
      <c r="AB16" s="11">
        <f ca="1">IF(הפחתה7[[#This Row],[יתרת
סגירה]]&gt;0,LastRow3-ROW(),0)</f>
        <v>287</v>
      </c>
      <c r="AC16" s="17">
        <f>ROWS($AC$4:AC16)</f>
        <v>13</v>
      </c>
      <c r="AD16" s="18" t="str">
        <f ca="1">IF(ValuesEntered4,IF(הפחתה8[[#This Row],[מס'']]&lt;=תקופת_ההלוואה4,IF(ROW()-ROW(הפחתה8[[#Headers],[תאריך]])=1,LoanStart4,IF(AJ15&gt;0,EDATE(AD15,1),"")),""),"")</f>
        <v/>
      </c>
      <c r="AE16" s="19">
        <f ca="1">IF(ROW()-ROW(הפחתה8[[#Headers],[יתרת פתיחה]])=1,סכום_הלוואה4,IF(הפחתה8[[#This Row],[תאריך]]="",0,INDEX(הפחתה8[], ROW()-4,8)))</f>
        <v>0</v>
      </c>
      <c r="AF16" s="19">
        <f ca="1">IF(ValuesEntered4,IF(ROW()-ROW(הפחתה8[[#Headers],[ריבית]])=1,-IPMT(שיעור_ריבית4/12,1,תקופת_ההלוואה4-ROWS($C$4:AD16)+1,הפחתה8[[#This Row],[יתרת פתיחה]]),IFERROR(-IPMT(שיעור_ריבית4/12,1,הפחתה8[[#This Row],[תשלומים
שנותרו]],AE17),0)),0)</f>
        <v>0</v>
      </c>
      <c r="AG16" s="19" t="str">
        <f ca="1">IFERROR(IF(AND(ValuesEntered4,הפחתה8[[#This Row],[תאריך]]&lt;&gt;""),-PPMT(שיעור_ריבית4/12,1,תקופת_ההלוואה4-ROWS($C$4:AD16)+1,הפחתה8[[#This Row],[יתרת פתיחה]]),""),0)</f>
        <v/>
      </c>
      <c r="AH16" s="19">
        <f ca="1">(הפחתה8[[#This Row],[יתרת פתיחה]])*(מדד4/12)</f>
        <v>0</v>
      </c>
      <c r="AI16" s="19">
        <f ca="1">IF(הפחתה8[[#This Row],[תאריך]]="",0,הפחתה8[[#This Row],[ריבית]]+הפחתה8[[#This Row],[קרן]]+הפחתה8[[#This Row],[מדד]])</f>
        <v>0</v>
      </c>
      <c r="AJ16" s="19">
        <f ca="1">IF(הפחתה8[[#This Row],[תאריך]]="",0,הפחתה8[[#This Row],[יתרת פתיחה]]-הפחתה8[[#This Row],[קרן]])</f>
        <v>0</v>
      </c>
      <c r="AK16" s="20">
        <f ca="1">IF(הפחתה8[[#This Row],[יתרת
סגירה]]&gt;0,LastRow4-ROW(),0)</f>
        <v>0</v>
      </c>
    </row>
    <row r="17" spans="1:37" ht="15" customHeight="1" x14ac:dyDescent="0.25">
      <c r="A17" s="8"/>
      <c r="B17" s="11">
        <f>ROWS($B$4:B17)</f>
        <v>14</v>
      </c>
      <c r="C17" s="12">
        <f>IF(ValuesEntered,IF(הפחתה[[#This Row],[מס'']]&lt;=תקופת_ההלוואה,IF(ROW()-ROW(הפחתה[[#Headers],[תאריך]])=1,LoanStart,IF(I16&gt;0,EDATE(C16,1),"")),""),"")</f>
        <v>45778</v>
      </c>
      <c r="D17" s="13">
        <f>IF(ROW()-ROW(הפחתה[[#Headers],[יתרת פתיחה]])=1,סכום_הלוואה,IF(הפחתה[[#This Row],[תאריך]]="",0,INDEX(הפחתה[], ROW()-4,8)))</f>
        <v>590897.50115064566</v>
      </c>
      <c r="E17" s="13">
        <f>IF(ValuesEntered,IF(ROW()-ROW(הפחתה[[#Headers],[ריבית]])=1,-IPMT(שיעור_ריבית/12,1,תקופת_ההלוואה-ROWS($C$4:C17)+1,הפחתה[[#This Row],[יתרת פתיחה]]),IFERROR(-IPMT(שיעור_ריבית/12,1,הפחתה[[#This Row],[תשלומים
שנותרו]],D18),0)),0)</f>
        <v>2606.6083281874571</v>
      </c>
      <c r="F17" s="13">
        <f>IFERROR(IF(AND(ValuesEntered,הפחתה[[#This Row],[תאריך]]&lt;&gt;""),-PPMT(שיעור_ריבית/12,1,תקופת_ההלוואה-ROWS($C$4:C17)+1,הפחתה[[#This Row],[יתרת פתיחה]]),""),0)</f>
        <v>722.03061763653216</v>
      </c>
      <c r="G17" s="13">
        <f>(הפחתה[[#This Row],[יתרת פתיחה]])*(מדד/12)</f>
        <v>0</v>
      </c>
      <c r="H17" s="13">
        <f>IF(הפחתה[[#This Row],[תאריך]]="",0,הפחתה[[#This Row],[ריבית]]+הפחתה[[#This Row],[קרן]]+הפחתה[[#This Row],[מדד]])</f>
        <v>3328.6389458239892</v>
      </c>
      <c r="I17" s="13">
        <f>IF(הפחתה[[#This Row],[תאריך]]="",0,הפחתה[[#This Row],[יתרת פתיחה]]-הפחתה[[#This Row],[קרן]]+הפחתה[[#This Row],[מדד]])</f>
        <v>590175.47053300915</v>
      </c>
      <c r="J17" s="11">
        <f>IF(הפחתה[[#This Row],[יתרת
סגירה]]&gt;0,LastRow-ROW(),0)</f>
        <v>346</v>
      </c>
      <c r="K17" s="11">
        <f>ROWS($K$4:K17)</f>
        <v>14</v>
      </c>
      <c r="L17" s="12">
        <f>IF(ValuesEntered2,IF(הפחתה5[[#This Row],[מס'']]&lt;=תקופת_ההלוואה2,IF(ROW()-ROW(הפחתה5[[#Headers],[תאריך]])=1,LoanStart2,IF(R16&gt;0,EDATE(L16,1),"")),""),"")</f>
        <v>45778</v>
      </c>
      <c r="M17" s="13">
        <f>IF(ROW()-ROW(הפחתה5[[#Headers],[יתרת פתיחה]])=1,סכום_הלוואה2,IF(הפחתה5[[#This Row],[תאריך]]="",0,INDEX(הפחתה5[], ROW()-4,8)))</f>
        <v>292989.18281897955</v>
      </c>
      <c r="N17" s="13">
        <f>IF(ValuesEntered2,IF(ROW()-ROW(הפחתה5[[#Headers],[ריבית]])=1,-IPMT(שיעור_ריבית2/12,1,תקופת_ההלוואה2-ROWS($L$4:L17)+1,הפחתה5[[#This Row],[יתרת פתיחה]]),IFERROR(-IPMT(שיעור_ריבית2/12,1,הפחתה5[[#This Row],[תשלומים
שנותרו]],M18),0)),0)</f>
        <v>1145.3703695351937</v>
      </c>
      <c r="O17" s="13">
        <f>IFERROR(IF(AND(ValuesEntered2,הפחתה5[[#This Row],[תאריך]]&lt;&gt;""),-PPMT(שיעור_ריבית2/12,1,תקופת_ההלוואה2-ROWS($L$4:L17)+1,הפחתה5[[#This Row],[יתרת פתיחה]]),""),0)</f>
        <v>554.19485254705637</v>
      </c>
      <c r="P17" s="13">
        <f>(הפחתה5[[#This Row],[יתרת פתיחה]])*(מדד2/12)</f>
        <v>0</v>
      </c>
      <c r="Q17" s="13">
        <f>IF(הפחתה5[[#This Row],[תאריך]]="",0,הפחתה5[[#This Row],[ריבית]]+הפחתה5[[#This Row],[קרן]]+הפחתה5[[#This Row],[מדד]])</f>
        <v>1699.5652220822501</v>
      </c>
      <c r="R17" s="13">
        <f>IF(הפחתה5[[#This Row],[תאריך]]="",0,הפחתה5[[#This Row],[יתרת פתיחה]]-הפחתה5[[#This Row],[קרן]]+הפחתה5[[#This Row],[מדד]])</f>
        <v>292434.98796643247</v>
      </c>
      <c r="S17" s="11">
        <f>IF(הפחתה5[[#This Row],[יתרת
סגירה]]&gt;0,LastRow2-ROW(),0)</f>
        <v>286</v>
      </c>
      <c r="T17" s="11">
        <f>ROWS($T$4:T17)</f>
        <v>14</v>
      </c>
      <c r="U17" s="12">
        <f ca="1">IF(ValuesEntered3,IF(הפחתה7[[#This Row],[מס'']]&lt;=תקופת_ההלוואה3,IF(ROW()-ROW(הפחתה7[[#Headers],[תאריך]])=1,LoanStart3,IF(AA16&gt;0,EDATE(U16,1),"")),""),"")</f>
        <v>46016</v>
      </c>
      <c r="V17" s="13">
        <f ca="1">IF(ROW()-ROW(הפחתה7[[#Headers],[יתרת פתיחה]])=1,סכום_הלוואה3,IF(הפחתה7[[#This Row],[תאריך]]="",0,INDEX(הפחתה7[], ROW()-4,8)))</f>
        <v>98875.37730980746</v>
      </c>
      <c r="W17" s="13">
        <f ca="1">IF(ValuesEntered3,IF(ROW()-ROW(הפחתה7[[#Headers],[ריבית]])=1,-IPMT(שיעור_ריבית3/12,1,תקופת_ההלוואה3-ROWS($C$4:U17)+1,הפחתה7[[#This Row],[יתרת פתיחה]]),IFERROR(-IPMT(שיעור_ריבית3/12,1,הפחתה7[[#This Row],[תשלומים
שנותרו]],V18),0)),0)</f>
        <v>189.33110494335341</v>
      </c>
      <c r="X17" s="13">
        <f ca="1">IFERROR(IF(AND(ValuesEntered3,הפחתה7[[#This Row],[תאריך]]&lt;&gt;""),-PPMT(שיעור_ריבית3/12,1,תקופת_ההלוואה3-ROWS($C$4:U17)+1,הפחתה7[[#This Row],[יתרת פתיחה]]),""),0)</f>
        <v>258.72354792201884</v>
      </c>
      <c r="Y17" s="13">
        <f ca="1">(הפחתה7[[#This Row],[יתרת פתיחה]])*(מדד3/12)</f>
        <v>164.79229551634577</v>
      </c>
      <c r="Z17" s="13">
        <f ca="1">IF(הפחתה7[[#This Row],[תאריך]]="",0,הפחתה7[[#This Row],[ריבית]]+הפחתה7[[#This Row],[קרן]]+הפחתה7[[#This Row],[מדד]])</f>
        <v>612.84694838171799</v>
      </c>
      <c r="AA17" s="13">
        <f ca="1">IF(הפחתה7[[#This Row],[תאריך]]="",0,הפחתה7[[#This Row],[יתרת פתיחה]]-הפחתה7[[#This Row],[קרן]]+הפחתה7[[#This Row],[מדד]])</f>
        <v>98781.446057401787</v>
      </c>
      <c r="AB17" s="11">
        <f ca="1">IF(הפחתה7[[#This Row],[יתרת
סגירה]]&gt;0,LastRow3-ROW(),0)</f>
        <v>286</v>
      </c>
      <c r="AC17" s="17">
        <f>ROWS($AC$4:AC17)</f>
        <v>14</v>
      </c>
      <c r="AD17" s="18" t="str">
        <f ca="1">IF(ValuesEntered4,IF(הפחתה8[[#This Row],[מס'']]&lt;=תקופת_ההלוואה4,IF(ROW()-ROW(הפחתה8[[#Headers],[תאריך]])=1,LoanStart4,IF(AJ16&gt;0,EDATE(AD16,1),"")),""),"")</f>
        <v/>
      </c>
      <c r="AE17" s="19">
        <f ca="1">IF(ROW()-ROW(הפחתה8[[#Headers],[יתרת פתיחה]])=1,סכום_הלוואה4,IF(הפחתה8[[#This Row],[תאריך]]="",0,INDEX(הפחתה8[], ROW()-4,8)))</f>
        <v>0</v>
      </c>
      <c r="AF17" s="19">
        <f ca="1">IF(ValuesEntered4,IF(ROW()-ROW(הפחתה8[[#Headers],[ריבית]])=1,-IPMT(שיעור_ריבית4/12,1,תקופת_ההלוואה4-ROWS($C$4:AD17)+1,הפחתה8[[#This Row],[יתרת פתיחה]]),IFERROR(-IPMT(שיעור_ריבית4/12,1,הפחתה8[[#This Row],[תשלומים
שנותרו]],AE18),0)),0)</f>
        <v>0</v>
      </c>
      <c r="AG17" s="19" t="str">
        <f ca="1">IFERROR(IF(AND(ValuesEntered4,הפחתה8[[#This Row],[תאריך]]&lt;&gt;""),-PPMT(שיעור_ריבית4/12,1,תקופת_ההלוואה4-ROWS($C$4:AD17)+1,הפחתה8[[#This Row],[יתרת פתיחה]]),""),0)</f>
        <v/>
      </c>
      <c r="AH17" s="19">
        <f ca="1">(הפחתה8[[#This Row],[יתרת פתיחה]])*(מדד4/12)</f>
        <v>0</v>
      </c>
      <c r="AI17" s="19">
        <f ca="1">IF(הפחתה8[[#This Row],[תאריך]]="",0,הפחתה8[[#This Row],[ריבית]]+הפחתה8[[#This Row],[קרן]]+הפחתה8[[#This Row],[מדד]])</f>
        <v>0</v>
      </c>
      <c r="AJ17" s="19">
        <f ca="1">IF(הפחתה8[[#This Row],[תאריך]]="",0,הפחתה8[[#This Row],[יתרת פתיחה]]-הפחתה8[[#This Row],[קרן]])</f>
        <v>0</v>
      </c>
      <c r="AK17" s="20">
        <f ca="1">IF(הפחתה8[[#This Row],[יתרת
סגירה]]&gt;0,LastRow4-ROW(),0)</f>
        <v>0</v>
      </c>
    </row>
    <row r="18" spans="1:37" ht="15" customHeight="1" x14ac:dyDescent="0.25">
      <c r="A18" s="8"/>
      <c r="B18" s="11">
        <f>ROWS($B$4:B18)</f>
        <v>15</v>
      </c>
      <c r="C18" s="12">
        <f>IF(ValuesEntered,IF(הפחתה[[#This Row],[מס'']]&lt;=תקופת_ההלוואה,IF(ROW()-ROW(הפחתה[[#Headers],[תאריך]])=1,LoanStart,IF(I17&gt;0,EDATE(C17,1),"")),""),"")</f>
        <v>45809</v>
      </c>
      <c r="D18" s="13">
        <f>IF(ROW()-ROW(הפחתה[[#Headers],[יתרת פתיחה]])=1,סכום_הלוואה,IF(הפחתה[[#This Row],[תאריך]]="",0,INDEX(הפחתה[], ROW()-4,8)))</f>
        <v>590175.47053300915</v>
      </c>
      <c r="E18" s="13">
        <f>IF(ValuesEntered,IF(ROW()-ROW(הפחתה[[#Headers],[ריבית]])=1,-IPMT(שיעור_ריבית/12,1,תקופת_ההלוואה-ROWS($C$4:C18)+1,הפחתה[[#This Row],[יתרת פתיחה]]),IFERROR(-IPMT(שיעור_ריבית/12,1,הפחתה[[#This Row],[תשלומים
שנותרו]],D19),0)),0)</f>
        <v>2603.4052750150836</v>
      </c>
      <c r="F18" s="13">
        <f>IFERROR(IF(AND(ValuesEntered,הפחתה[[#This Row],[תאריך]]&lt;&gt;""),-PPMT(שיעור_ריבית/12,1,תקופת_ההלוואה-ROWS($C$4:C18)+1,הפחתה[[#This Row],[יתרת פתיחה]]),""),0)</f>
        <v>725.21958619776024</v>
      </c>
      <c r="G18" s="13">
        <f>(הפחתה[[#This Row],[יתרת פתיחה]])*(מדד/12)</f>
        <v>0</v>
      </c>
      <c r="H18" s="13">
        <f>IF(הפחתה[[#This Row],[תאריך]]="",0,הפחתה[[#This Row],[ריבית]]+הפחתה[[#This Row],[קרן]]+הפחתה[[#This Row],[מדד]])</f>
        <v>3328.6248612128438</v>
      </c>
      <c r="I18" s="13">
        <f>IF(הפחתה[[#This Row],[תאריך]]="",0,הפחתה[[#This Row],[יתרת פתיחה]]-הפחתה[[#This Row],[קרן]]+הפחתה[[#This Row],[מדד]])</f>
        <v>589450.2509468114</v>
      </c>
      <c r="J18" s="11">
        <f>IF(הפחתה[[#This Row],[יתרת
סגירה]]&gt;0,LastRow-ROW(),0)</f>
        <v>345</v>
      </c>
      <c r="K18" s="11">
        <f>ROWS($K$4:K18)</f>
        <v>15</v>
      </c>
      <c r="L18" s="12">
        <f>IF(ValuesEntered2,IF(הפחתה5[[#This Row],[מס'']]&lt;=תקופת_ההלוואה2,IF(ROW()-ROW(הפחתה5[[#Headers],[תאריך]])=1,LoanStart2,IF(R17&gt;0,EDATE(L17,1),"")),""),"")</f>
        <v>45809</v>
      </c>
      <c r="M18" s="13">
        <f>IF(ROW()-ROW(הפחתה5[[#Headers],[יתרת פתיחה]])=1,סכום_הלוואה2,IF(הפחתה5[[#This Row],[תאריך]]="",0,INDEX(הפחתה5[], ROW()-4,8)))</f>
        <v>292434.98796643247</v>
      </c>
      <c r="N18" s="13">
        <f>IF(ValuesEntered2,IF(ROW()-ROW(הפחתה5[[#Headers],[ריבית]])=1,-IPMT(שיעור_ריבית2/12,1,תקופת_ההלוואה2-ROWS($L$4:L18)+1,הפחתה5[[#This Row],[יתרת פתיחה]]),IFERROR(-IPMT(שיעור_ריבית2/12,1,הפחתה5[[#This Row],[תשלומים
שנותרו]],M19),0)),0)</f>
        <v>1143.1912715264034</v>
      </c>
      <c r="O18" s="13">
        <f>IFERROR(IF(AND(ValuesEntered2,הפחתה5[[#This Row],[תאריך]]&lt;&gt;""),-PPMT(שיעור_ריבית2/12,1,תקופת_ההלוואה2-ROWS($L$4:L18)+1,הפחתה5[[#This Row],[יתרת פתיחה]]),""),0)</f>
        <v>556.36544905286564</v>
      </c>
      <c r="P18" s="13">
        <f>(הפחתה5[[#This Row],[יתרת פתיחה]])*(מדד2/12)</f>
        <v>0</v>
      </c>
      <c r="Q18" s="13">
        <f>IF(הפחתה5[[#This Row],[תאריך]]="",0,הפחתה5[[#This Row],[ריבית]]+הפחתה5[[#This Row],[קרן]]+הפחתה5[[#This Row],[מדד]])</f>
        <v>1699.556720579269</v>
      </c>
      <c r="R18" s="13">
        <f>IF(הפחתה5[[#This Row],[תאריך]]="",0,הפחתה5[[#This Row],[יתרת פתיחה]]-הפחתה5[[#This Row],[קרן]]+הפחתה5[[#This Row],[מדד]])</f>
        <v>291878.62251737958</v>
      </c>
      <c r="S18" s="11">
        <f>IF(הפחתה5[[#This Row],[יתרת
סגירה]]&gt;0,LastRow2-ROW(),0)</f>
        <v>285</v>
      </c>
      <c r="T18" s="11">
        <f>ROWS($T$4:T18)</f>
        <v>15</v>
      </c>
      <c r="U18" s="12">
        <f ca="1">IF(ValuesEntered3,IF(הפחתה7[[#This Row],[מס'']]&lt;=תקופת_ההלוואה3,IF(ROW()-ROW(הפחתה7[[#Headers],[תאריך]])=1,LoanStart3,IF(AA17&gt;0,EDATE(U17,1),"")),""),"")</f>
        <v>46047</v>
      </c>
      <c r="V18" s="13">
        <f ca="1">IF(ROW()-ROW(הפחתה7[[#Headers],[יתרת פתיחה]])=1,סכום_הלוואה3,IF(הפחתה7[[#This Row],[תאריך]]="",0,INDEX(הפחתה7[], ROW()-4,8)))</f>
        <v>98781.446057401787</v>
      </c>
      <c r="W18" s="13">
        <f ca="1">IF(ValuesEntered3,IF(ROW()-ROW(הפחתה7[[#Headers],[ריבית]])=1,-IPMT(שיעור_ריבית3/12,1,תקופת_ההלוואה3-ROWS($C$4:U18)+1,הפחתה7[[#This Row],[יתרת פתיחה]]),IFERROR(-IPMT(שיעור_ריבית3/12,1,הפחתה7[[#This Row],[תשלומים
שנותרו]],V19),0)),0)</f>
        <v>189.14898930051427</v>
      </c>
      <c r="X18" s="13">
        <f ca="1">IFERROR(IF(AND(ValuesEntered3,הפחתה7[[#This Row],[תאריך]]&lt;&gt;""),-PPMT(שיעור_ריבית3/12,1,תקופת_ההלוואה3-ROWS($C$4:U18)+1,הפחתה7[[#This Row],[יתרת פתיחה]]),""),0)</f>
        <v>259.65260056246188</v>
      </c>
      <c r="Y18" s="13">
        <f ca="1">(הפחתה7[[#This Row],[יתרת פתיחה]])*(מדד3/12)</f>
        <v>164.63574342900299</v>
      </c>
      <c r="Z18" s="13">
        <f ca="1">IF(הפחתה7[[#This Row],[תאריך]]="",0,הפחתה7[[#This Row],[ריבית]]+הפחתה7[[#This Row],[קרן]]+הפחתה7[[#This Row],[מדד]])</f>
        <v>613.43733329197914</v>
      </c>
      <c r="AA18" s="13">
        <f ca="1">IF(הפחתה7[[#This Row],[תאריך]]="",0,הפחתה7[[#This Row],[יתרת פתיחה]]-הפחתה7[[#This Row],[קרן]]+הפחתה7[[#This Row],[מדד]])</f>
        <v>98686.429200268321</v>
      </c>
      <c r="AB18" s="11">
        <f ca="1">IF(הפחתה7[[#This Row],[יתרת
סגירה]]&gt;0,LastRow3-ROW(),0)</f>
        <v>285</v>
      </c>
      <c r="AC18" s="17">
        <f>ROWS($AC$4:AC18)</f>
        <v>15</v>
      </c>
      <c r="AD18" s="18" t="str">
        <f ca="1">IF(ValuesEntered4,IF(הפחתה8[[#This Row],[מס'']]&lt;=תקופת_ההלוואה4,IF(ROW()-ROW(הפחתה8[[#Headers],[תאריך]])=1,LoanStart4,IF(AJ17&gt;0,EDATE(AD17,1),"")),""),"")</f>
        <v/>
      </c>
      <c r="AE18" s="19">
        <f ca="1">IF(ROW()-ROW(הפחתה8[[#Headers],[יתרת פתיחה]])=1,סכום_הלוואה4,IF(הפחתה8[[#This Row],[תאריך]]="",0,INDEX(הפחתה8[], ROW()-4,8)))</f>
        <v>0</v>
      </c>
      <c r="AF18" s="19">
        <f ca="1">IF(ValuesEntered4,IF(ROW()-ROW(הפחתה8[[#Headers],[ריבית]])=1,-IPMT(שיעור_ריבית4/12,1,תקופת_ההלוואה4-ROWS($C$4:AD18)+1,הפחתה8[[#This Row],[יתרת פתיחה]]),IFERROR(-IPMT(שיעור_ריבית4/12,1,הפחתה8[[#This Row],[תשלומים
שנותרו]],AE19),0)),0)</f>
        <v>0</v>
      </c>
      <c r="AG18" s="19" t="str">
        <f ca="1">IFERROR(IF(AND(ValuesEntered4,הפחתה8[[#This Row],[תאריך]]&lt;&gt;""),-PPMT(שיעור_ריבית4/12,1,תקופת_ההלוואה4-ROWS($C$4:AD18)+1,הפחתה8[[#This Row],[יתרת פתיחה]]),""),0)</f>
        <v/>
      </c>
      <c r="AH18" s="19">
        <f ca="1">(הפחתה8[[#This Row],[יתרת פתיחה]])*(מדד4/12)</f>
        <v>0</v>
      </c>
      <c r="AI18" s="19">
        <f ca="1">IF(הפחתה8[[#This Row],[תאריך]]="",0,הפחתה8[[#This Row],[ריבית]]+הפחתה8[[#This Row],[קרן]]+הפחתה8[[#This Row],[מדד]])</f>
        <v>0</v>
      </c>
      <c r="AJ18" s="19">
        <f ca="1">IF(הפחתה8[[#This Row],[תאריך]]="",0,הפחתה8[[#This Row],[יתרת פתיחה]]-הפחתה8[[#This Row],[קרן]])</f>
        <v>0</v>
      </c>
      <c r="AK18" s="20">
        <f ca="1">IF(הפחתה8[[#This Row],[יתרת
סגירה]]&gt;0,LastRow4-ROW(),0)</f>
        <v>0</v>
      </c>
    </row>
    <row r="19" spans="1:37" ht="15" customHeight="1" x14ac:dyDescent="0.25">
      <c r="A19" s="8"/>
      <c r="B19" s="11">
        <f>ROWS($B$4:B19)</f>
        <v>16</v>
      </c>
      <c r="C19" s="12">
        <f>IF(ValuesEntered,IF(הפחתה[[#This Row],[מס'']]&lt;=תקופת_ההלוואה,IF(ROW()-ROW(הפחתה[[#Headers],[תאריך]])=1,LoanStart,IF(I18&gt;0,EDATE(C18,1),"")),""),"")</f>
        <v>45839</v>
      </c>
      <c r="D19" s="13">
        <f>IF(ROW()-ROW(הפחתה[[#Headers],[יתרת פתיחה]])=1,סכום_הלוואה,IF(הפחתה[[#This Row],[תאריך]]="",0,INDEX(הפחתה[], ROW()-4,8)))</f>
        <v>589450.2509468114</v>
      </c>
      <c r="E19" s="13">
        <f>IF(ValuesEntered,IF(ROW()-ROW(הפחתה[[#Headers],[ריבית]])=1,-IPMT(שיעור_ריבית/12,1,תקופת_ההלוואה-ROWS($C$4:C19)+1,הפחתה[[#This Row],[יתרת פתיחה]]),IFERROR(-IPMT(שיעור_ריבית/12,1,הפחתה[[#This Row],[תשלומים
שנותרו]],D20),0)),0)</f>
        <v>2600.1880750245327</v>
      </c>
      <c r="F19" s="13">
        <f>IFERROR(IF(AND(ValuesEntered,הפחתה[[#This Row],[תאריך]]&lt;&gt;""),-PPMT(שיעור_ריבית/12,1,תקופת_ההלוואה-ROWS($C$4:C19)+1,הפחתה[[#This Row],[יתרת פתיחה]]),""),0)</f>
        <v>728.42263937013354</v>
      </c>
      <c r="G19" s="13">
        <f>(הפחתה[[#This Row],[יתרת פתיחה]])*(מדד/12)</f>
        <v>0</v>
      </c>
      <c r="H19" s="13">
        <f>IF(הפחתה[[#This Row],[תאריך]]="",0,הפחתה[[#This Row],[ריבית]]+הפחתה[[#This Row],[קרן]]+הפחתה[[#This Row],[מדד]])</f>
        <v>3328.6107143946665</v>
      </c>
      <c r="I19" s="13">
        <f>IF(הפחתה[[#This Row],[תאריך]]="",0,הפחתה[[#This Row],[יתרת פתיחה]]-הפחתה[[#This Row],[קרן]]+הפחתה[[#This Row],[מדד]])</f>
        <v>588721.82830744132</v>
      </c>
      <c r="J19" s="11">
        <f>IF(הפחתה[[#This Row],[יתרת
סגירה]]&gt;0,LastRow-ROW(),0)</f>
        <v>344</v>
      </c>
      <c r="K19" s="11">
        <f>ROWS($K$4:K19)</f>
        <v>16</v>
      </c>
      <c r="L19" s="12">
        <f>IF(ValuesEntered2,IF(הפחתה5[[#This Row],[מס'']]&lt;=תקופת_ההלוואה2,IF(ROW()-ROW(הפחתה5[[#Headers],[תאריך]])=1,LoanStart2,IF(R18&gt;0,EDATE(L18,1),"")),""),"")</f>
        <v>45839</v>
      </c>
      <c r="M19" s="13">
        <f>IF(ROW()-ROW(הפחתה5[[#Headers],[יתרת פתיחה]])=1,סכום_הלוואה2,IF(הפחתה5[[#This Row],[תאריך]]="",0,INDEX(הפחתה5[], ROW()-4,8)))</f>
        <v>291878.62251737958</v>
      </c>
      <c r="N19" s="13">
        <f>IF(ValuesEntered2,IF(ROW()-ROW(הפחתה5[[#Headers],[ריבית]])=1,-IPMT(שיעור_ריבית2/12,1,תקופת_ההלוואה2-ROWS($L$4:L19)+1,הפחתה5[[#This Row],[יתרת פתיחה]]),IFERROR(-IPMT(שיעור_ריבית2/12,1,הפחתה5[[#This Row],[תשלומים
שנותרו]],M20),0)),0)</f>
        <v>1141.0036387170785</v>
      </c>
      <c r="O19" s="13">
        <f>IFERROR(IF(AND(ValuesEntered2,הפחתה5[[#This Row],[תאריך]]&lt;&gt;""),-PPMT(שיעור_ריבית2/12,1,תקופת_ההלוואה2-ROWS($L$4:L19)+1,הפחתה5[[#This Row],[יתרת פתיחה]]),""),0)</f>
        <v>558.54454706165598</v>
      </c>
      <c r="P19" s="13">
        <f>(הפחתה5[[#This Row],[יתרת פתיחה]])*(מדד2/12)</f>
        <v>0</v>
      </c>
      <c r="Q19" s="13">
        <f>IF(הפחתה5[[#This Row],[תאריך]]="",0,הפחתה5[[#This Row],[ריבית]]+הפחתה5[[#This Row],[קרן]]+הפחתה5[[#This Row],[מדד]])</f>
        <v>1699.5481857787345</v>
      </c>
      <c r="R19" s="13">
        <f>IF(הפחתה5[[#This Row],[תאריך]]="",0,הפחתה5[[#This Row],[יתרת פתיחה]]-הפחתה5[[#This Row],[קרן]]+הפחתה5[[#This Row],[מדד]])</f>
        <v>291320.07797031791</v>
      </c>
      <c r="S19" s="11">
        <f>IF(הפחתה5[[#This Row],[יתרת
סגירה]]&gt;0,LastRow2-ROW(),0)</f>
        <v>284</v>
      </c>
      <c r="T19" s="11">
        <f>ROWS($T$4:T19)</f>
        <v>16</v>
      </c>
      <c r="U19" s="12">
        <f ca="1">IF(ValuesEntered3,IF(הפחתה7[[#This Row],[מס'']]&lt;=תקופת_ההלוואה3,IF(ROW()-ROW(הפחתה7[[#Headers],[תאריך]])=1,LoanStart3,IF(AA18&gt;0,EDATE(U18,1),"")),""),"")</f>
        <v>46078</v>
      </c>
      <c r="V19" s="13">
        <f ca="1">IF(ROW()-ROW(הפחתה7[[#Headers],[יתרת פתיחה]])=1,סכום_הלוואה3,IF(הפחתה7[[#This Row],[תאריך]]="",0,INDEX(הפחתה7[], ROW()-4,8)))</f>
        <v>98686.429200268321</v>
      </c>
      <c r="W19" s="13">
        <f ca="1">IF(ValuesEntered3,IF(ROW()-ROW(הפחתה7[[#Headers],[ריבית]])=1,-IPMT(שיעור_ריבית3/12,1,תקופת_ההלוואה3-ROWS($C$4:U19)+1,הפחתה7[[#This Row],[יתרת פתיחה]]),IFERROR(-IPMT(שיעור_ריבית3/12,1,הפחתה7[[#This Row],[תשלומים
שנותרו]],V20),0)),0)</f>
        <v>188.96478304316591</v>
      </c>
      <c r="X19" s="13">
        <f ca="1">IFERROR(IF(AND(ValuesEntered3,הפחתה7[[#This Row],[תאריך]]&lt;&gt;""),-PPMT(שיעור_ריבית3/12,1,תקופת_ההלוואה3-ROWS($C$4:U19)+1,הפחתה7[[#This Row],[יתרת פתיחה]]),""),0)</f>
        <v>260.58499453002355</v>
      </c>
      <c r="Y19" s="13">
        <f ca="1">(הפחתה7[[#This Row],[יתרת פתיחה]])*(מדד3/12)</f>
        <v>164.47738200044722</v>
      </c>
      <c r="Z19" s="13">
        <f ca="1">IF(הפחתה7[[#This Row],[תאריך]]="",0,הפחתה7[[#This Row],[ריבית]]+הפחתה7[[#This Row],[קרן]]+הפחתה7[[#This Row],[מדד]])</f>
        <v>614.02715957363671</v>
      </c>
      <c r="AA19" s="13">
        <f ca="1">IF(הפחתה7[[#This Row],[תאריך]]="",0,הפחתה7[[#This Row],[יתרת פתיחה]]-הפחתה7[[#This Row],[קרן]]+הפחתה7[[#This Row],[מדד]])</f>
        <v>98590.321587738741</v>
      </c>
      <c r="AB19" s="11">
        <f ca="1">IF(הפחתה7[[#This Row],[יתרת
סגירה]]&gt;0,LastRow3-ROW(),0)</f>
        <v>284</v>
      </c>
      <c r="AC19" s="17">
        <f>ROWS($AC$4:AC19)</f>
        <v>16</v>
      </c>
      <c r="AD19" s="18" t="str">
        <f ca="1">IF(ValuesEntered4,IF(הפחתה8[[#This Row],[מס'']]&lt;=תקופת_ההלוואה4,IF(ROW()-ROW(הפחתה8[[#Headers],[תאריך]])=1,LoanStart4,IF(AJ18&gt;0,EDATE(AD18,1),"")),""),"")</f>
        <v/>
      </c>
      <c r="AE19" s="19">
        <f ca="1">IF(ROW()-ROW(הפחתה8[[#Headers],[יתרת פתיחה]])=1,סכום_הלוואה4,IF(הפחתה8[[#This Row],[תאריך]]="",0,INDEX(הפחתה8[], ROW()-4,8)))</f>
        <v>0</v>
      </c>
      <c r="AF19" s="19">
        <f ca="1">IF(ValuesEntered4,IF(ROW()-ROW(הפחתה8[[#Headers],[ריבית]])=1,-IPMT(שיעור_ריבית4/12,1,תקופת_ההלוואה4-ROWS($C$4:AD19)+1,הפחתה8[[#This Row],[יתרת פתיחה]]),IFERROR(-IPMT(שיעור_ריבית4/12,1,הפחתה8[[#This Row],[תשלומים
שנותרו]],AE20),0)),0)</f>
        <v>0</v>
      </c>
      <c r="AG19" s="19" t="str">
        <f ca="1">IFERROR(IF(AND(ValuesEntered4,הפחתה8[[#This Row],[תאריך]]&lt;&gt;""),-PPMT(שיעור_ריבית4/12,1,תקופת_ההלוואה4-ROWS($C$4:AD19)+1,הפחתה8[[#This Row],[יתרת פתיחה]]),""),0)</f>
        <v/>
      </c>
      <c r="AH19" s="19">
        <f ca="1">(הפחתה8[[#This Row],[יתרת פתיחה]])*(מדד4/12)</f>
        <v>0</v>
      </c>
      <c r="AI19" s="19">
        <f ca="1">IF(הפחתה8[[#This Row],[תאריך]]="",0,הפחתה8[[#This Row],[ריבית]]+הפחתה8[[#This Row],[קרן]]+הפחתה8[[#This Row],[מדד]])</f>
        <v>0</v>
      </c>
      <c r="AJ19" s="19">
        <f ca="1">IF(הפחתה8[[#This Row],[תאריך]]="",0,הפחתה8[[#This Row],[יתרת פתיחה]]-הפחתה8[[#This Row],[קרן]])</f>
        <v>0</v>
      </c>
      <c r="AK19" s="20">
        <f ca="1">IF(הפחתה8[[#This Row],[יתרת
סגירה]]&gt;0,LastRow4-ROW(),0)</f>
        <v>0</v>
      </c>
    </row>
    <row r="20" spans="1:37" ht="15" customHeight="1" x14ac:dyDescent="0.25">
      <c r="A20" s="8"/>
      <c r="B20" s="11">
        <f>ROWS($B$4:B20)</f>
        <v>17</v>
      </c>
      <c r="C20" s="12">
        <f>IF(ValuesEntered,IF(הפחתה[[#This Row],[מס'']]&lt;=תקופת_ההלוואה,IF(ROW()-ROW(הפחתה[[#Headers],[תאריך]])=1,LoanStart,IF(I19&gt;0,EDATE(C19,1),"")),""),"")</f>
        <v>45870</v>
      </c>
      <c r="D20" s="13">
        <f>IF(ROW()-ROW(הפחתה[[#Headers],[יתרת פתיחה]])=1,סכום_הלוואה,IF(הפחתה[[#This Row],[תאריך]]="",0,INDEX(הפחתה[], ROW()-4,8)))</f>
        <v>588721.82830744132</v>
      </c>
      <c r="E20" s="13">
        <f>IF(ValuesEntered,IF(ROW()-ROW(הפחתה[[#Headers],[ריבית]])=1,-IPMT(שיעור_ריבית/12,1,תקופת_ההלוואה-ROWS($C$4:C20)+1,הפחתה[[#This Row],[יתרת פתיחה]]),IFERROR(-IPMT(שיעור_ריבית/12,1,הפחתה[[#This Row],[תשלומים
שנותרו]],D21),0)),0)</f>
        <v>2596.9566657340229</v>
      </c>
      <c r="F20" s="13">
        <f>IFERROR(IF(AND(ValuesEntered,הפחתה[[#This Row],[תאריך]]&lt;&gt;""),-PPMT(שיעור_ריבית/12,1,תקופת_ההלוואה-ROWS($C$4:C20)+1,הפחתה[[#This Row],[יתרת פתיחה]]),""),0)</f>
        <v>731.63983936068519</v>
      </c>
      <c r="G20" s="13">
        <f>(הפחתה[[#This Row],[יתרת פתיחה]])*(מדד/12)</f>
        <v>0</v>
      </c>
      <c r="H20" s="13">
        <f>IF(הפחתה[[#This Row],[תאריך]]="",0,הפחתה[[#This Row],[ריבית]]+הפחתה[[#This Row],[קרן]]+הפחתה[[#This Row],[מדד]])</f>
        <v>3328.5965050947079</v>
      </c>
      <c r="I20" s="13">
        <f>IF(הפחתה[[#This Row],[תאריך]]="",0,הפחתה[[#This Row],[יתרת פתיחה]]-הפחתה[[#This Row],[קרן]]+הפחתה[[#This Row],[מדד]])</f>
        <v>587990.1884680806</v>
      </c>
      <c r="J20" s="11">
        <f>IF(הפחתה[[#This Row],[יתרת
סגירה]]&gt;0,LastRow-ROW(),0)</f>
        <v>343</v>
      </c>
      <c r="K20" s="11">
        <f>ROWS($K$4:K20)</f>
        <v>17</v>
      </c>
      <c r="L20" s="12">
        <f>IF(ValuesEntered2,IF(הפחתה5[[#This Row],[מס'']]&lt;=תקופת_ההלוואה2,IF(ROW()-ROW(הפחתה5[[#Headers],[תאריך]])=1,LoanStart2,IF(R19&gt;0,EDATE(L19,1),"")),""),"")</f>
        <v>45870</v>
      </c>
      <c r="M20" s="13">
        <f>IF(ROW()-ROW(הפחתה5[[#Headers],[יתרת פתיחה]])=1,סכום_הלוואה2,IF(הפחתה5[[#This Row],[תאריך]]="",0,INDEX(הפחתה5[], ROW()-4,8)))</f>
        <v>291320.07797031791</v>
      </c>
      <c r="N20" s="13">
        <f>IF(ValuesEntered2,IF(ROW()-ROW(הפחתה5[[#Headers],[ריבית]])=1,-IPMT(שיעור_ריבית2/12,1,תקופת_ההלוואה2-ROWS($L$4:L20)+1,הפחתה5[[#This Row],[יתרת פתיחה]]),IFERROR(-IPMT(שיעור_ריבית2/12,1,הפחתה5[[#This Row],[תשלומים
שנותרו]],M21),0)),0)</f>
        <v>1138.8074376792504</v>
      </c>
      <c r="O20" s="13">
        <f>IFERROR(IF(AND(ValuesEntered2,הפחתה5[[#This Row],[תאריך]]&lt;&gt;""),-PPMT(שיעור_ריבית2/12,1,תקופת_ההלוואה2-ROWS($L$4:L20)+1,הפחתה5[[#This Row],[יתרת פתיחה]]),""),0)</f>
        <v>560.73217987098076</v>
      </c>
      <c r="P20" s="13">
        <f>(הפחתה5[[#This Row],[יתרת פתיחה]])*(מדד2/12)</f>
        <v>0</v>
      </c>
      <c r="Q20" s="13">
        <f>IF(הפחתה5[[#This Row],[תאריך]]="",0,הפחתה5[[#This Row],[ריבית]]+הפחתה5[[#This Row],[קרן]]+הפחתה5[[#This Row],[מדד]])</f>
        <v>1699.539617550231</v>
      </c>
      <c r="R20" s="13">
        <f>IF(הפחתה5[[#This Row],[תאריך]]="",0,הפחתה5[[#This Row],[יתרת פתיחה]]-הפחתה5[[#This Row],[קרן]]+הפחתה5[[#This Row],[מדד]])</f>
        <v>290759.34579044691</v>
      </c>
      <c r="S20" s="11">
        <f>IF(הפחתה5[[#This Row],[יתרת
סגירה]]&gt;0,LastRow2-ROW(),0)</f>
        <v>283</v>
      </c>
      <c r="T20" s="11">
        <f>ROWS($T$4:T20)</f>
        <v>17</v>
      </c>
      <c r="U20" s="12">
        <f ca="1">IF(ValuesEntered3,IF(הפחתה7[[#This Row],[מס'']]&lt;=תקופת_ההלוואה3,IF(ROW()-ROW(הפחתה7[[#Headers],[תאריך]])=1,LoanStart3,IF(AA19&gt;0,EDATE(U19,1),"")),""),"")</f>
        <v>46106</v>
      </c>
      <c r="V20" s="13">
        <f ca="1">IF(ROW()-ROW(הפחתה7[[#Headers],[יתרת פתיחה]])=1,סכום_הלוואה3,IF(הפחתה7[[#This Row],[תאריך]]="",0,INDEX(הפחתה7[], ROW()-4,8)))</f>
        <v>98590.321587738741</v>
      </c>
      <c r="W20" s="13">
        <f ca="1">IF(ValuesEntered3,IF(ROW()-ROW(הפחתה7[[#Headers],[ריבית]])=1,-IPMT(שיעור_ריבית3/12,1,תקופת_ההלוואה3-ROWS($C$4:U20)+1,הפחתה7[[#This Row],[יתרת פתיחה]]),IFERROR(-IPMT(שיעור_ריבית3/12,1,הפחתה7[[#This Row],[תשלומים
שנותרו]],V21),0)),0)</f>
        <v>188.77847625960024</v>
      </c>
      <c r="X20" s="13">
        <f ca="1">IFERROR(IF(AND(ValuesEntered3,הפחתה7[[#This Row],[תאריך]]&lt;&gt;""),-PPMT(שיעור_ריבית3/12,1,תקופת_ההלוואה3-ROWS($C$4:U20)+1,הפחתה7[[#This Row],[יתרת פתיחה]]),""),0)</f>
        <v>261.52074189788004</v>
      </c>
      <c r="Y20" s="13">
        <f ca="1">(הפחתה7[[#This Row],[יתרת פתיחה]])*(מדד3/12)</f>
        <v>164.31720264623124</v>
      </c>
      <c r="Z20" s="13">
        <f ca="1">IF(הפחתה7[[#This Row],[תאריך]]="",0,הפחתה7[[#This Row],[ריבית]]+הפחתה7[[#This Row],[קרן]]+הפחתה7[[#This Row],[מדד]])</f>
        <v>614.61642080371143</v>
      </c>
      <c r="AA20" s="13">
        <f ca="1">IF(הפחתה7[[#This Row],[תאריך]]="",0,הפחתה7[[#This Row],[יתרת פתיחה]]-הפחתה7[[#This Row],[קרן]]+הפחתה7[[#This Row],[מדד]])</f>
        <v>98493.118048487086</v>
      </c>
      <c r="AB20" s="11">
        <f ca="1">IF(הפחתה7[[#This Row],[יתרת
סגירה]]&gt;0,LastRow3-ROW(),0)</f>
        <v>283</v>
      </c>
      <c r="AC20" s="17">
        <f>ROWS($AC$4:AC20)</f>
        <v>17</v>
      </c>
      <c r="AD20" s="18" t="str">
        <f ca="1">IF(ValuesEntered4,IF(הפחתה8[[#This Row],[מס'']]&lt;=תקופת_ההלוואה4,IF(ROW()-ROW(הפחתה8[[#Headers],[תאריך]])=1,LoanStart4,IF(AJ19&gt;0,EDATE(AD19,1),"")),""),"")</f>
        <v/>
      </c>
      <c r="AE20" s="19">
        <f ca="1">IF(ROW()-ROW(הפחתה8[[#Headers],[יתרת פתיחה]])=1,סכום_הלוואה4,IF(הפחתה8[[#This Row],[תאריך]]="",0,INDEX(הפחתה8[], ROW()-4,8)))</f>
        <v>0</v>
      </c>
      <c r="AF20" s="19">
        <f ca="1">IF(ValuesEntered4,IF(ROW()-ROW(הפחתה8[[#Headers],[ריבית]])=1,-IPMT(שיעור_ריבית4/12,1,תקופת_ההלוואה4-ROWS($C$4:AD20)+1,הפחתה8[[#This Row],[יתרת פתיחה]]),IFERROR(-IPMT(שיעור_ריבית4/12,1,הפחתה8[[#This Row],[תשלומים
שנותרו]],AE21),0)),0)</f>
        <v>0</v>
      </c>
      <c r="AG20" s="19" t="str">
        <f ca="1">IFERROR(IF(AND(ValuesEntered4,הפחתה8[[#This Row],[תאריך]]&lt;&gt;""),-PPMT(שיעור_ריבית4/12,1,תקופת_ההלוואה4-ROWS($C$4:AD20)+1,הפחתה8[[#This Row],[יתרת פתיחה]]),""),0)</f>
        <v/>
      </c>
      <c r="AH20" s="19">
        <f ca="1">(הפחתה8[[#This Row],[יתרת פתיחה]])*(מדד4/12)</f>
        <v>0</v>
      </c>
      <c r="AI20" s="19">
        <f ca="1">IF(הפחתה8[[#This Row],[תאריך]]="",0,הפחתה8[[#This Row],[ריבית]]+הפחתה8[[#This Row],[קרן]]+הפחתה8[[#This Row],[מדד]])</f>
        <v>0</v>
      </c>
      <c r="AJ20" s="19">
        <f ca="1">IF(הפחתה8[[#This Row],[תאריך]]="",0,הפחתה8[[#This Row],[יתרת פתיחה]]-הפחתה8[[#This Row],[קרן]])</f>
        <v>0</v>
      </c>
      <c r="AK20" s="20">
        <f ca="1">IF(הפחתה8[[#This Row],[יתרת
סגירה]]&gt;0,LastRow4-ROW(),0)</f>
        <v>0</v>
      </c>
    </row>
    <row r="21" spans="1:37" ht="15" customHeight="1" x14ac:dyDescent="0.25">
      <c r="A21" s="8"/>
      <c r="B21" s="11">
        <f>ROWS($B$4:B21)</f>
        <v>18</v>
      </c>
      <c r="C21" s="12">
        <f>IF(ValuesEntered,IF(הפחתה[[#This Row],[מס'']]&lt;=תקופת_ההלוואה,IF(ROW()-ROW(הפחתה[[#Headers],[תאריך]])=1,LoanStart,IF(I20&gt;0,EDATE(C20,1),"")),""),"")</f>
        <v>45901</v>
      </c>
      <c r="D21" s="13">
        <f>IF(ROW()-ROW(הפחתה[[#Headers],[יתרת פתיחה]])=1,סכום_הלוואה,IF(הפחתה[[#This Row],[תאריך]]="",0,INDEX(הפחתה[], ROW()-4,8)))</f>
        <v>587990.1884680806</v>
      </c>
      <c r="E21" s="13">
        <f>IF(ValuesEntered,IF(ROW()-ROW(הפחתה[[#Headers],[ריבית]])=1,-IPMT(שיעור_ריבית/12,1,תקופת_ההלוואה-ROWS($C$4:C21)+1,הפחתה[[#This Row],[יתרת פתיחה]]),IFERROR(-IPMT(שיעור_ריבית/12,1,הפחתה[[#This Row],[תשלומים
שנותרו]],D22),0)),0)</f>
        <v>2593.7109843858134</v>
      </c>
      <c r="F21" s="13">
        <f>IFERROR(IF(AND(ValuesEntered,הפחתה[[#This Row],[תאריך]]&lt;&gt;""),-PPMT(שיעור_ריבית/12,1,תקופת_ההלוואה-ROWS($C$4:C21)+1,הפחתה[[#This Row],[יתרת פתיחה]]),""),0)</f>
        <v>734.87124865119472</v>
      </c>
      <c r="G21" s="13">
        <f>(הפחתה[[#This Row],[יתרת פתיחה]])*(מדד/12)</f>
        <v>0</v>
      </c>
      <c r="H21" s="13">
        <f>IF(הפחתה[[#This Row],[תאריך]]="",0,הפחתה[[#This Row],[ריבית]]+הפחתה[[#This Row],[קרן]]+הפחתה[[#This Row],[מדד]])</f>
        <v>3328.5822330370083</v>
      </c>
      <c r="I21" s="13">
        <f>IF(הפחתה[[#This Row],[תאריך]]="",0,הפחתה[[#This Row],[יתרת פתיחה]]-הפחתה[[#This Row],[קרן]]+הפחתה[[#This Row],[מדד]])</f>
        <v>587255.31721942942</v>
      </c>
      <c r="J21" s="11">
        <f>IF(הפחתה[[#This Row],[יתרת
סגירה]]&gt;0,LastRow-ROW(),0)</f>
        <v>342</v>
      </c>
      <c r="K21" s="11">
        <f>ROWS($K$4:K21)</f>
        <v>18</v>
      </c>
      <c r="L21" s="12">
        <f>IF(ValuesEntered2,IF(הפחתה5[[#This Row],[מס'']]&lt;=תקופת_ההלוואה2,IF(ROW()-ROW(הפחתה5[[#Headers],[תאריך]])=1,LoanStart2,IF(R20&gt;0,EDATE(L20,1),"")),""),"")</f>
        <v>45901</v>
      </c>
      <c r="M21" s="13">
        <f>IF(ROW()-ROW(הפחתה5[[#Headers],[יתרת פתיחה]])=1,סכום_הלוואה2,IF(הפחתה5[[#This Row],[תאריך]]="",0,INDEX(הפחתה5[], ROW()-4,8)))</f>
        <v>290759.34579044691</v>
      </c>
      <c r="N21" s="13">
        <f>IF(ValuesEntered2,IF(ROW()-ROW(הפחתה5[[#Headers],[ריבית]])=1,-IPMT(שיעור_ריבית2/12,1,תקופת_ההלוואה2-ROWS($L$4:L21)+1,הפחתה5[[#This Row],[יתרת פתיחה]]),IFERROR(-IPMT(שיעור_ריבית2/12,1,הפחתה5[[#This Row],[תשלומים
שנותרו]],M22),0)),0)</f>
        <v>1136.6026348540242</v>
      </c>
      <c r="O21" s="13">
        <f>IFERROR(IF(AND(ValuesEntered2,הפחתה5[[#This Row],[תאריך]]&lt;&gt;""),-PPMT(שיעור_ריבית2/12,1,תקופת_ההלוואה2-ROWS($L$4:L21)+1,הפחתה5[[#This Row],[יתרת פתיחה]]),""),0)</f>
        <v>562.928380908809</v>
      </c>
      <c r="P21" s="13">
        <f>(הפחתה5[[#This Row],[יתרת פתיחה]])*(מדד2/12)</f>
        <v>0</v>
      </c>
      <c r="Q21" s="13">
        <f>IF(הפחתה5[[#This Row],[תאריך]]="",0,הפחתה5[[#This Row],[ריבית]]+הפחתה5[[#This Row],[קרן]]+הפחתה5[[#This Row],[מדד]])</f>
        <v>1699.5310157628332</v>
      </c>
      <c r="R21" s="13">
        <f>IF(הפחתה5[[#This Row],[תאריך]]="",0,הפחתה5[[#This Row],[יתרת פתיחה]]-הפחתה5[[#This Row],[קרן]]+הפחתה5[[#This Row],[מדד]])</f>
        <v>290196.41740953812</v>
      </c>
      <c r="S21" s="11">
        <f>IF(הפחתה5[[#This Row],[יתרת
סגירה]]&gt;0,LastRow2-ROW(),0)</f>
        <v>282</v>
      </c>
      <c r="T21" s="11">
        <f>ROWS($T$4:T21)</f>
        <v>18</v>
      </c>
      <c r="U21" s="12">
        <f ca="1">IF(ValuesEntered3,IF(הפחתה7[[#This Row],[מס'']]&lt;=תקופת_ההלוואה3,IF(ROW()-ROW(הפחתה7[[#Headers],[תאריך]])=1,LoanStart3,IF(AA20&gt;0,EDATE(U20,1),"")),""),"")</f>
        <v>46137</v>
      </c>
      <c r="V21" s="13">
        <f ca="1">IF(ROW()-ROW(הפחתה7[[#Headers],[יתרת פתיחה]])=1,סכום_הלוואה3,IF(הפחתה7[[#This Row],[תאריך]]="",0,INDEX(הפחתה7[], ROW()-4,8)))</f>
        <v>98493.118048487086</v>
      </c>
      <c r="W21" s="13">
        <f ca="1">IF(ValuesEntered3,IF(ROW()-ROW(הפחתה7[[#Headers],[ריבית]])=1,-IPMT(שיעור_ריבית3/12,1,תקופת_ההלוואה3-ROWS($C$4:U21)+1,הפחתה7[[#This Row],[יתרת פתיחה]]),IFERROR(-IPMT(שיעור_ריבית3/12,1,הפחתה7[[#This Row],[תשלומים
שנותרו]],V22),0)),0)</f>
        <v>188.59005899836441</v>
      </c>
      <c r="X21" s="13">
        <f ca="1">IFERROR(IF(AND(ValuesEntered3,הפחתה7[[#This Row],[תאריך]]&lt;&gt;""),-PPMT(שיעור_ריבית3/12,1,תקופת_ההלוואה3-ROWS($C$4:U21)+1,הפחתה7[[#This Row],[יתרת פתיחה]]),""),0)</f>
        <v>262.45985478356607</v>
      </c>
      <c r="Y21" s="13">
        <f ca="1">(הפחתה7[[#This Row],[יתרת פתיחה]])*(מדד3/12)</f>
        <v>164.1551967474785</v>
      </c>
      <c r="Z21" s="13">
        <f ca="1">IF(הפחתה7[[#This Row],[תאריך]]="",0,הפחתה7[[#This Row],[ריבית]]+הפחתה7[[#This Row],[קרן]]+הפחתה7[[#This Row],[מדד]])</f>
        <v>615.20511052940901</v>
      </c>
      <c r="AA21" s="13">
        <f ca="1">IF(הפחתה7[[#This Row],[תאריך]]="",0,הפחתה7[[#This Row],[יתרת פתיחה]]-הפחתה7[[#This Row],[קרן]]+הפחתה7[[#This Row],[מדד]])</f>
        <v>98394.813390451003</v>
      </c>
      <c r="AB21" s="11">
        <f ca="1">IF(הפחתה7[[#This Row],[יתרת
סגירה]]&gt;0,LastRow3-ROW(),0)</f>
        <v>282</v>
      </c>
      <c r="AC21" s="17">
        <f>ROWS($AC$4:AC21)</f>
        <v>18</v>
      </c>
      <c r="AD21" s="18" t="str">
        <f ca="1">IF(ValuesEntered4,IF(הפחתה8[[#This Row],[מס'']]&lt;=תקופת_ההלוואה4,IF(ROW()-ROW(הפחתה8[[#Headers],[תאריך]])=1,LoanStart4,IF(AJ20&gt;0,EDATE(AD20,1),"")),""),"")</f>
        <v/>
      </c>
      <c r="AE21" s="19">
        <f ca="1">IF(ROW()-ROW(הפחתה8[[#Headers],[יתרת פתיחה]])=1,סכום_הלוואה4,IF(הפחתה8[[#This Row],[תאריך]]="",0,INDEX(הפחתה8[], ROW()-4,8)))</f>
        <v>0</v>
      </c>
      <c r="AF21" s="19">
        <f ca="1">IF(ValuesEntered4,IF(ROW()-ROW(הפחתה8[[#Headers],[ריבית]])=1,-IPMT(שיעור_ריבית4/12,1,תקופת_ההלוואה4-ROWS($C$4:AD21)+1,הפחתה8[[#This Row],[יתרת פתיחה]]),IFERROR(-IPMT(שיעור_ריבית4/12,1,הפחתה8[[#This Row],[תשלומים
שנותרו]],AE22),0)),0)</f>
        <v>0</v>
      </c>
      <c r="AG21" s="19" t="str">
        <f ca="1">IFERROR(IF(AND(ValuesEntered4,הפחתה8[[#This Row],[תאריך]]&lt;&gt;""),-PPMT(שיעור_ריבית4/12,1,תקופת_ההלוואה4-ROWS($C$4:AD21)+1,הפחתה8[[#This Row],[יתרת פתיחה]]),""),0)</f>
        <v/>
      </c>
      <c r="AH21" s="19">
        <f ca="1">(הפחתה8[[#This Row],[יתרת פתיחה]])*(מדד4/12)</f>
        <v>0</v>
      </c>
      <c r="AI21" s="19">
        <f ca="1">IF(הפחתה8[[#This Row],[תאריך]]="",0,הפחתה8[[#This Row],[ריבית]]+הפחתה8[[#This Row],[קרן]]+הפחתה8[[#This Row],[מדד]])</f>
        <v>0</v>
      </c>
      <c r="AJ21" s="19">
        <f ca="1">IF(הפחתה8[[#This Row],[תאריך]]="",0,הפחתה8[[#This Row],[יתרת פתיחה]]-הפחתה8[[#This Row],[קרן]])</f>
        <v>0</v>
      </c>
      <c r="AK21" s="20">
        <f ca="1">IF(הפחתה8[[#This Row],[יתרת
סגירה]]&gt;0,LastRow4-ROW(),0)</f>
        <v>0</v>
      </c>
    </row>
    <row r="22" spans="1:37" ht="15" customHeight="1" x14ac:dyDescent="0.25">
      <c r="A22" s="8"/>
      <c r="B22" s="11">
        <f>ROWS($B$4:B22)</f>
        <v>19</v>
      </c>
      <c r="C22" s="12">
        <f>IF(ValuesEntered,IF(הפחתה[[#This Row],[מס'']]&lt;=תקופת_ההלוואה,IF(ROW()-ROW(הפחתה[[#Headers],[תאריך]])=1,LoanStart,IF(I21&gt;0,EDATE(C21,1),"")),""),"")</f>
        <v>45931</v>
      </c>
      <c r="D22" s="13">
        <f>IF(ROW()-ROW(הפחתה[[#Headers],[יתרת פתיחה]])=1,סכום_הלוואה,IF(הפחתה[[#This Row],[תאריך]]="",0,INDEX(הפחתה[], ROW()-4,8)))</f>
        <v>587255.31721942942</v>
      </c>
      <c r="E22" s="13">
        <f>IF(ValuesEntered,IF(ROW()-ROW(הפחתה[[#Headers],[ריבית]])=1,-IPMT(שיעור_ריבית/12,1,תקופת_ההלוואה-ROWS($C$4:C22)+1,הפחתה[[#This Row],[יתרת פתיחה]]),IFERROR(-IPMT(שיעור_ריבית/12,1,הפחתה[[#This Row],[תשלומים
שנותרו]],D23),0)),0)</f>
        <v>2590.4509679449825</v>
      </c>
      <c r="F22" s="13">
        <f>IFERROR(IF(AND(ValuesEntered,הפחתה[[#This Row],[תאריך]]&lt;&gt;""),-PPMT(שיעור_ריבית/12,1,תקופת_ההלוואה-ROWS($C$4:C22)+1,הפחתה[[#This Row],[יתרת פתיחה]]),""),0)</f>
        <v>738.11692999940431</v>
      </c>
      <c r="G22" s="13">
        <f>(הפחתה[[#This Row],[יתרת פתיחה]])*(מדד/12)</f>
        <v>0</v>
      </c>
      <c r="H22" s="13">
        <f>IF(הפחתה[[#This Row],[תאריך]]="",0,הפחתה[[#This Row],[ריבית]]+הפחתה[[#This Row],[קרן]]+הפחתה[[#This Row],[מדד]])</f>
        <v>3328.5678979443869</v>
      </c>
      <c r="I22" s="13">
        <f>IF(הפחתה[[#This Row],[תאריך]]="",0,הפחתה[[#This Row],[יתרת פתיחה]]-הפחתה[[#This Row],[קרן]]+הפחתה[[#This Row],[מדד]])</f>
        <v>586517.20028942998</v>
      </c>
      <c r="J22" s="11">
        <f>IF(הפחתה[[#This Row],[יתרת
סגירה]]&gt;0,LastRow-ROW(),0)</f>
        <v>341</v>
      </c>
      <c r="K22" s="11">
        <f>ROWS($K$4:K22)</f>
        <v>19</v>
      </c>
      <c r="L22" s="12">
        <f>IF(ValuesEntered2,IF(הפחתה5[[#This Row],[מס'']]&lt;=תקופת_ההלוואה2,IF(ROW()-ROW(הפחתה5[[#Headers],[תאריך]])=1,LoanStart2,IF(R21&gt;0,EDATE(L21,1),"")),""),"")</f>
        <v>45931</v>
      </c>
      <c r="M22" s="13">
        <f>IF(ROW()-ROW(הפחתה5[[#Headers],[יתרת פתיחה]])=1,סכום_הלוואה2,IF(הפחתה5[[#This Row],[תאריך]]="",0,INDEX(הפחתה5[], ROW()-4,8)))</f>
        <v>290196.41740953812</v>
      </c>
      <c r="N22" s="13">
        <f>IF(ValuesEntered2,IF(ROW()-ROW(הפחתה5[[#Headers],[ריבית]])=1,-IPMT(שיעור_ריבית2/12,1,תקופת_ההלוואה2-ROWS($L$4:L22)+1,הפחתה5[[#This Row],[יתרת פתיחה]]),IFERROR(-IPMT(שיעור_ריבית2/12,1,הפחתה5[[#This Row],[תשלומים
שנותרו]],M23),0)),0)</f>
        <v>1134.3891965510659</v>
      </c>
      <c r="O22" s="13">
        <f>IFERROR(IF(AND(ValuesEntered2,הפחתה5[[#This Row],[תאריך]]&lt;&gt;""),-PPMT(שיעור_ריבית2/12,1,תקופת_ההלוואה2-ROWS($L$4:L22)+1,הפחתה5[[#This Row],[יתרת פתיחה]]),""),0)</f>
        <v>565.13318373403479</v>
      </c>
      <c r="P22" s="13">
        <f>(הפחתה5[[#This Row],[יתרת פתיחה]])*(מדד2/12)</f>
        <v>0</v>
      </c>
      <c r="Q22" s="13">
        <f>IF(הפחתה5[[#This Row],[תאריך]]="",0,הפחתה5[[#This Row],[ריבית]]+הפחתה5[[#This Row],[קרן]]+הפחתה5[[#This Row],[מדד]])</f>
        <v>1699.5223802851006</v>
      </c>
      <c r="R22" s="13">
        <f>IF(הפחתה5[[#This Row],[תאריך]]="",0,הפחתה5[[#This Row],[יתרת פתיחה]]-הפחתה5[[#This Row],[קרן]]+הפחתה5[[#This Row],[מדד]])</f>
        <v>289631.28422580409</v>
      </c>
      <c r="S22" s="11">
        <f>IF(הפחתה5[[#This Row],[יתרת
סגירה]]&gt;0,LastRow2-ROW(),0)</f>
        <v>281</v>
      </c>
      <c r="T22" s="11">
        <f>ROWS($T$4:T22)</f>
        <v>19</v>
      </c>
      <c r="U22" s="12">
        <f ca="1">IF(ValuesEntered3,IF(הפחתה7[[#This Row],[מס'']]&lt;=תקופת_ההלוואה3,IF(ROW()-ROW(הפחתה7[[#Headers],[תאריך]])=1,LoanStart3,IF(AA21&gt;0,EDATE(U21,1),"")),""),"")</f>
        <v>46167</v>
      </c>
      <c r="V22" s="13">
        <f ca="1">IF(ROW()-ROW(הפחתה7[[#Headers],[יתרת פתיחה]])=1,סכום_הלוואה3,IF(הפחתה7[[#This Row],[תאריך]]="",0,INDEX(הפחתה7[], ROW()-4,8)))</f>
        <v>98394.813390451003</v>
      </c>
      <c r="W22" s="13">
        <f ca="1">IF(ValuesEntered3,IF(ROW()-ROW(הפחתה7[[#Headers],[ריבית]])=1,-IPMT(שיעור_ריבית3/12,1,תקופת_ההלוואה3-ROWS($C$4:U22)+1,הפחתה7[[#This Row],[יתרת פתיחה]]),IFERROR(-IPMT(שיעור_ריבית3/12,1,הפחתה7[[#This Row],[תשלומים
שנותרו]],V23),0)),0)</f>
        <v>188.39952126810914</v>
      </c>
      <c r="X22" s="13">
        <f ca="1">IFERROR(IF(AND(ValuesEntered3,הפחתה7[[#This Row],[תאריך]]&lt;&gt;""),-PPMT(שיעור_ריבית3/12,1,תקופת_ההלוואה3-ROWS($C$4:U22)+1,הפחתה7[[#This Row],[יתרת פתיחה]]),""),0)</f>
        <v>263.40234534914975</v>
      </c>
      <c r="Y22" s="13">
        <f ca="1">(הפחתה7[[#This Row],[יתרת פתיחה]])*(מדד3/12)</f>
        <v>163.99135565075167</v>
      </c>
      <c r="Z22" s="13">
        <f ca="1">IF(הפחתה7[[#This Row],[תאריך]]="",0,הפחתה7[[#This Row],[ריבית]]+הפחתה7[[#This Row],[קרן]]+הפחתה7[[#This Row],[מדד]])</f>
        <v>615.7932222680106</v>
      </c>
      <c r="AA22" s="13">
        <f ca="1">IF(הפחתה7[[#This Row],[תאריך]]="",0,הפחתה7[[#This Row],[יתרת פתיחה]]-הפחתה7[[#This Row],[קרן]]+הפחתה7[[#This Row],[מדד]])</f>
        <v>98295.402400752602</v>
      </c>
      <c r="AB22" s="11">
        <f ca="1">IF(הפחתה7[[#This Row],[יתרת
סגירה]]&gt;0,LastRow3-ROW(),0)</f>
        <v>281</v>
      </c>
      <c r="AC22" s="17">
        <f>ROWS($AC$4:AC22)</f>
        <v>19</v>
      </c>
      <c r="AD22" s="18" t="str">
        <f ca="1">IF(ValuesEntered4,IF(הפחתה8[[#This Row],[מס'']]&lt;=תקופת_ההלוואה4,IF(ROW()-ROW(הפחתה8[[#Headers],[תאריך]])=1,LoanStart4,IF(AJ21&gt;0,EDATE(AD21,1),"")),""),"")</f>
        <v/>
      </c>
      <c r="AE22" s="19">
        <f ca="1">IF(ROW()-ROW(הפחתה8[[#Headers],[יתרת פתיחה]])=1,סכום_הלוואה4,IF(הפחתה8[[#This Row],[תאריך]]="",0,INDEX(הפחתה8[], ROW()-4,8)))</f>
        <v>0</v>
      </c>
      <c r="AF22" s="19">
        <f ca="1">IF(ValuesEntered4,IF(ROW()-ROW(הפחתה8[[#Headers],[ריבית]])=1,-IPMT(שיעור_ריבית4/12,1,תקופת_ההלוואה4-ROWS($C$4:AD22)+1,הפחתה8[[#This Row],[יתרת פתיחה]]),IFERROR(-IPMT(שיעור_ריבית4/12,1,הפחתה8[[#This Row],[תשלומים
שנותרו]],AE23),0)),0)</f>
        <v>0</v>
      </c>
      <c r="AG22" s="19" t="str">
        <f ca="1">IFERROR(IF(AND(ValuesEntered4,הפחתה8[[#This Row],[תאריך]]&lt;&gt;""),-PPMT(שיעור_ריבית4/12,1,תקופת_ההלוואה4-ROWS($C$4:AD22)+1,הפחתה8[[#This Row],[יתרת פתיחה]]),""),0)</f>
        <v/>
      </c>
      <c r="AH22" s="19">
        <f ca="1">(הפחתה8[[#This Row],[יתרת פתיחה]])*(מדד4/12)</f>
        <v>0</v>
      </c>
      <c r="AI22" s="19">
        <f ca="1">IF(הפחתה8[[#This Row],[תאריך]]="",0,הפחתה8[[#This Row],[ריבית]]+הפחתה8[[#This Row],[קרן]]+הפחתה8[[#This Row],[מדד]])</f>
        <v>0</v>
      </c>
      <c r="AJ22" s="19">
        <f ca="1">IF(הפחתה8[[#This Row],[תאריך]]="",0,הפחתה8[[#This Row],[יתרת פתיחה]]-הפחתה8[[#This Row],[קרן]])</f>
        <v>0</v>
      </c>
      <c r="AK22" s="20">
        <f ca="1">IF(הפחתה8[[#This Row],[יתרת
סגירה]]&gt;0,LastRow4-ROW(),0)</f>
        <v>0</v>
      </c>
    </row>
    <row r="23" spans="1:37" ht="15" customHeight="1" x14ac:dyDescent="0.25">
      <c r="A23" s="8"/>
      <c r="B23" s="11">
        <f>ROWS($B$4:B23)</f>
        <v>20</v>
      </c>
      <c r="C23" s="12">
        <f>IF(ValuesEntered,IF(הפחתה[[#This Row],[מס'']]&lt;=תקופת_ההלוואה,IF(ROW()-ROW(הפחתה[[#Headers],[תאריך]])=1,LoanStart,IF(I22&gt;0,EDATE(C22,1),"")),""),"")</f>
        <v>45962</v>
      </c>
      <c r="D23" s="13">
        <f>IF(ROW()-ROW(הפחתה[[#Headers],[יתרת פתיחה]])=1,סכום_הלוואה,IF(הפחתה[[#This Row],[תאריך]]="",0,INDEX(הפחתה[], ROW()-4,8)))</f>
        <v>586517.20028942998</v>
      </c>
      <c r="E23" s="13">
        <f>IF(ValuesEntered,IF(ROW()-ROW(הפחתה[[#Headers],[ריבית]])=1,-IPMT(שיעור_ריבית/12,1,תקופת_ההלוואה-ROWS($C$4:C23)+1,הפחתה[[#This Row],[יתרת פתיחה]]),IFERROR(-IPMT(שיעור_ריבית/12,1,הפחתה[[#This Row],[תשלומים
שנותרו]],D24),0)),0)</f>
        <v>2587.1765530982047</v>
      </c>
      <c r="F23" s="13">
        <f>IFERROR(IF(AND(ValuesEntered,הפחתה[[#This Row],[תאריך]]&lt;&gt;""),-PPMT(שיעור_ריבית/12,1,תקופת_ההלוואה-ROWS($C$4:C23)+1,הפחתה[[#This Row],[יתרת פתיחה]]),""),0)</f>
        <v>741.37694644023486</v>
      </c>
      <c r="G23" s="13">
        <f>(הפחתה[[#This Row],[יתרת פתיחה]])*(מדד/12)</f>
        <v>0</v>
      </c>
      <c r="H23" s="13">
        <f>IF(הפחתה[[#This Row],[תאריך]]="",0,הפחתה[[#This Row],[ריבית]]+הפחתה[[#This Row],[קרן]]+הפחתה[[#This Row],[מדד]])</f>
        <v>3328.5534995384396</v>
      </c>
      <c r="I23" s="13">
        <f>IF(הפחתה[[#This Row],[תאריך]]="",0,הפחתה[[#This Row],[יתרת פתיחה]]-הפחתה[[#This Row],[קרן]]+הפחתה[[#This Row],[מדד]])</f>
        <v>585775.82334298978</v>
      </c>
      <c r="J23" s="11">
        <f>IF(הפחתה[[#This Row],[יתרת
סגירה]]&gt;0,LastRow-ROW(),0)</f>
        <v>340</v>
      </c>
      <c r="K23" s="11">
        <f>ROWS($K$4:K23)</f>
        <v>20</v>
      </c>
      <c r="L23" s="12">
        <f>IF(ValuesEntered2,IF(הפחתה5[[#This Row],[מס'']]&lt;=תקופת_ההלוואה2,IF(ROW()-ROW(הפחתה5[[#Headers],[תאריך]])=1,LoanStart2,IF(R22&gt;0,EDATE(L22,1),"")),""),"")</f>
        <v>45962</v>
      </c>
      <c r="M23" s="13">
        <f>IF(ROW()-ROW(הפחתה5[[#Headers],[יתרת פתיחה]])=1,סכום_הלוואה2,IF(הפחתה5[[#This Row],[תאריך]]="",0,INDEX(הפחתה5[], ROW()-4,8)))</f>
        <v>289631.28422580409</v>
      </c>
      <c r="N23" s="13">
        <f>IF(ValuesEntered2,IF(ROW()-ROW(הפחתה5[[#Headers],[ריבית]])=1,-IPMT(שיעור_ריבית2/12,1,תקופת_ההלוואה2-ROWS($L$4:L23)+1,הפחתה5[[#This Row],[יתרת פתיחה]]),IFERROR(-IPMT(שיעור_ריבית2/12,1,הפחתה5[[#This Row],[תשלומים
שנותרו]],M24),0)),0)</f>
        <v>1132.1670889480877</v>
      </c>
      <c r="O23" s="13">
        <f>IFERROR(IF(AND(ValuesEntered2,הפחתה5[[#This Row],[תאריך]]&lt;&gt;""),-PPMT(שיעור_ריבית2/12,1,תקופת_ההלוואה2-ROWS($L$4:L23)+1,הפחתה5[[#This Row],[יתרת פתיחה]]),""),0)</f>
        <v>567.34662203699338</v>
      </c>
      <c r="P23" s="13">
        <f>(הפחתה5[[#This Row],[יתרת פתיחה]])*(מדד2/12)</f>
        <v>0</v>
      </c>
      <c r="Q23" s="13">
        <f>IF(הפחתה5[[#This Row],[תאריך]]="",0,הפחתה5[[#This Row],[ריבית]]+הפחתה5[[#This Row],[קרן]]+הפחתה5[[#This Row],[מדד]])</f>
        <v>1699.5137109850812</v>
      </c>
      <c r="R23" s="13">
        <f>IF(הפחתה5[[#This Row],[תאריך]]="",0,הפחתה5[[#This Row],[יתרת פתיחה]]-הפחתה5[[#This Row],[קרן]]+הפחתה5[[#This Row],[מדד]])</f>
        <v>289063.93760376709</v>
      </c>
      <c r="S23" s="11">
        <f>IF(הפחתה5[[#This Row],[יתרת
סגירה]]&gt;0,LastRow2-ROW(),0)</f>
        <v>280</v>
      </c>
      <c r="T23" s="11">
        <f>ROWS($T$4:T23)</f>
        <v>20</v>
      </c>
      <c r="U23" s="12">
        <f ca="1">IF(ValuesEntered3,IF(הפחתה7[[#This Row],[מס'']]&lt;=תקופת_ההלוואה3,IF(ROW()-ROW(הפחתה7[[#Headers],[תאריך]])=1,LoanStart3,IF(AA22&gt;0,EDATE(U22,1),"")),""),"")</f>
        <v>46198</v>
      </c>
      <c r="V23" s="13">
        <f ca="1">IF(ROW()-ROW(הפחתה7[[#Headers],[יתרת פתיחה]])=1,סכום_הלוואה3,IF(הפחתה7[[#This Row],[תאריך]]="",0,INDEX(הפחתה7[], ROW()-4,8)))</f>
        <v>98295.402400752602</v>
      </c>
      <c r="W23" s="13">
        <f ca="1">IF(ValuesEntered3,IF(ROW()-ROW(הפחתה7[[#Headers],[ריבית]])=1,-IPMT(שיעור_ריבית3/12,1,תקופת_ההלוואה3-ROWS($C$4:U23)+1,הפחתה7[[#This Row],[יתרת פתיחה]]),IFERROR(-IPMT(שיעור_ריבית3/12,1,הפחתה7[[#This Row],[תשלומים
שנותרו]],V24),0)),0)</f>
        <v>188.20685303743662</v>
      </c>
      <c r="X23" s="13">
        <f ca="1">IFERROR(IF(AND(ValuesEntered3,הפחתה7[[#This Row],[תאריך]]&lt;&gt;""),-PPMT(שיעור_ריבית3/12,1,תקופת_ההלוואה3-ROWS($C$4:U23)+1,הפחתה7[[#This Row],[יתרת פתיחה]]),""),0)</f>
        <v>264.34822580140792</v>
      </c>
      <c r="Y23" s="13">
        <f ca="1">(הפחתה7[[#This Row],[יתרת פתיחה]])*(מדד3/12)</f>
        <v>163.825670667921</v>
      </c>
      <c r="Z23" s="13">
        <f ca="1">IF(הפחתה7[[#This Row],[תאריך]]="",0,הפחתה7[[#This Row],[ריבית]]+הפחתה7[[#This Row],[קרן]]+הפחתה7[[#This Row],[מדד]])</f>
        <v>616.3807495067656</v>
      </c>
      <c r="AA23" s="13">
        <f ca="1">IF(הפחתה7[[#This Row],[תאריך]]="",0,הפחתה7[[#This Row],[יתרת פתיחה]]-הפחתה7[[#This Row],[קרן]]+הפחתה7[[#This Row],[מדד]])</f>
        <v>98194.879845619114</v>
      </c>
      <c r="AB23" s="11">
        <f ca="1">IF(הפחתה7[[#This Row],[יתרת
סגירה]]&gt;0,LastRow3-ROW(),0)</f>
        <v>280</v>
      </c>
      <c r="AC23" s="17">
        <f>ROWS($AC$4:AC23)</f>
        <v>20</v>
      </c>
      <c r="AD23" s="18" t="str">
        <f ca="1">IF(ValuesEntered4,IF(הפחתה8[[#This Row],[מס'']]&lt;=תקופת_ההלוואה4,IF(ROW()-ROW(הפחתה8[[#Headers],[תאריך]])=1,LoanStart4,IF(AJ22&gt;0,EDATE(AD22,1),"")),""),"")</f>
        <v/>
      </c>
      <c r="AE23" s="19">
        <f ca="1">IF(ROW()-ROW(הפחתה8[[#Headers],[יתרת פתיחה]])=1,סכום_הלוואה4,IF(הפחתה8[[#This Row],[תאריך]]="",0,INDEX(הפחתה8[], ROW()-4,8)))</f>
        <v>0</v>
      </c>
      <c r="AF23" s="19">
        <f ca="1">IF(ValuesEntered4,IF(ROW()-ROW(הפחתה8[[#Headers],[ריבית]])=1,-IPMT(שיעור_ריבית4/12,1,תקופת_ההלוואה4-ROWS($C$4:AD23)+1,הפחתה8[[#This Row],[יתרת פתיחה]]),IFERROR(-IPMT(שיעור_ריבית4/12,1,הפחתה8[[#This Row],[תשלומים
שנותרו]],AE24),0)),0)</f>
        <v>0</v>
      </c>
      <c r="AG23" s="19" t="str">
        <f ca="1">IFERROR(IF(AND(ValuesEntered4,הפחתה8[[#This Row],[תאריך]]&lt;&gt;""),-PPMT(שיעור_ריבית4/12,1,תקופת_ההלוואה4-ROWS($C$4:AD23)+1,הפחתה8[[#This Row],[יתרת פתיחה]]),""),0)</f>
        <v/>
      </c>
      <c r="AH23" s="19">
        <f ca="1">(הפחתה8[[#This Row],[יתרת פתיחה]])*(מדד4/12)</f>
        <v>0</v>
      </c>
      <c r="AI23" s="19">
        <f ca="1">IF(הפחתה8[[#This Row],[תאריך]]="",0,הפחתה8[[#This Row],[ריבית]]+הפחתה8[[#This Row],[קרן]]+הפחתה8[[#This Row],[מדד]])</f>
        <v>0</v>
      </c>
      <c r="AJ23" s="19">
        <f ca="1">IF(הפחתה8[[#This Row],[תאריך]]="",0,הפחתה8[[#This Row],[יתרת פתיחה]]-הפחתה8[[#This Row],[קרן]])</f>
        <v>0</v>
      </c>
      <c r="AK23" s="20">
        <f ca="1">IF(הפחתה8[[#This Row],[יתרת
סגירה]]&gt;0,LastRow4-ROW(),0)</f>
        <v>0</v>
      </c>
    </row>
    <row r="24" spans="1:37" ht="15" customHeight="1" x14ac:dyDescent="0.25">
      <c r="A24" s="8"/>
      <c r="B24" s="11">
        <f>ROWS($B$4:B24)</f>
        <v>21</v>
      </c>
      <c r="C24" s="12">
        <f>IF(ValuesEntered,IF(הפחתה[[#This Row],[מס'']]&lt;=תקופת_ההלוואה,IF(ROW()-ROW(הפחתה[[#Headers],[תאריך]])=1,LoanStart,IF(I23&gt;0,EDATE(C23,1),"")),""),"")</f>
        <v>45992</v>
      </c>
      <c r="D24" s="13">
        <f>IF(ROW()-ROW(הפחתה[[#Headers],[יתרת פתיחה]])=1,סכום_הלוואה,IF(הפחתה[[#This Row],[תאריך]]="",0,INDEX(הפחתה[], ROW()-4,8)))</f>
        <v>585775.82334298978</v>
      </c>
      <c r="E24" s="13">
        <f>IF(ValuesEntered,IF(ROW()-ROW(הפחתה[[#Headers],[ריבית]])=1,-IPMT(שיעור_ריבית/12,1,תקופת_ההלוואה-ROWS($C$4:C24)+1,הפחתה[[#This Row],[יתרת פתיחה]]),IFERROR(-IPMT(שיעור_ריבית/12,1,הפחתה[[#This Row],[תשלומים
שנותרו]],D25),0)),0)</f>
        <v>2583.8876762525206</v>
      </c>
      <c r="F24" s="13">
        <f>IFERROR(IF(AND(ValuesEntered,הפחתה[[#This Row],[תאריך]]&lt;&gt;""),-PPMT(שיעור_ריבית/12,1,תקופת_ההלוואה-ROWS($C$4:C24)+1,הפחתה[[#This Row],[יתרת פתיחה]]),""),0)</f>
        <v>744.65136128701272</v>
      </c>
      <c r="G24" s="13">
        <f>(הפחתה[[#This Row],[יתרת פתיחה]])*(מדד/12)</f>
        <v>0</v>
      </c>
      <c r="H24" s="13">
        <f>IF(הפחתה[[#This Row],[תאריך]]="",0,הפחתה[[#This Row],[ריבית]]+הפחתה[[#This Row],[קרן]]+הפחתה[[#This Row],[מדד]])</f>
        <v>3328.5390375395332</v>
      </c>
      <c r="I24" s="13">
        <f>IF(הפחתה[[#This Row],[תאריך]]="",0,הפחתה[[#This Row],[יתרת פתיחה]]-הפחתה[[#This Row],[קרן]]+הפחתה[[#This Row],[מדד]])</f>
        <v>585031.17198170279</v>
      </c>
      <c r="J24" s="11">
        <f>IF(הפחתה[[#This Row],[יתרת
סגירה]]&gt;0,LastRow-ROW(),0)</f>
        <v>339</v>
      </c>
      <c r="K24" s="11">
        <f>ROWS($K$4:K24)</f>
        <v>21</v>
      </c>
      <c r="L24" s="12">
        <f>IF(ValuesEntered2,IF(הפחתה5[[#This Row],[מס'']]&lt;=תקופת_ההלוואה2,IF(ROW()-ROW(הפחתה5[[#Headers],[תאריך]])=1,LoanStart2,IF(R23&gt;0,EDATE(L23,1),"")),""),"")</f>
        <v>45992</v>
      </c>
      <c r="M24" s="13">
        <f>IF(ROW()-ROW(הפחתה5[[#Headers],[יתרת פתיחה]])=1,סכום_הלוואה2,IF(הפחתה5[[#This Row],[תאריך]]="",0,INDEX(הפחתה5[], ROW()-4,8)))</f>
        <v>289063.93760376709</v>
      </c>
      <c r="N24" s="13">
        <f>IF(ValuesEntered2,IF(ROW()-ROW(הפחתה5[[#Headers],[ריבית]])=1,-IPMT(שיעור_ריבית2/12,1,תקופת_ההלוואה2-ROWS($L$4:L24)+1,הפחתה5[[#This Row],[יתרת פתיחה]]),IFERROR(-IPMT(שיעור_ריבית2/12,1,הפחתה5[[#This Row],[תשלומים
שנותרו]],M25),0)),0)</f>
        <v>1129.9362780903311</v>
      </c>
      <c r="O24" s="13">
        <f>IFERROR(IF(AND(ValuesEntered2,הפחתה5[[#This Row],[תאריך]]&lt;&gt;""),-PPMT(שיעור_ריבית2/12,1,תקופת_ההלוואה2-ROWS($L$4:L24)+1,הפחתה5[[#This Row],[יתרת פתיחה]]),""),0)</f>
        <v>569.56872963997171</v>
      </c>
      <c r="P24" s="13">
        <f>(הפחתה5[[#This Row],[יתרת פתיחה]])*(מדד2/12)</f>
        <v>0</v>
      </c>
      <c r="Q24" s="13">
        <f>IF(הפחתה5[[#This Row],[תאריך]]="",0,הפחתה5[[#This Row],[ריבית]]+הפחתה5[[#This Row],[קרן]]+הפחתה5[[#This Row],[מדד]])</f>
        <v>1699.5050077303029</v>
      </c>
      <c r="R24" s="13">
        <f>IF(הפחתה5[[#This Row],[תאריך]]="",0,הפחתה5[[#This Row],[יתרת פתיחה]]-הפחתה5[[#This Row],[קרן]]+הפחתה5[[#This Row],[מדד]])</f>
        <v>288494.3688741271</v>
      </c>
      <c r="S24" s="11">
        <f>IF(הפחתה5[[#This Row],[יתרת
סגירה]]&gt;0,LastRow2-ROW(),0)</f>
        <v>279</v>
      </c>
      <c r="T24" s="11">
        <f>ROWS($T$4:T24)</f>
        <v>21</v>
      </c>
      <c r="U24" s="12">
        <f ca="1">IF(ValuesEntered3,IF(הפחתה7[[#This Row],[מס'']]&lt;=תקופת_ההלוואה3,IF(ROW()-ROW(הפחתה7[[#Headers],[תאריך]])=1,LoanStart3,IF(AA23&gt;0,EDATE(U23,1),"")),""),"")</f>
        <v>46228</v>
      </c>
      <c r="V24" s="13">
        <f ca="1">IF(ROW()-ROW(הפחתה7[[#Headers],[יתרת פתיחה]])=1,סכום_הלוואה3,IF(הפחתה7[[#This Row],[תאריך]]="",0,INDEX(הפחתה7[], ROW()-4,8)))</f>
        <v>98194.879845619114</v>
      </c>
      <c r="W24" s="13">
        <f ca="1">IF(ValuesEntered3,IF(ROW()-ROW(הפחתה7[[#Headers],[ריבית]])=1,-IPMT(שיעור_ריבית3/12,1,תקופת_ההלוואה3-ROWS($C$4:U24)+1,הפחתה7[[#This Row],[יתרת פתיחה]]),IFERROR(-IPMT(שיעור_ריבית3/12,1,הפחתה7[[#This Row],[תשלומים
שנותרו]],V25),0)),0)</f>
        <v>188.01204423474769</v>
      </c>
      <c r="X24" s="13">
        <f ca="1">IFERROR(IF(AND(ValuesEntered3,הפחתה7[[#This Row],[תאריך]]&lt;&gt;""),-PPMT(שיעור_ריבית3/12,1,תקופת_ההלוואה3-ROWS($C$4:U24)+1,הפחתה7[[#This Row],[יתרת פתיחה]]),""),0)</f>
        <v>265.29750839200244</v>
      </c>
      <c r="Y24" s="13">
        <f ca="1">(הפחתה7[[#This Row],[יתרת פתיחה]])*(מדד3/12)</f>
        <v>163.65813307603187</v>
      </c>
      <c r="Z24" s="13">
        <f ca="1">IF(הפחתה7[[#This Row],[תאריך]]="",0,הפחתה7[[#This Row],[ריבית]]+הפחתה7[[#This Row],[קרן]]+הפחתה7[[#This Row],[מדד]])</f>
        <v>616.96768570278198</v>
      </c>
      <c r="AA24" s="13">
        <f ca="1">IF(הפחתה7[[#This Row],[תאריך]]="",0,הפחתה7[[#This Row],[יתרת פתיחה]]-הפחתה7[[#This Row],[קרן]]+הפחתה7[[#This Row],[מדד]])</f>
        <v>98093.24047030315</v>
      </c>
      <c r="AB24" s="11">
        <f ca="1">IF(הפחתה7[[#This Row],[יתרת
סגירה]]&gt;0,LastRow3-ROW(),0)</f>
        <v>279</v>
      </c>
      <c r="AC24" s="17">
        <f>ROWS($AC$4:AC24)</f>
        <v>21</v>
      </c>
      <c r="AD24" s="18" t="str">
        <f ca="1">IF(ValuesEntered4,IF(הפחתה8[[#This Row],[מס'']]&lt;=תקופת_ההלוואה4,IF(ROW()-ROW(הפחתה8[[#Headers],[תאריך]])=1,LoanStart4,IF(AJ23&gt;0,EDATE(AD23,1),"")),""),"")</f>
        <v/>
      </c>
      <c r="AE24" s="19">
        <f ca="1">IF(ROW()-ROW(הפחתה8[[#Headers],[יתרת פתיחה]])=1,סכום_הלוואה4,IF(הפחתה8[[#This Row],[תאריך]]="",0,INDEX(הפחתה8[], ROW()-4,8)))</f>
        <v>0</v>
      </c>
      <c r="AF24" s="19">
        <f ca="1">IF(ValuesEntered4,IF(ROW()-ROW(הפחתה8[[#Headers],[ריבית]])=1,-IPMT(שיעור_ריבית4/12,1,תקופת_ההלוואה4-ROWS($C$4:AD24)+1,הפחתה8[[#This Row],[יתרת פתיחה]]),IFERROR(-IPMT(שיעור_ריבית4/12,1,הפחתה8[[#This Row],[תשלומים
שנותרו]],AE25),0)),0)</f>
        <v>0</v>
      </c>
      <c r="AG24" s="19" t="str">
        <f ca="1">IFERROR(IF(AND(ValuesEntered4,הפחתה8[[#This Row],[תאריך]]&lt;&gt;""),-PPMT(שיעור_ריבית4/12,1,תקופת_ההלוואה4-ROWS($C$4:AD24)+1,הפחתה8[[#This Row],[יתרת פתיחה]]),""),0)</f>
        <v/>
      </c>
      <c r="AH24" s="19">
        <f ca="1">(הפחתה8[[#This Row],[יתרת פתיחה]])*(מדד4/12)</f>
        <v>0</v>
      </c>
      <c r="AI24" s="19">
        <f ca="1">IF(הפחתה8[[#This Row],[תאריך]]="",0,הפחתה8[[#This Row],[ריבית]]+הפחתה8[[#This Row],[קרן]]+הפחתה8[[#This Row],[מדד]])</f>
        <v>0</v>
      </c>
      <c r="AJ24" s="19">
        <f ca="1">IF(הפחתה8[[#This Row],[תאריך]]="",0,הפחתה8[[#This Row],[יתרת פתיחה]]-הפחתה8[[#This Row],[קרן]])</f>
        <v>0</v>
      </c>
      <c r="AK24" s="20">
        <f ca="1">IF(הפחתה8[[#This Row],[יתרת
סגירה]]&gt;0,LastRow4-ROW(),0)</f>
        <v>0</v>
      </c>
    </row>
    <row r="25" spans="1:37" ht="15" customHeight="1" x14ac:dyDescent="0.25">
      <c r="A25" s="8"/>
      <c r="B25" s="11">
        <f>ROWS($B$4:B25)</f>
        <v>22</v>
      </c>
      <c r="C25" s="12">
        <f>IF(ValuesEntered,IF(הפחתה[[#This Row],[מס'']]&lt;=תקופת_ההלוואה,IF(ROW()-ROW(הפחתה[[#Headers],[תאריך]])=1,LoanStart,IF(I24&gt;0,EDATE(C24,1),"")),""),"")</f>
        <v>46023</v>
      </c>
      <c r="D25" s="13">
        <f>IF(ROW()-ROW(הפחתה[[#Headers],[יתרת פתיחה]])=1,סכום_הלוואה,IF(הפחתה[[#This Row],[תאריך]]="",0,INDEX(הפחתה[], ROW()-4,8)))</f>
        <v>585031.17198170279</v>
      </c>
      <c r="E25" s="13">
        <f>IF(ValuesEntered,IF(ROW()-ROW(הפחתה[[#Headers],[ריבית]])=1,-IPMT(שיעור_ריבית/12,1,תקופת_ההלוואה-ROWS($C$4:C25)+1,הפחתה[[#This Row],[יתרת פתיחה]]),IFERROR(-IPMT(שיעור_ריבית/12,1,הפחתה[[#This Row],[תשלומים
שנותרו]],D26),0)),0)</f>
        <v>2580.5842735341012</v>
      </c>
      <c r="F25" s="13">
        <f>IFERROR(IF(AND(ValuesEntered,הפחתה[[#This Row],[תאריך]]&lt;&gt;""),-PPMT(שיעור_ריבית/12,1,תקופת_ההלוואה-ROWS($C$4:C25)+1,הפחתה[[#This Row],[יתרת פתיחה]]),""),0)</f>
        <v>747.940238132697</v>
      </c>
      <c r="G25" s="13">
        <f>(הפחתה[[#This Row],[יתרת פתיחה]])*(מדד/12)</f>
        <v>0</v>
      </c>
      <c r="H25" s="13">
        <f>IF(הפחתה[[#This Row],[תאריך]]="",0,הפחתה[[#This Row],[ריבית]]+הפחתה[[#This Row],[קרן]]+הפחתה[[#This Row],[מדד]])</f>
        <v>3328.5245116667984</v>
      </c>
      <c r="I25" s="13">
        <f>IF(הפחתה[[#This Row],[תאריך]]="",0,הפחתה[[#This Row],[יתרת פתיחה]]-הפחתה[[#This Row],[קרן]]+הפחתה[[#This Row],[מדד]])</f>
        <v>584283.23174357007</v>
      </c>
      <c r="J25" s="11">
        <f>IF(הפחתה[[#This Row],[יתרת
סגירה]]&gt;0,LastRow-ROW(),0)</f>
        <v>338</v>
      </c>
      <c r="K25" s="11">
        <f>ROWS($K$4:K25)</f>
        <v>22</v>
      </c>
      <c r="L25" s="12">
        <f>IF(ValuesEntered2,IF(הפחתה5[[#This Row],[מס'']]&lt;=תקופת_ההלוואה2,IF(ROW()-ROW(הפחתה5[[#Headers],[תאריך]])=1,LoanStart2,IF(R24&gt;0,EDATE(L24,1),"")),""),"")</f>
        <v>46023</v>
      </c>
      <c r="M25" s="13">
        <f>IF(ROW()-ROW(הפחתה5[[#Headers],[יתרת פתיחה]])=1,סכום_הלוואה2,IF(הפחתה5[[#This Row],[תאריך]]="",0,INDEX(הפחתה5[], ROW()-4,8)))</f>
        <v>288494.3688741271</v>
      </c>
      <c r="N25" s="13">
        <f>IF(ValuesEntered2,IF(ROW()-ROW(הפחתה5[[#Headers],[ריבית]])=1,-IPMT(שיעור_ריבית2/12,1,תקופת_ההלוואה2-ROWS($L$4:L25)+1,הפחתה5[[#This Row],[יתרת פתיחה]]),IFERROR(-IPMT(שיעור_ריבית2/12,1,הפחתה5[[#This Row],[תשלומים
שנותרו]],M26),0)),0)</f>
        <v>1127.6967298900483</v>
      </c>
      <c r="O25" s="13">
        <f>IFERROR(IF(AND(ValuesEntered2,הפחתה5[[#This Row],[תאריך]]&lt;&gt;""),-PPMT(שיעור_ריבית2/12,1,תקופת_ההלוואה2-ROWS($L$4:L25)+1,הפחתה5[[#This Row],[יתרת פתיחה]]),""),0)</f>
        <v>571.799540497728</v>
      </c>
      <c r="P25" s="13">
        <f>(הפחתה5[[#This Row],[יתרת פתיחה]])*(מדד2/12)</f>
        <v>0</v>
      </c>
      <c r="Q25" s="13">
        <f>IF(הפחתה5[[#This Row],[תאריך]]="",0,הפחתה5[[#This Row],[ריבית]]+הפחתה5[[#This Row],[קרן]]+הפחתה5[[#This Row],[מדד]])</f>
        <v>1699.4962703877763</v>
      </c>
      <c r="R25" s="13">
        <f>IF(הפחתה5[[#This Row],[תאריך]]="",0,הפחתה5[[#This Row],[יתרת פתיחה]]-הפחתה5[[#This Row],[קרן]]+הפחתה5[[#This Row],[מדד]])</f>
        <v>287922.56933362939</v>
      </c>
      <c r="S25" s="11">
        <f>IF(הפחתה5[[#This Row],[יתרת
סגירה]]&gt;0,LastRow2-ROW(),0)</f>
        <v>278</v>
      </c>
      <c r="T25" s="11">
        <f>ROWS($T$4:T25)</f>
        <v>22</v>
      </c>
      <c r="U25" s="12">
        <f ca="1">IF(ValuesEntered3,IF(הפחתה7[[#This Row],[מס'']]&lt;=תקופת_ההלוואה3,IF(ROW()-ROW(הפחתה7[[#Headers],[תאריך]])=1,LoanStart3,IF(AA24&gt;0,EDATE(U24,1),"")),""),"")</f>
        <v>46259</v>
      </c>
      <c r="V25" s="13">
        <f ca="1">IF(ROW()-ROW(הפחתה7[[#Headers],[יתרת פתיחה]])=1,סכום_הלוואה3,IF(הפחתה7[[#This Row],[תאריך]]="",0,INDEX(הפחתה7[], ROW()-4,8)))</f>
        <v>98093.24047030315</v>
      </c>
      <c r="W25" s="13">
        <f ca="1">IF(ValuesEntered3,IF(ROW()-ROW(הפחתה7[[#Headers],[ריבית]])=1,-IPMT(שיעור_ריבית3/12,1,תקופת_ההלוואה3-ROWS($C$4:U25)+1,הפחתה7[[#This Row],[יתרת פתיחה]]),IFERROR(-IPMT(שיעור_ריבית3/12,1,הפחתה7[[#This Row],[תשלומים
שנותרו]],V26),0)),0)</f>
        <v>187.81508474808842</v>
      </c>
      <c r="X25" s="13">
        <f ca="1">IFERROR(IF(AND(ValuesEntered3,הפחתה7[[#This Row],[תאריך]]&lt;&gt;""),-PPMT(שיעור_ריבית3/12,1,תקופת_ההלוואה3-ROWS($C$4:U25)+1,הפחתה7[[#This Row],[יתרת פתיחה]]),""),0)</f>
        <v>266.25020541765753</v>
      </c>
      <c r="Y25" s="13">
        <f ca="1">(הפחתה7[[#This Row],[יתרת פתיחה]])*(מדד3/12)</f>
        <v>163.48873411717193</v>
      </c>
      <c r="Z25" s="13">
        <f ca="1">IF(הפחתה7[[#This Row],[תאריך]]="",0,הפחתה7[[#This Row],[ריבית]]+הפחתה7[[#This Row],[קרן]]+הפחתה7[[#This Row],[מדד]])</f>
        <v>617.55402428291791</v>
      </c>
      <c r="AA25" s="13">
        <f ca="1">IF(הפחתה7[[#This Row],[תאריך]]="",0,הפחתה7[[#This Row],[יתרת פתיחה]]-הפחתה7[[#This Row],[קרן]]+הפחתה7[[#This Row],[מדד]])</f>
        <v>97990.478999002662</v>
      </c>
      <c r="AB25" s="11">
        <f ca="1">IF(הפחתה7[[#This Row],[יתרת
סגירה]]&gt;0,LastRow3-ROW(),0)</f>
        <v>278</v>
      </c>
      <c r="AC25" s="17">
        <f>ROWS($AC$4:AC25)</f>
        <v>22</v>
      </c>
      <c r="AD25" s="18" t="str">
        <f ca="1">IF(ValuesEntered4,IF(הפחתה8[[#This Row],[מס'']]&lt;=תקופת_ההלוואה4,IF(ROW()-ROW(הפחתה8[[#Headers],[תאריך]])=1,LoanStart4,IF(AJ24&gt;0,EDATE(AD24,1),"")),""),"")</f>
        <v/>
      </c>
      <c r="AE25" s="19">
        <f ca="1">IF(ROW()-ROW(הפחתה8[[#Headers],[יתרת פתיחה]])=1,סכום_הלוואה4,IF(הפחתה8[[#This Row],[תאריך]]="",0,INDEX(הפחתה8[], ROW()-4,8)))</f>
        <v>0</v>
      </c>
      <c r="AF25" s="19">
        <f ca="1">IF(ValuesEntered4,IF(ROW()-ROW(הפחתה8[[#Headers],[ריבית]])=1,-IPMT(שיעור_ריבית4/12,1,תקופת_ההלוואה4-ROWS($C$4:AD25)+1,הפחתה8[[#This Row],[יתרת פתיחה]]),IFERROR(-IPMT(שיעור_ריבית4/12,1,הפחתה8[[#This Row],[תשלומים
שנותרו]],AE26),0)),0)</f>
        <v>0</v>
      </c>
      <c r="AG25" s="19" t="str">
        <f ca="1">IFERROR(IF(AND(ValuesEntered4,הפחתה8[[#This Row],[תאריך]]&lt;&gt;""),-PPMT(שיעור_ריבית4/12,1,תקופת_ההלוואה4-ROWS($C$4:AD25)+1,הפחתה8[[#This Row],[יתרת פתיחה]]),""),0)</f>
        <v/>
      </c>
      <c r="AH25" s="19">
        <f ca="1">(הפחתה8[[#This Row],[יתרת פתיחה]])*(מדד4/12)</f>
        <v>0</v>
      </c>
      <c r="AI25" s="19">
        <f ca="1">IF(הפחתה8[[#This Row],[תאריך]]="",0,הפחתה8[[#This Row],[ריבית]]+הפחתה8[[#This Row],[קרן]]+הפחתה8[[#This Row],[מדד]])</f>
        <v>0</v>
      </c>
      <c r="AJ25" s="19">
        <f ca="1">IF(הפחתה8[[#This Row],[תאריך]]="",0,הפחתה8[[#This Row],[יתרת פתיחה]]-הפחתה8[[#This Row],[קרן]])</f>
        <v>0</v>
      </c>
      <c r="AK25" s="20">
        <f ca="1">IF(הפחתה8[[#This Row],[יתרת
סגירה]]&gt;0,LastRow4-ROW(),0)</f>
        <v>0</v>
      </c>
    </row>
    <row r="26" spans="1:37" ht="15" customHeight="1" x14ac:dyDescent="0.25">
      <c r="A26" s="8"/>
      <c r="B26" s="11">
        <f>ROWS($B$4:B26)</f>
        <v>23</v>
      </c>
      <c r="C26" s="12">
        <f>IF(ValuesEntered,IF(הפחתה[[#This Row],[מס'']]&lt;=תקופת_ההלוואה,IF(ROW()-ROW(הפחתה[[#Headers],[תאריך]])=1,LoanStart,IF(I25&gt;0,EDATE(C25,1),"")),""),"")</f>
        <v>46054</v>
      </c>
      <c r="D26" s="13">
        <f>IF(ROW()-ROW(הפחתה[[#Headers],[יתרת פתיחה]])=1,סכום_הלוואה,IF(הפחתה[[#This Row],[תאריך]]="",0,INDEX(הפחתה[], ROW()-4,8)))</f>
        <v>584283.23174357007</v>
      </c>
      <c r="E26" s="13">
        <f>IF(ValuesEntered,IF(ROW()-ROW(הפחתה[[#Headers],[ריבית]])=1,-IPMT(שיעור_ריבית/12,1,תקופת_ההלוואה-ROWS($C$4:C26)+1,הפחתה[[#This Row],[יתרת פתיחה]]),IFERROR(-IPMT(שיעור_ריבית/12,1,הפחתה[[#This Row],[תשלומים
שנותרו]],D27),0)),0)</f>
        <v>2577.2662807870088</v>
      </c>
      <c r="F26" s="13">
        <f>IFERROR(IF(AND(ValuesEntered,הפחתה[[#This Row],[תאריך]]&lt;&gt;""),-PPMT(שיעור_ריבית/12,1,תקופת_ההלוואה-ROWS($C$4:C26)+1,הפחתה[[#This Row],[יתרת פתיחה]]),""),0)</f>
        <v>751.24364085111642</v>
      </c>
      <c r="G26" s="13">
        <f>(הפחתה[[#This Row],[יתרת פתיחה]])*(מדד/12)</f>
        <v>0</v>
      </c>
      <c r="H26" s="13">
        <f>IF(הפחתה[[#This Row],[תאריך]]="",0,הפחתה[[#This Row],[ריבית]]+הפחתה[[#This Row],[קרן]]+הפחתה[[#This Row],[מדד]])</f>
        <v>3328.509921638125</v>
      </c>
      <c r="I26" s="13">
        <f>IF(הפחתה[[#This Row],[תאריך]]="",0,הפחתה[[#This Row],[יתרת פתיחה]]-הפחתה[[#This Row],[קרן]]+הפחתה[[#This Row],[מדד]])</f>
        <v>583531.98810271895</v>
      </c>
      <c r="J26" s="11">
        <f>IF(הפחתה[[#This Row],[יתרת
סגירה]]&gt;0,LastRow-ROW(),0)</f>
        <v>337</v>
      </c>
      <c r="K26" s="11">
        <f>ROWS($K$4:K26)</f>
        <v>23</v>
      </c>
      <c r="L26" s="12">
        <f>IF(ValuesEntered2,IF(הפחתה5[[#This Row],[מס'']]&lt;=תקופת_ההלוואה2,IF(ROW()-ROW(הפחתה5[[#Headers],[תאריך]])=1,LoanStart2,IF(R25&gt;0,EDATE(L25,1),"")),""),"")</f>
        <v>46054</v>
      </c>
      <c r="M26" s="13">
        <f>IF(ROW()-ROW(הפחתה5[[#Headers],[יתרת פתיחה]])=1,סכום_הלוואה2,IF(הפחתה5[[#This Row],[תאריך]]="",0,INDEX(הפחתה5[], ROW()-4,8)))</f>
        <v>287922.56933362939</v>
      </c>
      <c r="N26" s="13">
        <f>IF(ValuesEntered2,IF(ROW()-ROW(הפחתה5[[#Headers],[ריבית]])=1,-IPMT(שיעור_ריבית2/12,1,תקופת_ההלוואה2-ROWS($L$4:L26)+1,הפחתה5[[#This Row],[יתרת פתיחה]]),IFERROR(-IPMT(שיעור_ריבית2/12,1,הפחתה5[[#This Row],[תשלומים
שנותרו]],M27),0)),0)</f>
        <v>1125.4484101259814</v>
      </c>
      <c r="O26" s="13">
        <f>IFERROR(IF(AND(ValuesEntered2,הפחתה5[[#This Row],[תאריך]]&lt;&gt;""),-PPMT(שיעור_ריבית2/12,1,תקופת_ההלוואה2-ROWS($L$4:L26)+1,הפחתה5[[#This Row],[יתרת פתיחה]]),""),0)</f>
        <v>574.03908869801091</v>
      </c>
      <c r="P26" s="13">
        <f>(הפחתה5[[#This Row],[יתרת פתיחה]])*(מדד2/12)</f>
        <v>0</v>
      </c>
      <c r="Q26" s="13">
        <f>IF(הפחתה5[[#This Row],[תאריך]]="",0,הפחתה5[[#This Row],[ריבית]]+הפחתה5[[#This Row],[קרן]]+הפחתה5[[#This Row],[מדד]])</f>
        <v>1699.4874988239922</v>
      </c>
      <c r="R26" s="13">
        <f>IF(הפחתה5[[#This Row],[תאריך]]="",0,הפחתה5[[#This Row],[יתרת פתיחה]]-הפחתה5[[#This Row],[קרן]]+הפחתה5[[#This Row],[מדד]])</f>
        <v>287348.5302449314</v>
      </c>
      <c r="S26" s="11">
        <f>IF(הפחתה5[[#This Row],[יתרת
סגירה]]&gt;0,LastRow2-ROW(),0)</f>
        <v>277</v>
      </c>
      <c r="T26" s="11">
        <f>ROWS($T$4:T26)</f>
        <v>23</v>
      </c>
      <c r="U26" s="12">
        <f ca="1">IF(ValuesEntered3,IF(הפחתה7[[#This Row],[מס'']]&lt;=תקופת_ההלוואה3,IF(ROW()-ROW(הפחתה7[[#Headers],[תאריך]])=1,LoanStart3,IF(AA25&gt;0,EDATE(U25,1),"")),""),"")</f>
        <v>46290</v>
      </c>
      <c r="V26" s="13">
        <f ca="1">IF(ROW()-ROW(הפחתה7[[#Headers],[יתרת פתיחה]])=1,סכום_הלוואה3,IF(הפחתה7[[#This Row],[תאריך]]="",0,INDEX(הפחתה7[], ROW()-4,8)))</f>
        <v>97990.478999002662</v>
      </c>
      <c r="W26" s="13">
        <f ca="1">IF(ValuesEntered3,IF(ROW()-ROW(הפחתה7[[#Headers],[ריבית]])=1,-IPMT(שיעור_ריבית3/12,1,תקופת_ההלוואה3-ROWS($C$4:U26)+1,הפחתה7[[#This Row],[יתרת פתיחה]]),IFERROR(-IPMT(שיעור_ריבית3/12,1,הפחתה7[[#This Row],[תשלומים
שנותרו]],V27),0)),0)</f>
        <v>187.61596442499626</v>
      </c>
      <c r="X26" s="13">
        <f ca="1">IFERROR(IF(AND(ValuesEntered3,הפחתה7[[#This Row],[תאריך]]&lt;&gt;""),-PPMT(שיעור_ריבית3/12,1,תקופת_ההלוואה3-ROWS($C$4:U26)+1,הפחתה7[[#This Row],[יתרת פתיחה]]),""),0)</f>
        <v>267.20632922033843</v>
      </c>
      <c r="Y26" s="13">
        <f ca="1">(הפחתה7[[#This Row],[יתרת פתיחה]])*(מדד3/12)</f>
        <v>163.31746499833778</v>
      </c>
      <c r="Z26" s="13">
        <f ca="1">IF(הפחתה7[[#This Row],[תאריך]]="",0,הפחתה7[[#This Row],[ריבית]]+הפחתה7[[#This Row],[קרן]]+הפחתה7[[#This Row],[מדד]])</f>
        <v>618.13975864367251</v>
      </c>
      <c r="AA26" s="13">
        <f ca="1">IF(הפחתה7[[#This Row],[תאריך]]="",0,הפחתה7[[#This Row],[יתרת פתיחה]]-הפחתה7[[#This Row],[קרן]]+הפחתה7[[#This Row],[מדד]])</f>
        <v>97886.590134780665</v>
      </c>
      <c r="AB26" s="11">
        <f ca="1">IF(הפחתה7[[#This Row],[יתרת
סגירה]]&gt;0,LastRow3-ROW(),0)</f>
        <v>277</v>
      </c>
      <c r="AC26" s="17">
        <f>ROWS($AC$4:AC26)</f>
        <v>23</v>
      </c>
      <c r="AD26" s="18" t="str">
        <f ca="1">IF(ValuesEntered4,IF(הפחתה8[[#This Row],[מס'']]&lt;=תקופת_ההלוואה4,IF(ROW()-ROW(הפחתה8[[#Headers],[תאריך]])=1,LoanStart4,IF(AJ25&gt;0,EDATE(AD25,1),"")),""),"")</f>
        <v/>
      </c>
      <c r="AE26" s="19">
        <f ca="1">IF(ROW()-ROW(הפחתה8[[#Headers],[יתרת פתיחה]])=1,סכום_הלוואה4,IF(הפחתה8[[#This Row],[תאריך]]="",0,INDEX(הפחתה8[], ROW()-4,8)))</f>
        <v>0</v>
      </c>
      <c r="AF26" s="19">
        <f ca="1">IF(ValuesEntered4,IF(ROW()-ROW(הפחתה8[[#Headers],[ריבית]])=1,-IPMT(שיעור_ריבית4/12,1,תקופת_ההלוואה4-ROWS($C$4:AD26)+1,הפחתה8[[#This Row],[יתרת פתיחה]]),IFERROR(-IPMT(שיעור_ריבית4/12,1,הפחתה8[[#This Row],[תשלומים
שנותרו]],AE27),0)),0)</f>
        <v>0</v>
      </c>
      <c r="AG26" s="19" t="str">
        <f ca="1">IFERROR(IF(AND(ValuesEntered4,הפחתה8[[#This Row],[תאריך]]&lt;&gt;""),-PPMT(שיעור_ריבית4/12,1,תקופת_ההלוואה4-ROWS($C$4:AD26)+1,הפחתה8[[#This Row],[יתרת פתיחה]]),""),0)</f>
        <v/>
      </c>
      <c r="AH26" s="19">
        <f ca="1">(הפחתה8[[#This Row],[יתרת פתיחה]])*(מדד4/12)</f>
        <v>0</v>
      </c>
      <c r="AI26" s="19">
        <f ca="1">IF(הפחתה8[[#This Row],[תאריך]]="",0,הפחתה8[[#This Row],[ריבית]]+הפחתה8[[#This Row],[קרן]]+הפחתה8[[#This Row],[מדד]])</f>
        <v>0</v>
      </c>
      <c r="AJ26" s="19">
        <f ca="1">IF(הפחתה8[[#This Row],[תאריך]]="",0,הפחתה8[[#This Row],[יתרת פתיחה]]-הפחתה8[[#This Row],[קרן]])</f>
        <v>0</v>
      </c>
      <c r="AK26" s="20">
        <f ca="1">IF(הפחתה8[[#This Row],[יתרת
סגירה]]&gt;0,LastRow4-ROW(),0)</f>
        <v>0</v>
      </c>
    </row>
    <row r="27" spans="1:37" ht="15" customHeight="1" x14ac:dyDescent="0.25">
      <c r="A27" s="8"/>
      <c r="B27" s="11">
        <f>ROWS($B$4:B27)</f>
        <v>24</v>
      </c>
      <c r="C27" s="12">
        <f>IF(ValuesEntered,IF(הפחתה[[#This Row],[מס'']]&lt;=תקופת_ההלוואה,IF(ROW()-ROW(הפחתה[[#Headers],[תאריך]])=1,LoanStart,IF(I26&gt;0,EDATE(C26,1),"")),""),"")</f>
        <v>46082</v>
      </c>
      <c r="D27" s="13">
        <f>IF(ROW()-ROW(הפחתה[[#Headers],[יתרת פתיחה]])=1,סכום_הלוואה,IF(הפחתה[[#This Row],[תאריך]]="",0,INDEX(הפחתה[], ROW()-4,8)))</f>
        <v>583531.98810271895</v>
      </c>
      <c r="E27" s="13">
        <f>IF(ValuesEntered,IF(ROW()-ROW(הפחתה[[#Headers],[ריבית]])=1,-IPMT(שיעור_ריבית/12,1,תקופת_ההלוואה-ROWS($C$4:C27)+1,הפחתה[[#This Row],[יתרת פתיחה]]),IFERROR(-IPMT(שיעור_ריבית/12,1,הפחתה[[#This Row],[תשלומים
שנותרו]],D28),0)),0)</f>
        <v>2573.9336335719504</v>
      </c>
      <c r="F27" s="13">
        <f>IFERROR(IF(AND(ValuesEntered,הפחתה[[#This Row],[תאריך]]&lt;&gt;""),-PPMT(שיעור_ריבית/12,1,תקופת_ההלוואה-ROWS($C$4:C27)+1,הפחתה[[#This Row],[יתרת פתיחה]]),""),0)</f>
        <v>754.5616335982088</v>
      </c>
      <c r="G27" s="13">
        <f>(הפחתה[[#This Row],[יתרת פתיחה]])*(מדד/12)</f>
        <v>0</v>
      </c>
      <c r="H27" s="13">
        <f>IF(הפחתה[[#This Row],[תאריך]]="",0,הפחתה[[#This Row],[ריבית]]+הפחתה[[#This Row],[קרן]]+הפחתה[[#This Row],[מדד]])</f>
        <v>3328.4952671701594</v>
      </c>
      <c r="I27" s="13">
        <f>IF(הפחתה[[#This Row],[תאריך]]="",0,הפחתה[[#This Row],[יתרת פתיחה]]-הפחתה[[#This Row],[קרן]]+הפחתה[[#This Row],[מדד]])</f>
        <v>582777.42646912078</v>
      </c>
      <c r="J27" s="11">
        <f>IF(הפחתה[[#This Row],[יתרת
סגירה]]&gt;0,LastRow-ROW(),0)</f>
        <v>336</v>
      </c>
      <c r="K27" s="11">
        <f>ROWS($K$4:K27)</f>
        <v>24</v>
      </c>
      <c r="L27" s="12">
        <f>IF(ValuesEntered2,IF(הפחתה5[[#This Row],[מס'']]&lt;=תקופת_ההלוואה2,IF(ROW()-ROW(הפחתה5[[#Headers],[תאריך]])=1,LoanStart2,IF(R26&gt;0,EDATE(L26,1),"")),""),"")</f>
        <v>46082</v>
      </c>
      <c r="M27" s="13">
        <f>IF(ROW()-ROW(הפחתה5[[#Headers],[יתרת פתיחה]])=1,סכום_הלוואה2,IF(הפחתה5[[#This Row],[תאריך]]="",0,INDEX(הפחתה5[], ROW()-4,8)))</f>
        <v>287348.5302449314</v>
      </c>
      <c r="N27" s="13">
        <f>IF(ValuesEntered2,IF(ROW()-ROW(הפחתה5[[#Headers],[ריבית]])=1,-IPMT(שיעור_ריבית2/12,1,תקופת_ההלוואה2-ROWS($L$4:L27)+1,הפחתה5[[#This Row],[יתרת פתיחה]]),IFERROR(-IPMT(שיעור_ריבית2/12,1,הפחתה5[[#This Row],[תשלומים
שנותרו]],M28),0)),0)</f>
        <v>1123.1912844428382</v>
      </c>
      <c r="O27" s="13">
        <f>IFERROR(IF(AND(ValuesEntered2,הפחתה5[[#This Row],[תאריך]]&lt;&gt;""),-PPMT(שיעור_ריבית2/12,1,תקופת_ההלוואה2-ROWS($L$4:L27)+1,הפחתה5[[#This Row],[יתרת פתיחה]]),""),0)</f>
        <v>576.28740846207802</v>
      </c>
      <c r="P27" s="13">
        <f>(הפחתה5[[#This Row],[יתרת פתיחה]])*(מדד2/12)</f>
        <v>0</v>
      </c>
      <c r="Q27" s="13">
        <f>IF(הפחתה5[[#This Row],[תאריך]]="",0,הפחתה5[[#This Row],[ריבית]]+הפחתה5[[#This Row],[קרן]]+הפחתה5[[#This Row],[מדד]])</f>
        <v>1699.4786929049162</v>
      </c>
      <c r="R27" s="13">
        <f>IF(הפחתה5[[#This Row],[תאריך]]="",0,הפחתה5[[#This Row],[יתרת פתיחה]]-הפחתה5[[#This Row],[קרן]]+הפחתה5[[#This Row],[מדד]])</f>
        <v>286772.24283646932</v>
      </c>
      <c r="S27" s="11">
        <f>IF(הפחתה5[[#This Row],[יתרת
סגירה]]&gt;0,LastRow2-ROW(),0)</f>
        <v>276</v>
      </c>
      <c r="T27" s="11">
        <f>ROWS($T$4:T27)</f>
        <v>24</v>
      </c>
      <c r="U27" s="12">
        <f ca="1">IF(ValuesEntered3,IF(הפחתה7[[#This Row],[מס'']]&lt;=תקופת_ההלוואה3,IF(ROW()-ROW(הפחתה7[[#Headers],[תאריך]])=1,LoanStart3,IF(AA26&gt;0,EDATE(U26,1),"")),""),"")</f>
        <v>46320</v>
      </c>
      <c r="V27" s="13">
        <f ca="1">IF(ROW()-ROW(הפחתה7[[#Headers],[יתרת פתיחה]])=1,סכום_הלוואה3,IF(הפחתה7[[#This Row],[תאריך]]="",0,INDEX(הפחתה7[], ROW()-4,8)))</f>
        <v>97886.590134780665</v>
      </c>
      <c r="W27" s="13">
        <f ca="1">IF(ValuesEntered3,IF(ROW()-ROW(הפחתה7[[#Headers],[ריבית]])=1,-IPMT(שיעור_ריבית3/12,1,תקופת_ההלוואה3-ROWS($C$4:U27)+1,הפחתה7[[#This Row],[יתרת פתיחה]]),IFERROR(-IPMT(שיעור_ריבית3/12,1,הפחתה7[[#This Row],[תשלומים
שנותרו]],V28),0)),0)</f>
        <v>187.41467307234532</v>
      </c>
      <c r="X27" s="13">
        <f ca="1">IFERROR(IF(AND(ValuesEntered3,הפחתה7[[#This Row],[תאריך]]&lt;&gt;""),-PPMT(שיעור_ריבית3/12,1,תקופת_ההלוואה3-ROWS($C$4:U27)+1,הפחתה7[[#This Row],[יתרת פתיחה]]),""),0)</f>
        <v>268.16589218743002</v>
      </c>
      <c r="Y27" s="13">
        <f ca="1">(הפחתה7[[#This Row],[יתרת פתיחה]])*(מדד3/12)</f>
        <v>163.14431689130112</v>
      </c>
      <c r="Z27" s="13">
        <f ca="1">IF(הפחתה7[[#This Row],[תאריך]]="",0,הפחתה7[[#This Row],[ריבית]]+הפחתה7[[#This Row],[קרן]]+הפחתה7[[#This Row],[מדד]])</f>
        <v>618.72488215107637</v>
      </c>
      <c r="AA27" s="13">
        <f ca="1">IF(הפחתה7[[#This Row],[תאריך]]="",0,הפחתה7[[#This Row],[יתרת פתיחה]]-הפחתה7[[#This Row],[קרן]]+הפחתה7[[#This Row],[מדד]])</f>
        <v>97781.568559484527</v>
      </c>
      <c r="AB27" s="11">
        <f ca="1">IF(הפחתה7[[#This Row],[יתרת
סגירה]]&gt;0,LastRow3-ROW(),0)</f>
        <v>276</v>
      </c>
      <c r="AC27" s="17">
        <f>ROWS($AC$4:AC27)</f>
        <v>24</v>
      </c>
      <c r="AD27" s="18" t="str">
        <f ca="1">IF(ValuesEntered4,IF(הפחתה8[[#This Row],[מס'']]&lt;=תקופת_ההלוואה4,IF(ROW()-ROW(הפחתה8[[#Headers],[תאריך]])=1,LoanStart4,IF(AJ26&gt;0,EDATE(AD26,1),"")),""),"")</f>
        <v/>
      </c>
      <c r="AE27" s="19">
        <f ca="1">IF(ROW()-ROW(הפחתה8[[#Headers],[יתרת פתיחה]])=1,סכום_הלוואה4,IF(הפחתה8[[#This Row],[תאריך]]="",0,INDEX(הפחתה8[], ROW()-4,8)))</f>
        <v>0</v>
      </c>
      <c r="AF27" s="19">
        <f ca="1">IF(ValuesEntered4,IF(ROW()-ROW(הפחתה8[[#Headers],[ריבית]])=1,-IPMT(שיעור_ריבית4/12,1,תקופת_ההלוואה4-ROWS($C$4:AD27)+1,הפחתה8[[#This Row],[יתרת פתיחה]]),IFERROR(-IPMT(שיעור_ריבית4/12,1,הפחתה8[[#This Row],[תשלומים
שנותרו]],AE28),0)),0)</f>
        <v>0</v>
      </c>
      <c r="AG27" s="19" t="str">
        <f ca="1">IFERROR(IF(AND(ValuesEntered4,הפחתה8[[#This Row],[תאריך]]&lt;&gt;""),-PPMT(שיעור_ריבית4/12,1,תקופת_ההלוואה4-ROWS($C$4:AD27)+1,הפחתה8[[#This Row],[יתרת פתיחה]]),""),0)</f>
        <v/>
      </c>
      <c r="AH27" s="19">
        <f ca="1">(הפחתה8[[#This Row],[יתרת פתיחה]])*(מדד4/12)</f>
        <v>0</v>
      </c>
      <c r="AI27" s="19">
        <f ca="1">IF(הפחתה8[[#This Row],[תאריך]]="",0,הפחתה8[[#This Row],[ריבית]]+הפחתה8[[#This Row],[קרן]]+הפחתה8[[#This Row],[מדד]])</f>
        <v>0</v>
      </c>
      <c r="AJ27" s="19">
        <f ca="1">IF(הפחתה8[[#This Row],[תאריך]]="",0,הפחתה8[[#This Row],[יתרת פתיחה]]-הפחתה8[[#This Row],[קרן]])</f>
        <v>0</v>
      </c>
      <c r="AK27" s="20">
        <f ca="1">IF(הפחתה8[[#This Row],[יתרת
סגירה]]&gt;0,LastRow4-ROW(),0)</f>
        <v>0</v>
      </c>
    </row>
    <row r="28" spans="1:37" ht="15" customHeight="1" x14ac:dyDescent="0.25">
      <c r="A28" s="8"/>
      <c r="B28" s="11">
        <f>ROWS($B$4:B28)</f>
        <v>25</v>
      </c>
      <c r="C28" s="12">
        <f>IF(ValuesEntered,IF(הפחתה[[#This Row],[מס'']]&lt;=תקופת_ההלוואה,IF(ROW()-ROW(הפחתה[[#Headers],[תאריך]])=1,LoanStart,IF(I27&gt;0,EDATE(C27,1),"")),""),"")</f>
        <v>46113</v>
      </c>
      <c r="D28" s="13">
        <f>IF(ROW()-ROW(הפחתה[[#Headers],[יתרת פתיחה]])=1,סכום_הלוואה,IF(הפחתה[[#This Row],[תאריך]]="",0,INDEX(הפחתה[], ROW()-4,8)))</f>
        <v>582777.42646912078</v>
      </c>
      <c r="E28" s="13">
        <f>IF(ValuesEntered,IF(ROW()-ROW(הפחתה[[#Headers],[ריבית]])=1,-IPMT(שיעור_ריבית/12,1,תקופת_ההלוואה-ROWS($C$4:C28)+1,הפחתה[[#This Row],[יתרת פתיחה]]),IFERROR(-IPMT(שיעור_ריבית/12,1,הפחתה[[#This Row],[תשלומים
שנותרו]],D29),0)),0)</f>
        <v>2570.5862671650248</v>
      </c>
      <c r="F28" s="13">
        <f>IFERROR(IF(AND(ValuesEntered,הפחתה[[#This Row],[תאריך]]&lt;&gt;""),-PPMT(שיעור_ריבית/12,1,תקופת_ההלוואה-ROWS($C$4:C28)+1,הפחתה[[#This Row],[יתרת פתיחה]]),""),0)</f>
        <v>757.89428081326753</v>
      </c>
      <c r="G28" s="13">
        <f>(הפחתה[[#This Row],[יתרת פתיחה]])*(מדד/12)</f>
        <v>0</v>
      </c>
      <c r="H28" s="13">
        <f>IF(הפחתה[[#This Row],[תאריך]]="",0,הפחתה[[#This Row],[ריבית]]+הפחתה[[#This Row],[קרן]]+הפחתה[[#This Row],[מדד]])</f>
        <v>3328.4805479782922</v>
      </c>
      <c r="I28" s="13">
        <f>IF(הפחתה[[#This Row],[תאריך]]="",0,הפחתה[[#This Row],[יתרת פתיחה]]-הפחתה[[#This Row],[קרן]]+הפחתה[[#This Row],[מדד]])</f>
        <v>582019.53218830749</v>
      </c>
      <c r="J28" s="11">
        <f>IF(הפחתה[[#This Row],[יתרת
סגירה]]&gt;0,LastRow-ROW(),0)</f>
        <v>335</v>
      </c>
      <c r="K28" s="11">
        <f>ROWS($K$4:K28)</f>
        <v>25</v>
      </c>
      <c r="L28" s="12">
        <f>IF(ValuesEntered2,IF(הפחתה5[[#This Row],[מס'']]&lt;=תקופת_ההלוואה2,IF(ROW()-ROW(הפחתה5[[#Headers],[תאריך]])=1,LoanStart2,IF(R27&gt;0,EDATE(L27,1),"")),""),"")</f>
        <v>46113</v>
      </c>
      <c r="M28" s="13">
        <f>IF(ROW()-ROW(הפחתה5[[#Headers],[יתרת פתיחה]])=1,סכום_הלוואה2,IF(הפחתה5[[#This Row],[תאריך]]="",0,INDEX(הפחתה5[], ROW()-4,8)))</f>
        <v>286772.24283646932</v>
      </c>
      <c r="N28" s="13">
        <f>IF(ValuesEntered2,IF(ROW()-ROW(הפחתה5[[#Headers],[ריבית]])=1,-IPMT(שיעור_ריבית2/12,1,תקופת_ההלוואה2-ROWS($L$4:L28)+1,הפחתה5[[#This Row],[יתרת פתיחה]]),IFERROR(-IPMT(שיעור_ריבית2/12,1,הפחתה5[[#This Row],[תשלומים
שנותרו]],M29),0)),0)</f>
        <v>1120.9253183507694</v>
      </c>
      <c r="O28" s="13">
        <f>IFERROR(IF(AND(ValuesEntered2,הפחתה5[[#This Row],[תאריך]]&lt;&gt;""),-PPMT(שיעור_ריבית2/12,1,תקופת_ההלוואה2-ROWS($L$4:L28)+1,הפחתה5[[#This Row],[יתרת פתיחה]]),""),0)</f>
        <v>578.54453414522118</v>
      </c>
      <c r="P28" s="13">
        <f>(הפחתה5[[#This Row],[יתרת פתיחה]])*(מדד2/12)</f>
        <v>0</v>
      </c>
      <c r="Q28" s="13">
        <f>IF(הפחתה5[[#This Row],[תאריך]]="",0,הפחתה5[[#This Row],[ריבית]]+הפחתה5[[#This Row],[קרן]]+הפחתה5[[#This Row],[מדד]])</f>
        <v>1699.4698524959906</v>
      </c>
      <c r="R28" s="13">
        <f>IF(הפחתה5[[#This Row],[תאריך]]="",0,הפחתה5[[#This Row],[יתרת פתיחה]]-הפחתה5[[#This Row],[קרן]]+הפחתה5[[#This Row],[מדד]])</f>
        <v>286193.6983023241</v>
      </c>
      <c r="S28" s="11">
        <f>IF(הפחתה5[[#This Row],[יתרת
סגירה]]&gt;0,LastRow2-ROW(),0)</f>
        <v>275</v>
      </c>
      <c r="T28" s="11">
        <f>ROWS($T$4:T28)</f>
        <v>25</v>
      </c>
      <c r="U28" s="12">
        <f ca="1">IF(ValuesEntered3,IF(הפחתה7[[#This Row],[מס'']]&lt;=תקופת_ההלוואה3,IF(ROW()-ROW(הפחתה7[[#Headers],[תאריך]])=1,LoanStart3,IF(AA27&gt;0,EDATE(U27,1),"")),""),"")</f>
        <v>46351</v>
      </c>
      <c r="V28" s="13">
        <f ca="1">IF(ROW()-ROW(הפחתה7[[#Headers],[יתרת פתיחה]])=1,סכום_הלוואה3,IF(הפחתה7[[#This Row],[תאריך]]="",0,INDEX(הפחתה7[], ROW()-4,8)))</f>
        <v>97781.568559484527</v>
      </c>
      <c r="W28" s="13">
        <f ca="1">IF(ValuesEntered3,IF(ROW()-ROW(הפחתה7[[#Headers],[ריבית]])=1,-IPMT(שיעור_ריבית3/12,1,תקופת_ההלוואה3-ROWS($C$4:U28)+1,הפחתה7[[#This Row],[יתרת פתיחה]]),IFERROR(-IPMT(שיעור_ריבית3/12,1,הפחתה7[[#This Row],[תשלומים
שנותרו]],V29),0)),0)</f>
        <v>187.21120045619142</v>
      </c>
      <c r="X28" s="13">
        <f ca="1">IFERROR(IF(AND(ValuesEntered3,הפחתה7[[#This Row],[תאריך]]&lt;&gt;""),-PPMT(שיעור_ריבית3/12,1,תקופת_ההלוואה3-ROWS($C$4:U28)+1,הפחתה7[[#This Row],[יתרת פתיחה]]),""),0)</f>
        <v>269.12890675191727</v>
      </c>
      <c r="Y28" s="13">
        <f ca="1">(הפחתה7[[#This Row],[יתרת פתיחה]])*(מדד3/12)</f>
        <v>162.96928093247422</v>
      </c>
      <c r="Z28" s="13">
        <f ca="1">IF(הפחתה7[[#This Row],[תאריך]]="",0,הפחתה7[[#This Row],[ריבית]]+הפחתה7[[#This Row],[קרן]]+הפחתה7[[#This Row],[מדד]])</f>
        <v>619.30938814058288</v>
      </c>
      <c r="AA28" s="13">
        <f ca="1">IF(הפחתה7[[#This Row],[תאריך]]="",0,הפחתה7[[#This Row],[יתרת פתיחה]]-הפחתה7[[#This Row],[קרן]]+הפחתה7[[#This Row],[מדד]])</f>
        <v>97675.408933665094</v>
      </c>
      <c r="AB28" s="11">
        <f ca="1">IF(הפחתה7[[#This Row],[יתרת
סגירה]]&gt;0,LastRow3-ROW(),0)</f>
        <v>275</v>
      </c>
      <c r="AC28" s="17">
        <f>ROWS($AC$4:AC28)</f>
        <v>25</v>
      </c>
      <c r="AD28" s="18" t="str">
        <f ca="1">IF(ValuesEntered4,IF(הפחתה8[[#This Row],[מס'']]&lt;=תקופת_ההלוואה4,IF(ROW()-ROW(הפחתה8[[#Headers],[תאריך]])=1,LoanStart4,IF(AJ27&gt;0,EDATE(AD27,1),"")),""),"")</f>
        <v/>
      </c>
      <c r="AE28" s="19">
        <f ca="1">IF(ROW()-ROW(הפחתה8[[#Headers],[יתרת פתיחה]])=1,סכום_הלוואה4,IF(הפחתה8[[#This Row],[תאריך]]="",0,INDEX(הפחתה8[], ROW()-4,8)))</f>
        <v>0</v>
      </c>
      <c r="AF28" s="19">
        <f ca="1">IF(ValuesEntered4,IF(ROW()-ROW(הפחתה8[[#Headers],[ריבית]])=1,-IPMT(שיעור_ריבית4/12,1,תקופת_ההלוואה4-ROWS($C$4:AD28)+1,הפחתה8[[#This Row],[יתרת פתיחה]]),IFERROR(-IPMT(שיעור_ריבית4/12,1,הפחתה8[[#This Row],[תשלומים
שנותרו]],AE29),0)),0)</f>
        <v>0</v>
      </c>
      <c r="AG28" s="19" t="str">
        <f ca="1">IFERROR(IF(AND(ValuesEntered4,הפחתה8[[#This Row],[תאריך]]&lt;&gt;""),-PPMT(שיעור_ריבית4/12,1,תקופת_ההלוואה4-ROWS($C$4:AD28)+1,הפחתה8[[#This Row],[יתרת פתיחה]]),""),0)</f>
        <v/>
      </c>
      <c r="AH28" s="19">
        <f ca="1">(הפחתה8[[#This Row],[יתרת פתיחה]])*(מדד4/12)</f>
        <v>0</v>
      </c>
      <c r="AI28" s="19">
        <f ca="1">IF(הפחתה8[[#This Row],[תאריך]]="",0,הפחתה8[[#This Row],[ריבית]]+הפחתה8[[#This Row],[קרן]]+הפחתה8[[#This Row],[מדד]])</f>
        <v>0</v>
      </c>
      <c r="AJ28" s="19">
        <f ca="1">IF(הפחתה8[[#This Row],[תאריך]]="",0,הפחתה8[[#This Row],[יתרת פתיחה]]-הפחתה8[[#This Row],[קרן]])</f>
        <v>0</v>
      </c>
      <c r="AK28" s="20">
        <f ca="1">IF(הפחתה8[[#This Row],[יתרת
סגירה]]&gt;0,LastRow4-ROW(),0)</f>
        <v>0</v>
      </c>
    </row>
    <row r="29" spans="1:37" ht="15" customHeight="1" x14ac:dyDescent="0.25">
      <c r="A29" s="8"/>
      <c r="B29" s="11">
        <f>ROWS($B$4:B29)</f>
        <v>26</v>
      </c>
      <c r="C29" s="12">
        <f>IF(ValuesEntered,IF(הפחתה[[#This Row],[מס'']]&lt;=תקופת_ההלוואה,IF(ROW()-ROW(הפחתה[[#Headers],[תאריך]])=1,LoanStart,IF(I28&gt;0,EDATE(C28,1),"")),""),"")</f>
        <v>46143</v>
      </c>
      <c r="D29" s="13">
        <f>IF(ROW()-ROW(הפחתה[[#Headers],[יתרת פתיחה]])=1,סכום_הלוואה,IF(הפחתה[[#This Row],[תאריך]]="",0,INDEX(הפחתה[], ROW()-4,8)))</f>
        <v>582019.53218830749</v>
      </c>
      <c r="E29" s="13">
        <f>IF(ValuesEntered,IF(ROW()-ROW(הפחתה[[#Headers],[ריבית]])=1,-IPMT(שיעור_ריבית/12,1,תקופת_ההלוואה-ROWS($C$4:C29)+1,הפחתה[[#This Row],[יתרת פתיחה]]),IFERROR(-IPMT(שיעור_ריבית/12,1,הפחתה[[#This Row],[תשלומים
שנותרו]],D30),0)),0)</f>
        <v>2567.2241165564687</v>
      </c>
      <c r="F29" s="13">
        <f>IFERROR(IF(AND(ValuesEntered,הפחתה[[#This Row],[תאריך]]&lt;&gt;""),-PPMT(שיעור_ריבית/12,1,תקופת_ההלוואה-ROWS($C$4:C29)+1,הפחתה[[#This Row],[יתרת פתיחה]]),""),0)</f>
        <v>761.24164722019293</v>
      </c>
      <c r="G29" s="13">
        <f>(הפחתה[[#This Row],[יתרת פתיחה]])*(מדד/12)</f>
        <v>0</v>
      </c>
      <c r="H29" s="13">
        <f>IF(הפחתה[[#This Row],[תאריך]]="",0,הפחתה[[#This Row],[ריבית]]+הפחתה[[#This Row],[קרן]]+הפחתה[[#This Row],[מדד]])</f>
        <v>3328.4657637766618</v>
      </c>
      <c r="I29" s="13">
        <f>IF(הפחתה[[#This Row],[תאריך]]="",0,הפחתה[[#This Row],[יתרת פתיחה]]-הפחתה[[#This Row],[קרן]]+הפחתה[[#This Row],[מדד]])</f>
        <v>581258.29054108728</v>
      </c>
      <c r="J29" s="11">
        <f>IF(הפחתה[[#This Row],[יתרת
סגירה]]&gt;0,LastRow-ROW(),0)</f>
        <v>334</v>
      </c>
      <c r="K29" s="11">
        <f>ROWS($K$4:K29)</f>
        <v>26</v>
      </c>
      <c r="L29" s="12">
        <f>IF(ValuesEntered2,IF(הפחתה5[[#This Row],[מס'']]&lt;=תקופת_ההלוואה2,IF(ROW()-ROW(הפחתה5[[#Headers],[תאריך]])=1,LoanStart2,IF(R28&gt;0,EDATE(L28,1),"")),""),"")</f>
        <v>46143</v>
      </c>
      <c r="M29" s="13">
        <f>IF(ROW()-ROW(הפחתה5[[#Headers],[יתרת פתיחה]])=1,סכום_הלוואה2,IF(הפחתה5[[#This Row],[תאריך]]="",0,INDEX(הפחתה5[], ROW()-4,8)))</f>
        <v>286193.6983023241</v>
      </c>
      <c r="N29" s="13">
        <f>IF(ValuesEntered2,IF(ROW()-ROW(הפחתה5[[#Headers],[ריבית]])=1,-IPMT(שיעור_ריבית2/12,1,תקופת_ההלוואה2-ROWS($L$4:L29)+1,הפחתה5[[#This Row],[יתרת פתיחה]]),IFERROR(-IPMT(שיעור_ריבית2/12,1,הפחתה5[[#This Row],[תשלומים
שנותרו]],M30),0)),0)</f>
        <v>1118.65047722484</v>
      </c>
      <c r="O29" s="13">
        <f>IFERROR(IF(AND(ValuesEntered2,הפחתה5[[#This Row],[תאריך]]&lt;&gt;""),-PPMT(שיעור_ריבית2/12,1,תקופת_ההלוואה2-ROWS($L$4:L29)+1,הפחתה5[[#This Row],[יתרת פתיחה]]),""),0)</f>
        <v>580.81050023729006</v>
      </c>
      <c r="P29" s="13">
        <f>(הפחתה5[[#This Row],[יתרת פתיחה]])*(מדד2/12)</f>
        <v>0</v>
      </c>
      <c r="Q29" s="13">
        <f>IF(הפחתה5[[#This Row],[תאריך]]="",0,הפחתה5[[#This Row],[ריבית]]+הפחתה5[[#This Row],[קרן]]+הפחתה5[[#This Row],[מדד]])</f>
        <v>1699.4609774621299</v>
      </c>
      <c r="R29" s="13">
        <f>IF(הפחתה5[[#This Row],[תאריך]]="",0,הפחתה5[[#This Row],[יתרת פתיחה]]-הפחתה5[[#This Row],[קרן]]+הפחתה5[[#This Row],[מדד]])</f>
        <v>285612.88780208683</v>
      </c>
      <c r="S29" s="11">
        <f>IF(הפחתה5[[#This Row],[יתרת
סגירה]]&gt;0,LastRow2-ROW(),0)</f>
        <v>274</v>
      </c>
      <c r="T29" s="11">
        <f>ROWS($T$4:T29)</f>
        <v>26</v>
      </c>
      <c r="U29" s="12">
        <f ca="1">IF(ValuesEntered3,IF(הפחתה7[[#This Row],[מס'']]&lt;=תקופת_ההלוואה3,IF(ROW()-ROW(הפחתה7[[#Headers],[תאריך]])=1,LoanStart3,IF(AA28&gt;0,EDATE(U28,1),"")),""),"")</f>
        <v>46381</v>
      </c>
      <c r="V29" s="13">
        <f ca="1">IF(ROW()-ROW(הפחתה7[[#Headers],[יתרת פתיחה]])=1,סכום_הלוואה3,IF(הפחתה7[[#This Row],[תאריך]]="",0,INDEX(הפחתה7[], ROW()-4,8)))</f>
        <v>97675.408933665094</v>
      </c>
      <c r="W29" s="13">
        <f ca="1">IF(ValuesEntered3,IF(ROW()-ROW(הפחתה7[[#Headers],[ריבית]])=1,-IPMT(שיעור_ריבית3/12,1,תקופת_ההלוואה3-ROWS($C$4:U29)+1,הפחתה7[[#This Row],[יתרת פתיחה]]),IFERROR(-IPMT(שיעור_ריבית3/12,1,הפחתה7[[#This Row],[תשלומים
שנותרו]],V30),0)),0)</f>
        <v>187.00553630161599</v>
      </c>
      <c r="X29" s="13">
        <f ca="1">IFERROR(IF(AND(ValuesEntered3,הפחתה7[[#This Row],[תאריך]]&lt;&gt;""),-PPMT(שיעור_ריבית3/12,1,תקופת_ההלוואה3-ROWS($C$4:U29)+1,הפחתה7[[#This Row],[יתרת פתיחה]]),""),0)</f>
        <v>270.09538539256687</v>
      </c>
      <c r="Y29" s="13">
        <f ca="1">(הפחתה7[[#This Row],[יתרת פתיחה]])*(מדד3/12)</f>
        <v>162.79234822277516</v>
      </c>
      <c r="Z29" s="13">
        <f ca="1">IF(הפחתה7[[#This Row],[תאריך]]="",0,הפחתה7[[#This Row],[ריבית]]+הפחתה7[[#This Row],[קרן]]+הפחתה7[[#This Row],[מדד]])</f>
        <v>619.89326991695793</v>
      </c>
      <c r="AA29" s="13">
        <f ca="1">IF(הפחתה7[[#This Row],[תאריך]]="",0,הפחתה7[[#This Row],[יתרת פתיחה]]-הפחתה7[[#This Row],[קרן]]+הפחתה7[[#This Row],[מדד]])</f>
        <v>97568.105896495312</v>
      </c>
      <c r="AB29" s="11">
        <f ca="1">IF(הפחתה7[[#This Row],[יתרת
סגירה]]&gt;0,LastRow3-ROW(),0)</f>
        <v>274</v>
      </c>
      <c r="AC29" s="17">
        <f>ROWS($AC$4:AC29)</f>
        <v>26</v>
      </c>
      <c r="AD29" s="18" t="str">
        <f ca="1">IF(ValuesEntered4,IF(הפחתה8[[#This Row],[מס'']]&lt;=תקופת_ההלוואה4,IF(ROW()-ROW(הפחתה8[[#Headers],[תאריך]])=1,LoanStart4,IF(AJ28&gt;0,EDATE(AD28,1),"")),""),"")</f>
        <v/>
      </c>
      <c r="AE29" s="19">
        <f ca="1">IF(ROW()-ROW(הפחתה8[[#Headers],[יתרת פתיחה]])=1,סכום_הלוואה4,IF(הפחתה8[[#This Row],[תאריך]]="",0,INDEX(הפחתה8[], ROW()-4,8)))</f>
        <v>0</v>
      </c>
      <c r="AF29" s="19">
        <f ca="1">IF(ValuesEntered4,IF(ROW()-ROW(הפחתה8[[#Headers],[ריבית]])=1,-IPMT(שיעור_ריבית4/12,1,תקופת_ההלוואה4-ROWS($C$4:AD29)+1,הפחתה8[[#This Row],[יתרת פתיחה]]),IFERROR(-IPMT(שיעור_ריבית4/12,1,הפחתה8[[#This Row],[תשלומים
שנותרו]],AE30),0)),0)</f>
        <v>0</v>
      </c>
      <c r="AG29" s="19" t="str">
        <f ca="1">IFERROR(IF(AND(ValuesEntered4,הפחתה8[[#This Row],[תאריך]]&lt;&gt;""),-PPMT(שיעור_ריבית4/12,1,תקופת_ההלוואה4-ROWS($C$4:AD29)+1,הפחתה8[[#This Row],[יתרת פתיחה]]),""),0)</f>
        <v/>
      </c>
      <c r="AH29" s="19">
        <f ca="1">(הפחתה8[[#This Row],[יתרת פתיחה]])*(מדד4/12)</f>
        <v>0</v>
      </c>
      <c r="AI29" s="19">
        <f ca="1">IF(הפחתה8[[#This Row],[תאריך]]="",0,הפחתה8[[#This Row],[ריבית]]+הפחתה8[[#This Row],[קרן]]+הפחתה8[[#This Row],[מדד]])</f>
        <v>0</v>
      </c>
      <c r="AJ29" s="19">
        <f ca="1">IF(הפחתה8[[#This Row],[תאריך]]="",0,הפחתה8[[#This Row],[יתרת פתיחה]]-הפחתה8[[#This Row],[קרן]])</f>
        <v>0</v>
      </c>
      <c r="AK29" s="20">
        <f ca="1">IF(הפחתה8[[#This Row],[יתרת
סגירה]]&gt;0,LastRow4-ROW(),0)</f>
        <v>0</v>
      </c>
    </row>
    <row r="30" spans="1:37" ht="15" customHeight="1" x14ac:dyDescent="0.25">
      <c r="A30" s="8"/>
      <c r="B30" s="11">
        <f>ROWS($B$4:B30)</f>
        <v>27</v>
      </c>
      <c r="C30" s="12">
        <f>IF(ValuesEntered,IF(הפחתה[[#This Row],[מס'']]&lt;=תקופת_ההלוואה,IF(ROW()-ROW(הפחתה[[#Headers],[תאריך]])=1,LoanStart,IF(I29&gt;0,EDATE(C29,1),"")),""),"")</f>
        <v>46174</v>
      </c>
      <c r="D30" s="13">
        <f>IF(ROW()-ROW(הפחתה[[#Headers],[יתרת פתיחה]])=1,סכום_הלוואה,IF(הפחתה[[#This Row],[תאריך]]="",0,INDEX(הפחתה[], ROW()-4,8)))</f>
        <v>581258.29054108728</v>
      </c>
      <c r="E30" s="13">
        <f>IF(ValuesEntered,IF(ROW()-ROW(הפחתה[[#Headers],[ריבית]])=1,-IPMT(שיעור_ריבית/12,1,תקופת_ההלוואה-ROWS($C$4:C30)+1,הפחתה[[#This Row],[יתרת פתיחה]]),IFERROR(-IPMT(שיעור_ריבית/12,1,הפחתה[[#This Row],[תשלומים
שנותרו]],D31),0)),0)</f>
        <v>2563.8471164493917</v>
      </c>
      <c r="F30" s="13">
        <f>IFERROR(IF(AND(ValuesEntered,הפחתה[[#This Row],[תאריך]]&lt;&gt;""),-PPMT(שיעור_ריבית/12,1,תקופת_ההלוואה-ROWS($C$4:C30)+1,הפחתה[[#This Row],[יתרת פתיחה]]),""),0)</f>
        <v>764.60379782874884</v>
      </c>
      <c r="G30" s="13">
        <f>(הפחתה[[#This Row],[יתרת פתיחה]])*(מדד/12)</f>
        <v>0</v>
      </c>
      <c r="H30" s="13">
        <f>IF(הפחתה[[#This Row],[תאריך]]="",0,הפחתה[[#This Row],[ריבית]]+הפחתה[[#This Row],[קרן]]+הפחתה[[#This Row],[מדד]])</f>
        <v>3328.4509142781408</v>
      </c>
      <c r="I30" s="13">
        <f>IF(הפחתה[[#This Row],[תאריך]]="",0,הפחתה[[#This Row],[יתרת פתיחה]]-הפחתה[[#This Row],[קרן]]+הפחתה[[#This Row],[מדד]])</f>
        <v>580493.6867432585</v>
      </c>
      <c r="J30" s="11">
        <f>IF(הפחתה[[#This Row],[יתרת
סגירה]]&gt;0,LastRow-ROW(),0)</f>
        <v>333</v>
      </c>
      <c r="K30" s="11">
        <f>ROWS($K$4:K30)</f>
        <v>27</v>
      </c>
      <c r="L30" s="12">
        <f>IF(ValuesEntered2,IF(הפחתה5[[#This Row],[מס'']]&lt;=תקופת_ההלוואה2,IF(ROW()-ROW(הפחתה5[[#Headers],[תאריך]])=1,LoanStart2,IF(R29&gt;0,EDATE(L29,1),"")),""),"")</f>
        <v>46174</v>
      </c>
      <c r="M30" s="13">
        <f>IF(ROW()-ROW(הפחתה5[[#Headers],[יתרת פתיחה]])=1,סכום_הלוואה2,IF(הפחתה5[[#This Row],[תאריך]]="",0,INDEX(הפחתה5[], ROW()-4,8)))</f>
        <v>285612.88780208683</v>
      </c>
      <c r="N30" s="13">
        <f>IF(ValuesEntered2,IF(ROW()-ROW(הפחתה5[[#Headers],[ריבית]])=1,-IPMT(שיעור_ריבית2/12,1,תקופת_ההלוואה2-ROWS($L$4:L30)+1,הפחתה5[[#This Row],[יתרת פתיחה]]),IFERROR(-IPMT(שיעור_ריבית2/12,1,הפחתה5[[#This Row],[תשלומים
שנותרו]],M31),0)),0)</f>
        <v>1116.3667263045008</v>
      </c>
      <c r="O30" s="13">
        <f>IFERROR(IF(AND(ValuesEntered2,הפחתה5[[#This Row],[תאריך]]&lt;&gt;""),-PPMT(שיעור_ריבית2/12,1,תקופת_ההלוואה2-ROWS($L$4:L30)+1,הפחתה5[[#This Row],[יתרת פתיחה]]),""),0)</f>
        <v>583.0853413632193</v>
      </c>
      <c r="P30" s="13">
        <f>(הפחתה5[[#This Row],[יתרת פתיחה]])*(מדד2/12)</f>
        <v>0</v>
      </c>
      <c r="Q30" s="13">
        <f>IF(הפחתה5[[#This Row],[תאריך]]="",0,הפחתה5[[#This Row],[ריבית]]+הפחתה5[[#This Row],[קרן]]+הפחתה5[[#This Row],[מדד]])</f>
        <v>1699.4520676677203</v>
      </c>
      <c r="R30" s="13">
        <f>IF(הפחתה5[[#This Row],[תאריך]]="",0,הפחתה5[[#This Row],[יתרת פתיחה]]-הפחתה5[[#This Row],[קרן]]+הפחתה5[[#This Row],[מדד]])</f>
        <v>285029.80246072361</v>
      </c>
      <c r="S30" s="11">
        <f>IF(הפחתה5[[#This Row],[יתרת
סגירה]]&gt;0,LastRow2-ROW(),0)</f>
        <v>273</v>
      </c>
      <c r="T30" s="11">
        <f>ROWS($T$4:T30)</f>
        <v>27</v>
      </c>
      <c r="U30" s="12">
        <f ca="1">IF(ValuesEntered3,IF(הפחתה7[[#This Row],[מס'']]&lt;=תקופת_ההלוואה3,IF(ROW()-ROW(הפחתה7[[#Headers],[תאריך]])=1,LoanStart3,IF(AA29&gt;0,EDATE(U29,1),"")),""),"")</f>
        <v>46412</v>
      </c>
      <c r="V30" s="13">
        <f ca="1">IF(ROW()-ROW(הפחתה7[[#Headers],[יתרת פתיחה]])=1,סכום_הלוואה3,IF(הפחתה7[[#This Row],[תאריך]]="",0,INDEX(הפחתה7[], ROW()-4,8)))</f>
        <v>97568.105896495312</v>
      </c>
      <c r="W30" s="13">
        <f ca="1">IF(ValuesEntered3,IF(ROW()-ROW(הפחתה7[[#Headers],[ריבית]])=1,-IPMT(שיעור_ריבית3/12,1,תקופת_ההלוואה3-ROWS($C$4:U30)+1,הפחתה7[[#This Row],[יתרת פתיחה]]),IFERROR(-IPMT(שיעור_ריבית3/12,1,הפחתה7[[#This Row],[תשלומים
שנותרו]],V31),0)),0)</f>
        <v>186.79767029256999</v>
      </c>
      <c r="X30" s="13">
        <f ca="1">IFERROR(IF(AND(ValuesEntered3,הפחתה7[[#This Row],[תאריך]]&lt;&gt;""),-PPMT(שיעור_ריבית3/12,1,תקופת_ההלוואה3-ROWS($C$4:U30)+1,הפחתה7[[#This Row],[יתרת פתיחה]]),""),0)</f>
        <v>271.06534063410822</v>
      </c>
      <c r="Y30" s="13">
        <f ca="1">(הפחתה7[[#This Row],[יתרת פתיחה]])*(מדד3/12)</f>
        <v>162.61350982749221</v>
      </c>
      <c r="Z30" s="13">
        <f ca="1">IF(הפחתה7[[#This Row],[תאריך]]="",0,הפחתה7[[#This Row],[ריבית]]+הפחתה7[[#This Row],[קרן]]+הפחתה7[[#This Row],[מדד]])</f>
        <v>620.47652075417045</v>
      </c>
      <c r="AA30" s="13">
        <f ca="1">IF(הפחתה7[[#This Row],[תאריך]]="",0,הפחתה7[[#This Row],[יתרת פתיחה]]-הפחתה7[[#This Row],[קרן]]+הפחתה7[[#This Row],[מדד]])</f>
        <v>97459.654065688694</v>
      </c>
      <c r="AB30" s="11">
        <f ca="1">IF(הפחתה7[[#This Row],[יתרת
סגירה]]&gt;0,LastRow3-ROW(),0)</f>
        <v>273</v>
      </c>
      <c r="AC30" s="17">
        <f>ROWS($AC$4:AC30)</f>
        <v>27</v>
      </c>
      <c r="AD30" s="18" t="str">
        <f ca="1">IF(ValuesEntered4,IF(הפחתה8[[#This Row],[מס'']]&lt;=תקופת_ההלוואה4,IF(ROW()-ROW(הפחתה8[[#Headers],[תאריך]])=1,LoanStart4,IF(AJ29&gt;0,EDATE(AD29,1),"")),""),"")</f>
        <v/>
      </c>
      <c r="AE30" s="19">
        <f ca="1">IF(ROW()-ROW(הפחתה8[[#Headers],[יתרת פתיחה]])=1,סכום_הלוואה4,IF(הפחתה8[[#This Row],[תאריך]]="",0,INDEX(הפחתה8[], ROW()-4,8)))</f>
        <v>0</v>
      </c>
      <c r="AF30" s="19">
        <f ca="1">IF(ValuesEntered4,IF(ROW()-ROW(הפחתה8[[#Headers],[ריבית]])=1,-IPMT(שיעור_ריבית4/12,1,תקופת_ההלוואה4-ROWS($C$4:AD30)+1,הפחתה8[[#This Row],[יתרת פתיחה]]),IFERROR(-IPMT(שיעור_ריבית4/12,1,הפחתה8[[#This Row],[תשלומים
שנותרו]],AE31),0)),0)</f>
        <v>0</v>
      </c>
      <c r="AG30" s="19" t="str">
        <f ca="1">IFERROR(IF(AND(ValuesEntered4,הפחתה8[[#This Row],[תאריך]]&lt;&gt;""),-PPMT(שיעור_ריבית4/12,1,תקופת_ההלוואה4-ROWS($C$4:AD30)+1,הפחתה8[[#This Row],[יתרת פתיחה]]),""),0)</f>
        <v/>
      </c>
      <c r="AH30" s="19">
        <f ca="1">(הפחתה8[[#This Row],[יתרת פתיחה]])*(מדד4/12)</f>
        <v>0</v>
      </c>
      <c r="AI30" s="19">
        <f ca="1">IF(הפחתה8[[#This Row],[תאריך]]="",0,הפחתה8[[#This Row],[ריבית]]+הפחתה8[[#This Row],[קרן]]+הפחתה8[[#This Row],[מדד]])</f>
        <v>0</v>
      </c>
      <c r="AJ30" s="19">
        <f ca="1">IF(הפחתה8[[#This Row],[תאריך]]="",0,הפחתה8[[#This Row],[יתרת פתיחה]]-הפחתה8[[#This Row],[קרן]])</f>
        <v>0</v>
      </c>
      <c r="AK30" s="20">
        <f ca="1">IF(הפחתה8[[#This Row],[יתרת
סגירה]]&gt;0,LastRow4-ROW(),0)</f>
        <v>0</v>
      </c>
    </row>
    <row r="31" spans="1:37" ht="15" customHeight="1" x14ac:dyDescent="0.25">
      <c r="A31" s="8"/>
      <c r="B31" s="11">
        <f>ROWS($B$4:B31)</f>
        <v>28</v>
      </c>
      <c r="C31" s="12">
        <f>IF(ValuesEntered,IF(הפחתה[[#This Row],[מס'']]&lt;=תקופת_ההלוואה,IF(ROW()-ROW(הפחתה[[#Headers],[תאריך]])=1,LoanStart,IF(I30&gt;0,EDATE(C30,1),"")),""),"")</f>
        <v>46204</v>
      </c>
      <c r="D31" s="13">
        <f>IF(ROW()-ROW(הפחתה[[#Headers],[יתרת פתיחה]])=1,סכום_הלוואה,IF(הפחתה[[#This Row],[תאריך]]="",0,INDEX(הפחתה[], ROW()-4,8)))</f>
        <v>580493.6867432585</v>
      </c>
      <c r="E31" s="13">
        <f>IF(ValuesEntered,IF(ROW()-ROW(הפחתה[[#Headers],[ריבית]])=1,-IPMT(שיעור_ריבית/12,1,תקופת_ההלוואה-ROWS($C$4:C31)+1,הפחתה[[#This Row],[יתרת פתיחה]]),IFERROR(-IPMT(שיעור_ריבית/12,1,הפחתה[[#This Row],[תשלומים
שנותרו]],D32),0)),0)</f>
        <v>2560.4552012585086</v>
      </c>
      <c r="F31" s="13">
        <f>IFERROR(IF(AND(ValuesEntered,הפחתה[[#This Row],[תאריך]]&lt;&gt;""),-PPMT(שיעור_ריבית/12,1,תקופת_ההלוואה-ROWS($C$4:C31)+1,הפחתה[[#This Row],[יתרת פתיחה]]),""),0)</f>
        <v>767.98079793582576</v>
      </c>
      <c r="G31" s="13">
        <f>(הפחתה[[#This Row],[יתרת פתיחה]])*(מדד/12)</f>
        <v>0</v>
      </c>
      <c r="H31" s="13">
        <f>IF(הפחתה[[#This Row],[תאריך]]="",0,הפחתה[[#This Row],[ריבית]]+הפחתה[[#This Row],[קרן]]+הפחתה[[#This Row],[מדד]])</f>
        <v>3328.4359991943343</v>
      </c>
      <c r="I31" s="13">
        <f>IF(הפחתה[[#This Row],[תאריך]]="",0,הפחתה[[#This Row],[יתרת פתיחה]]-הפחתה[[#This Row],[קרן]]+הפחתה[[#This Row],[מדד]])</f>
        <v>579725.70594532264</v>
      </c>
      <c r="J31" s="11">
        <f>IF(הפחתה[[#This Row],[יתרת
סגירה]]&gt;0,LastRow-ROW(),0)</f>
        <v>332</v>
      </c>
      <c r="K31" s="11">
        <f>ROWS($K$4:K31)</f>
        <v>28</v>
      </c>
      <c r="L31" s="12">
        <f>IF(ValuesEntered2,IF(הפחתה5[[#This Row],[מס'']]&lt;=תקופת_ההלוואה2,IF(ROW()-ROW(הפחתה5[[#Headers],[תאריך]])=1,LoanStart2,IF(R30&gt;0,EDATE(L30,1),"")),""),"")</f>
        <v>46204</v>
      </c>
      <c r="M31" s="13">
        <f>IF(ROW()-ROW(הפחתה5[[#Headers],[יתרת פתיחה]])=1,סכום_הלוואה2,IF(הפחתה5[[#This Row],[תאריך]]="",0,INDEX(הפחתה5[], ROW()-4,8)))</f>
        <v>285029.80246072361</v>
      </c>
      <c r="N31" s="13">
        <f>IF(ValuesEntered2,IF(ROW()-ROW(הפחתה5[[#Headers],[ריבית]])=1,-IPMT(שיעור_ריבית2/12,1,תקופת_ההלוואה2-ROWS($L$4:L31)+1,הפחתה5[[#This Row],[יתרת פתיחה]]),IFERROR(-IPMT(שיעור_ריבית2/12,1,הפחתה5[[#This Row],[תשלומים
שנותרו]],M32),0)),0)</f>
        <v>1114.0740306930568</v>
      </c>
      <c r="O31" s="13">
        <f>IFERROR(IF(AND(ValuesEntered2,הפחתה5[[#This Row],[תאריך]]&lt;&gt;""),-PPMT(שיעור_ריבית2/12,1,תקופת_ההלוואה2-ROWS($L$4:L31)+1,הפחתה5[[#This Row],[יתרת פתיחה]]),""),0)</f>
        <v>585.36909228355887</v>
      </c>
      <c r="P31" s="13">
        <f>(הפחתה5[[#This Row],[יתרת פתיחה]])*(מדד2/12)</f>
        <v>0</v>
      </c>
      <c r="Q31" s="13">
        <f>IF(הפחתה5[[#This Row],[תאריך]]="",0,הפחתה5[[#This Row],[ריבית]]+הפחתה5[[#This Row],[קרן]]+הפחתה5[[#This Row],[מדד]])</f>
        <v>1699.4431229766155</v>
      </c>
      <c r="R31" s="13">
        <f>IF(הפחתה5[[#This Row],[תאריך]]="",0,הפחתה5[[#This Row],[יתרת פתיחה]]-הפחתה5[[#This Row],[קרן]]+הפחתה5[[#This Row],[מדד]])</f>
        <v>284444.43336844008</v>
      </c>
      <c r="S31" s="11">
        <f>IF(הפחתה5[[#This Row],[יתרת
סגירה]]&gt;0,LastRow2-ROW(),0)</f>
        <v>272</v>
      </c>
      <c r="T31" s="11">
        <f>ROWS($T$4:T31)</f>
        <v>28</v>
      </c>
      <c r="U31" s="12">
        <f ca="1">IF(ValuesEntered3,IF(הפחתה7[[#This Row],[מס'']]&lt;=תקופת_ההלוואה3,IF(ROW()-ROW(הפחתה7[[#Headers],[תאריך]])=1,LoanStart3,IF(AA30&gt;0,EDATE(U30,1),"")),""),"")</f>
        <v>46443</v>
      </c>
      <c r="V31" s="13">
        <f ca="1">IF(ROW()-ROW(הפחתה7[[#Headers],[יתרת פתיחה]])=1,סכום_הלוואה3,IF(הפחתה7[[#This Row],[תאריך]]="",0,INDEX(הפחתה7[], ROW()-4,8)))</f>
        <v>97459.654065688694</v>
      </c>
      <c r="W31" s="13">
        <f ca="1">IF(ValuesEntered3,IF(ROW()-ROW(הפחתה7[[#Headers],[ריבית]])=1,-IPMT(שיעור_ריבית3/12,1,תקופת_ההלוואה3-ROWS($C$4:U31)+1,הפחתה7[[#This Row],[יתרת פתיחה]]),IFERROR(-IPMT(שיעור_ריבית3/12,1,הפחתה7[[#This Row],[תשלומים
שנותרו]],V32),0)),0)</f>
        <v>186.58759207171673</v>
      </c>
      <c r="X31" s="13">
        <f ca="1">IFERROR(IF(AND(ValuesEntered3,הפחתה7[[#This Row],[תאריך]]&lt;&gt;""),-PPMT(שיעור_ריבית3/12,1,תקופת_ההלוואה3-ROWS($C$4:U31)+1,הפחתה7[[#This Row],[יתרת פתיחה]]),""),0)</f>
        <v>272.03878504741721</v>
      </c>
      <c r="Y31" s="13">
        <f ca="1">(הפחתה7[[#This Row],[יתרת פתיחה]])*(מדד3/12)</f>
        <v>162.43275677614784</v>
      </c>
      <c r="Z31" s="13">
        <f ca="1">IF(הפחתה7[[#This Row],[תאריך]]="",0,הפחתה7[[#This Row],[ריבית]]+הפחתה7[[#This Row],[קרן]]+הפחתה7[[#This Row],[מדד]])</f>
        <v>621.05913389528178</v>
      </c>
      <c r="AA31" s="13">
        <f ca="1">IF(הפחתה7[[#This Row],[תאריך]]="",0,הפחתה7[[#This Row],[יתרת פתיחה]]-הפחתה7[[#This Row],[קרן]]+הפחתה7[[#This Row],[מדד]])</f>
        <v>97350.048037417422</v>
      </c>
      <c r="AB31" s="11">
        <f ca="1">IF(הפחתה7[[#This Row],[יתרת
סגירה]]&gt;0,LastRow3-ROW(),0)</f>
        <v>272</v>
      </c>
      <c r="AC31" s="17">
        <f>ROWS($AC$4:AC31)</f>
        <v>28</v>
      </c>
      <c r="AD31" s="18" t="str">
        <f ca="1">IF(ValuesEntered4,IF(הפחתה8[[#This Row],[מס'']]&lt;=תקופת_ההלוואה4,IF(ROW()-ROW(הפחתה8[[#Headers],[תאריך]])=1,LoanStart4,IF(AJ30&gt;0,EDATE(AD30,1),"")),""),"")</f>
        <v/>
      </c>
      <c r="AE31" s="19">
        <f ca="1">IF(ROW()-ROW(הפחתה8[[#Headers],[יתרת פתיחה]])=1,סכום_הלוואה4,IF(הפחתה8[[#This Row],[תאריך]]="",0,INDEX(הפחתה8[], ROW()-4,8)))</f>
        <v>0</v>
      </c>
      <c r="AF31" s="19">
        <f ca="1">IF(ValuesEntered4,IF(ROW()-ROW(הפחתה8[[#Headers],[ריבית]])=1,-IPMT(שיעור_ריבית4/12,1,תקופת_ההלוואה4-ROWS($C$4:AD31)+1,הפחתה8[[#This Row],[יתרת פתיחה]]),IFERROR(-IPMT(שיעור_ריבית4/12,1,הפחתה8[[#This Row],[תשלומים
שנותרו]],AE32),0)),0)</f>
        <v>0</v>
      </c>
      <c r="AG31" s="19" t="str">
        <f ca="1">IFERROR(IF(AND(ValuesEntered4,הפחתה8[[#This Row],[תאריך]]&lt;&gt;""),-PPMT(שיעור_ריבית4/12,1,תקופת_ההלוואה4-ROWS($C$4:AD31)+1,הפחתה8[[#This Row],[יתרת פתיחה]]),""),0)</f>
        <v/>
      </c>
      <c r="AH31" s="19">
        <f ca="1">(הפחתה8[[#This Row],[יתרת פתיחה]])*(מדד4/12)</f>
        <v>0</v>
      </c>
      <c r="AI31" s="19">
        <f ca="1">IF(הפחתה8[[#This Row],[תאריך]]="",0,הפחתה8[[#This Row],[ריבית]]+הפחתה8[[#This Row],[קרן]]+הפחתה8[[#This Row],[מדד]])</f>
        <v>0</v>
      </c>
      <c r="AJ31" s="19">
        <f ca="1">IF(הפחתה8[[#This Row],[תאריך]]="",0,הפחתה8[[#This Row],[יתרת פתיחה]]-הפחתה8[[#This Row],[קרן]])</f>
        <v>0</v>
      </c>
      <c r="AK31" s="20">
        <f ca="1">IF(הפחתה8[[#This Row],[יתרת
סגירה]]&gt;0,LastRow4-ROW(),0)</f>
        <v>0</v>
      </c>
    </row>
    <row r="32" spans="1:37" ht="15" customHeight="1" x14ac:dyDescent="0.25">
      <c r="A32" s="8"/>
      <c r="B32" s="11">
        <f>ROWS($B$4:B32)</f>
        <v>29</v>
      </c>
      <c r="C32" s="12">
        <f>IF(ValuesEntered,IF(הפחתה[[#This Row],[מס'']]&lt;=תקופת_ההלוואה,IF(ROW()-ROW(הפחתה[[#Headers],[תאריך]])=1,LoanStart,IF(I31&gt;0,EDATE(C31,1),"")),""),"")</f>
        <v>46235</v>
      </c>
      <c r="D32" s="13">
        <f>IF(ROW()-ROW(הפחתה[[#Headers],[יתרת פתיחה]])=1,סכום_הלוואה,IF(הפחתה[[#This Row],[תאריך]]="",0,INDEX(הפחתה[], ROW()-4,8)))</f>
        <v>579725.70594532264</v>
      </c>
      <c r="E32" s="13">
        <f>IF(ValuesEntered,IF(ROW()-ROW(הפחתה[[#Headers],[ריבית]])=1,-IPMT(שיעור_ריבית/12,1,תקופת_ההלוואה-ROWS($C$4:C32)+1,הפחתה[[#This Row],[יתרת פתיחה]]),IFERROR(-IPMT(שיעור_ריבית/12,1,הפחתה[[#This Row],[תשלומים
שנותרו]],D33),0)),0)</f>
        <v>2557.0483051088654</v>
      </c>
      <c r="F32" s="13">
        <f>IFERROR(IF(AND(ValuesEntered,הפחתה[[#This Row],[תאריך]]&lt;&gt;""),-PPMT(שיעור_ריבית/12,1,תקופת_ההלוואה-ROWS($C$4:C32)+1,הפחתה[[#This Row],[יתרת פתיחה]]),""),0)</f>
        <v>771.37271312670885</v>
      </c>
      <c r="G32" s="13">
        <f>(הפחתה[[#This Row],[יתרת פתיחה]])*(מדד/12)</f>
        <v>0</v>
      </c>
      <c r="H32" s="13">
        <f>IF(הפחתה[[#This Row],[תאריך]]="",0,הפחתה[[#This Row],[ריבית]]+הפחתה[[#This Row],[קרן]]+הפחתה[[#This Row],[מדד]])</f>
        <v>3328.4210182355741</v>
      </c>
      <c r="I32" s="13">
        <f>IF(הפחתה[[#This Row],[תאריך]]="",0,הפחתה[[#This Row],[יתרת פתיחה]]-הפחתה[[#This Row],[קרן]]+הפחתה[[#This Row],[מדד]])</f>
        <v>578954.33323219593</v>
      </c>
      <c r="J32" s="11">
        <f>IF(הפחתה[[#This Row],[יתרת
סגירה]]&gt;0,LastRow-ROW(),0)</f>
        <v>331</v>
      </c>
      <c r="K32" s="11">
        <f>ROWS($K$4:K32)</f>
        <v>29</v>
      </c>
      <c r="L32" s="12">
        <f>IF(ValuesEntered2,IF(הפחתה5[[#This Row],[מס'']]&lt;=תקופת_ההלוואה2,IF(ROW()-ROW(הפחתה5[[#Headers],[תאריך]])=1,LoanStart2,IF(R31&gt;0,EDATE(L31,1),"")),""),"")</f>
        <v>46235</v>
      </c>
      <c r="M32" s="13">
        <f>IF(ROW()-ROW(הפחתה5[[#Headers],[יתרת פתיחה]])=1,סכום_הלוואה2,IF(הפחתה5[[#This Row],[תאריך]]="",0,INDEX(הפחתה5[], ROW()-4,8)))</f>
        <v>284444.43336844008</v>
      </c>
      <c r="N32" s="13">
        <f>IF(ValuesEntered2,IF(ROW()-ROW(הפחתה5[[#Headers],[ריבית]])=1,-IPMT(שיעור_ריבית2/12,1,תקופת_ההלוואה2-ROWS($L$4:L32)+1,הפחתה5[[#This Row],[יתרת פתיחה]]),IFERROR(-IPMT(שיעור_ריבית2/12,1,הפחתה5[[#This Row],[תשלומים
שנותרו]],M33),0)),0)</f>
        <v>1111.7723553571348</v>
      </c>
      <c r="O32" s="13">
        <f>IFERROR(IF(AND(ValuesEntered2,הפחתה5[[#This Row],[תאריך]]&lt;&gt;""),-PPMT(שיעור_ריבית2/12,1,תקופת_ההלוואה2-ROWS($L$4:L32)+1,הפחתה5[[#This Row],[יתרת פתיחה]]),""),0)</f>
        <v>587.66178789500248</v>
      </c>
      <c r="P32" s="13">
        <f>(הפחתה5[[#This Row],[יתרת פתיחה]])*(מדד2/12)</f>
        <v>0</v>
      </c>
      <c r="Q32" s="13">
        <f>IF(הפחתה5[[#This Row],[תאריך]]="",0,הפחתה5[[#This Row],[ריבית]]+הפחתה5[[#This Row],[קרן]]+הפחתה5[[#This Row],[מדד]])</f>
        <v>1699.4341432521373</v>
      </c>
      <c r="R32" s="13">
        <f>IF(הפחתה5[[#This Row],[תאריך]]="",0,הפחתה5[[#This Row],[יתרת פתיחה]]-הפחתה5[[#This Row],[קרן]]+הפחתה5[[#This Row],[מדד]])</f>
        <v>283856.77158054506</v>
      </c>
      <c r="S32" s="11">
        <f>IF(הפחתה5[[#This Row],[יתרת
סגירה]]&gt;0,LastRow2-ROW(),0)</f>
        <v>271</v>
      </c>
      <c r="T32" s="11">
        <f>ROWS($T$4:T32)</f>
        <v>29</v>
      </c>
      <c r="U32" s="12">
        <f ca="1">IF(ValuesEntered3,IF(הפחתה7[[#This Row],[מס'']]&lt;=תקופת_ההלוואה3,IF(ROW()-ROW(הפחתה7[[#Headers],[תאריך]])=1,LoanStart3,IF(AA31&gt;0,EDATE(U31,1),"")),""),"")</f>
        <v>46471</v>
      </c>
      <c r="V32" s="13">
        <f ca="1">IF(ROW()-ROW(הפחתה7[[#Headers],[יתרת פתיחה]])=1,סכום_הלוואה3,IF(הפחתה7[[#This Row],[תאריך]]="",0,INDEX(הפחתה7[], ROW()-4,8)))</f>
        <v>97350.048037417422</v>
      </c>
      <c r="W32" s="13">
        <f ca="1">IF(ValuesEntered3,IF(ROW()-ROW(הפחתה7[[#Headers],[ריבית]])=1,-IPMT(שיעור_ריבית3/12,1,תקופת_ההלוואה3-ROWS($C$4:U32)+1,הפחתה7[[#This Row],[יתרת פתיחה]]),IFERROR(-IPMT(שיעור_ריבית3/12,1,הפחתה7[[#This Row],[תשלומים
שנותרו]],V33),0)),0)</f>
        <v>186.37529124027432</v>
      </c>
      <c r="X32" s="13">
        <f ca="1">IFERROR(IF(AND(ValuesEntered3,הפחתה7[[#This Row],[תאריך]]&lt;&gt;""),-PPMT(שיעור_ריבית3/12,1,תקופת_ההלוואה3-ROWS($C$4:U32)+1,הפחתה7[[#This Row],[יתרת פתיחה]]),""),0)</f>
        <v>273.01573124970054</v>
      </c>
      <c r="Y32" s="13">
        <f ca="1">(הפחתה7[[#This Row],[יתרת פתיחה]])*(מדד3/12)</f>
        <v>162.25008006236237</v>
      </c>
      <c r="Z32" s="13">
        <f ca="1">IF(הפחתה7[[#This Row],[תאריך]]="",0,הפחתה7[[#This Row],[ריבית]]+הפחתה7[[#This Row],[קרן]]+הפחתה7[[#This Row],[מדד]])</f>
        <v>621.6411025523372</v>
      </c>
      <c r="AA32" s="13">
        <f ca="1">IF(הפחתה7[[#This Row],[תאריך]]="",0,הפחתה7[[#This Row],[יתרת פתיחה]]-הפחתה7[[#This Row],[קרן]]+הפחתה7[[#This Row],[מדד]])</f>
        <v>97239.282386230087</v>
      </c>
      <c r="AB32" s="11">
        <f ca="1">IF(הפחתה7[[#This Row],[יתרת
סגירה]]&gt;0,LastRow3-ROW(),0)</f>
        <v>271</v>
      </c>
      <c r="AC32" s="17">
        <f>ROWS($AC$4:AC32)</f>
        <v>29</v>
      </c>
      <c r="AD32" s="18" t="str">
        <f ca="1">IF(ValuesEntered4,IF(הפחתה8[[#This Row],[מס'']]&lt;=תקופת_ההלוואה4,IF(ROW()-ROW(הפחתה8[[#Headers],[תאריך]])=1,LoanStart4,IF(AJ31&gt;0,EDATE(AD31,1),"")),""),"")</f>
        <v/>
      </c>
      <c r="AE32" s="19">
        <f ca="1">IF(ROW()-ROW(הפחתה8[[#Headers],[יתרת פתיחה]])=1,סכום_הלוואה4,IF(הפחתה8[[#This Row],[תאריך]]="",0,INDEX(הפחתה8[], ROW()-4,8)))</f>
        <v>0</v>
      </c>
      <c r="AF32" s="19">
        <f ca="1">IF(ValuesEntered4,IF(ROW()-ROW(הפחתה8[[#Headers],[ריבית]])=1,-IPMT(שיעור_ריבית4/12,1,תקופת_ההלוואה4-ROWS($C$4:AD32)+1,הפחתה8[[#This Row],[יתרת פתיחה]]),IFERROR(-IPMT(שיעור_ריבית4/12,1,הפחתה8[[#This Row],[תשלומים
שנותרו]],AE33),0)),0)</f>
        <v>0</v>
      </c>
      <c r="AG32" s="19" t="str">
        <f ca="1">IFERROR(IF(AND(ValuesEntered4,הפחתה8[[#This Row],[תאריך]]&lt;&gt;""),-PPMT(שיעור_ריבית4/12,1,תקופת_ההלוואה4-ROWS($C$4:AD32)+1,הפחתה8[[#This Row],[יתרת פתיחה]]),""),0)</f>
        <v/>
      </c>
      <c r="AH32" s="19">
        <f ca="1">(הפחתה8[[#This Row],[יתרת פתיחה]])*(מדד4/12)</f>
        <v>0</v>
      </c>
      <c r="AI32" s="19">
        <f ca="1">IF(הפחתה8[[#This Row],[תאריך]]="",0,הפחתה8[[#This Row],[ריבית]]+הפחתה8[[#This Row],[קרן]]+הפחתה8[[#This Row],[מדד]])</f>
        <v>0</v>
      </c>
      <c r="AJ32" s="19">
        <f ca="1">IF(הפחתה8[[#This Row],[תאריך]]="",0,הפחתה8[[#This Row],[יתרת פתיחה]]-הפחתה8[[#This Row],[קרן]])</f>
        <v>0</v>
      </c>
      <c r="AK32" s="20">
        <f ca="1">IF(הפחתה8[[#This Row],[יתרת
סגירה]]&gt;0,LastRow4-ROW(),0)</f>
        <v>0</v>
      </c>
    </row>
    <row r="33" spans="1:37" ht="15" customHeight="1" x14ac:dyDescent="0.25">
      <c r="A33" s="8"/>
      <c r="B33" s="11">
        <f>ROWS($B$4:B33)</f>
        <v>30</v>
      </c>
      <c r="C33" s="12">
        <f>IF(ValuesEntered,IF(הפחתה[[#This Row],[מס'']]&lt;=תקופת_ההלוואה,IF(ROW()-ROW(הפחתה[[#Headers],[תאריך]])=1,LoanStart,IF(I32&gt;0,EDATE(C32,1),"")),""),"")</f>
        <v>46266</v>
      </c>
      <c r="D33" s="13">
        <f>IF(ROW()-ROW(הפחתה[[#Headers],[יתרת פתיחה]])=1,סכום_הלוואה,IF(הפחתה[[#This Row],[תאריך]]="",0,INDEX(הפחתה[], ROW()-4,8)))</f>
        <v>578954.33323219593</v>
      </c>
      <c r="E33" s="13">
        <f>IF(ValuesEntered,IF(ROW()-ROW(הפחתה[[#Headers],[ריבית]])=1,-IPMT(שיעור_ריבית/12,1,תקופת_ההלוואה-ROWS($C$4:C33)+1,הפחתה[[#This Row],[יתרת פתיחה]]),IFERROR(-IPMT(שיעור_ריבית/12,1,הפחתה[[#This Row],[תשלומים
שנותרו]],D34),0)),0)</f>
        <v>2553.6263618345615</v>
      </c>
      <c r="F33" s="13">
        <f>IFERROR(IF(AND(ValuesEntered,הפחתה[[#This Row],[תאריך]]&lt;&gt;""),-PPMT(שיעור_ריבית/12,1,תקופת_ההלוואה-ROWS($C$4:C33)+1,הפחתה[[#This Row],[יתרת פתיחה]]),""),0)</f>
        <v>774.77960927635183</v>
      </c>
      <c r="G33" s="13">
        <f>(הפחתה[[#This Row],[יתרת פתיחה]])*(מדד/12)</f>
        <v>0</v>
      </c>
      <c r="H33" s="13">
        <f>IF(הפחתה[[#This Row],[תאריך]]="",0,הפחתה[[#This Row],[ריבית]]+הפחתה[[#This Row],[קרן]]+הפחתה[[#This Row],[מדד]])</f>
        <v>3328.4059711109135</v>
      </c>
      <c r="I33" s="13">
        <f>IF(הפחתה[[#This Row],[תאריך]]="",0,הפחתה[[#This Row],[יתרת פתיחה]]-הפחתה[[#This Row],[קרן]]+הפחתה[[#This Row],[מדד]])</f>
        <v>578179.5536229196</v>
      </c>
      <c r="J33" s="11">
        <f>IF(הפחתה[[#This Row],[יתרת
סגירה]]&gt;0,LastRow-ROW(),0)</f>
        <v>330</v>
      </c>
      <c r="K33" s="11">
        <f>ROWS($K$4:K33)</f>
        <v>30</v>
      </c>
      <c r="L33" s="12">
        <f>IF(ValuesEntered2,IF(הפחתה5[[#This Row],[מס'']]&lt;=תקופת_ההלוואה2,IF(ROW()-ROW(הפחתה5[[#Headers],[תאריך]])=1,LoanStart2,IF(R32&gt;0,EDATE(L32,1),"")),""),"")</f>
        <v>46266</v>
      </c>
      <c r="M33" s="13">
        <f>IF(ROW()-ROW(הפחתה5[[#Headers],[יתרת פתיחה]])=1,סכום_הלוואה2,IF(הפחתה5[[#This Row],[תאריך]]="",0,INDEX(הפחתה5[], ROW()-4,8)))</f>
        <v>283856.77158054506</v>
      </c>
      <c r="N33" s="13">
        <f>IF(ValuesEntered2,IF(ROW()-ROW(הפחתה5[[#Headers],[ריבית]])=1,-IPMT(שיעור_ריבית2/12,1,תקופת_ההלוואה2-ROWS($L$4:L33)+1,הפחתה5[[#This Row],[יתרת פתיחה]]),IFERROR(-IPMT(שיעור_ריבית2/12,1,הפחתה5[[#This Row],[תשלומים
שנותרו]],M34),0)),0)</f>
        <v>1109.461665126147</v>
      </c>
      <c r="O33" s="13">
        <f>IFERROR(IF(AND(ValuesEntered2,הפחתה5[[#This Row],[תאריך]]&lt;&gt;""),-PPMT(שיעור_ריבית2/12,1,תקופת_ההלוואה2-ROWS($L$4:L33)+1,הפחתה5[[#This Row],[יתרת פתיחה]]),""),0)</f>
        <v>589.96346323092473</v>
      </c>
      <c r="P33" s="13">
        <f>(הפחתה5[[#This Row],[יתרת פתיחה]])*(מדד2/12)</f>
        <v>0</v>
      </c>
      <c r="Q33" s="13">
        <f>IF(הפחתה5[[#This Row],[תאריך]]="",0,הפחתה5[[#This Row],[ריבית]]+הפחתה5[[#This Row],[קרן]]+הפחתה5[[#This Row],[מדד]])</f>
        <v>1699.4251283570716</v>
      </c>
      <c r="R33" s="13">
        <f>IF(הפחתה5[[#This Row],[תאריך]]="",0,הפחתה5[[#This Row],[יתרת פתיחה]]-הפחתה5[[#This Row],[קרן]]+הפחתה5[[#This Row],[מדד]])</f>
        <v>283266.80811731413</v>
      </c>
      <c r="S33" s="11">
        <f>IF(הפחתה5[[#This Row],[יתרת
סגירה]]&gt;0,LastRow2-ROW(),0)</f>
        <v>270</v>
      </c>
      <c r="T33" s="11">
        <f>ROWS($T$4:T33)</f>
        <v>30</v>
      </c>
      <c r="U33" s="12">
        <f ca="1">IF(ValuesEntered3,IF(הפחתה7[[#This Row],[מס'']]&lt;=תקופת_ההלוואה3,IF(ROW()-ROW(הפחתה7[[#Headers],[תאריך]])=1,LoanStart3,IF(AA32&gt;0,EDATE(U32,1),"")),""),"")</f>
        <v>46502</v>
      </c>
      <c r="V33" s="13">
        <f ca="1">IF(ROW()-ROW(הפחתה7[[#Headers],[יתרת פתיחה]])=1,סכום_הלוואה3,IF(הפחתה7[[#This Row],[תאריך]]="",0,INDEX(הפחתה7[], ROW()-4,8)))</f>
        <v>97239.282386230087</v>
      </c>
      <c r="W33" s="13">
        <f ca="1">IF(ValuesEntered3,IF(ROW()-ROW(הפחתה7[[#Headers],[ריבית]])=1,-IPMT(שיעור_ריבית3/12,1,תקופת_ההלוואה3-ROWS($C$4:U33)+1,הפחתה7[[#This Row],[יתרת פתיחה]]),IFERROR(-IPMT(שיעור_ריבית3/12,1,הפחתה7[[#This Row],[תשלומים
שנותרו]],V34),0)),0)</f>
        <v>186.16075735785748</v>
      </c>
      <c r="X33" s="13">
        <f ca="1">IFERROR(IF(AND(ValuesEntered3,הפחתה7[[#This Row],[תאריך]]&lt;&gt;""),-PPMT(שיעור_ריבית3/12,1,תקופת_ההלוואה3-ROWS($C$4:U33)+1,הפחתה7[[#This Row],[יתרת פתיחה]]),""),0)</f>
        <v>273.9961919046803</v>
      </c>
      <c r="Y33" s="13">
        <f ca="1">(הפחתה7[[#This Row],[יתרת פתיחה]])*(מדד3/12)</f>
        <v>162.06547064371682</v>
      </c>
      <c r="Z33" s="13">
        <f ca="1">IF(הפחתה7[[#This Row],[תאריך]]="",0,הפחתה7[[#This Row],[ריבית]]+הפחתה7[[#This Row],[קרן]]+הפחתה7[[#This Row],[מדד]])</f>
        <v>622.22241990625457</v>
      </c>
      <c r="AA33" s="13">
        <f ca="1">IF(הפחתה7[[#This Row],[תאריך]]="",0,הפחתה7[[#This Row],[יתרת פתיחה]]-הפחתה7[[#This Row],[קרן]]+הפחתה7[[#This Row],[מדד]])</f>
        <v>97127.35166496913</v>
      </c>
      <c r="AB33" s="11">
        <f ca="1">IF(הפחתה7[[#This Row],[יתרת
סגירה]]&gt;0,LastRow3-ROW(),0)</f>
        <v>270</v>
      </c>
      <c r="AC33" s="17">
        <f>ROWS($AC$4:AC33)</f>
        <v>30</v>
      </c>
      <c r="AD33" s="18" t="str">
        <f ca="1">IF(ValuesEntered4,IF(הפחתה8[[#This Row],[מס'']]&lt;=תקופת_ההלוואה4,IF(ROW()-ROW(הפחתה8[[#Headers],[תאריך]])=1,LoanStart4,IF(AJ32&gt;0,EDATE(AD32,1),"")),""),"")</f>
        <v/>
      </c>
      <c r="AE33" s="19">
        <f ca="1">IF(ROW()-ROW(הפחתה8[[#Headers],[יתרת פתיחה]])=1,סכום_הלוואה4,IF(הפחתה8[[#This Row],[תאריך]]="",0,INDEX(הפחתה8[], ROW()-4,8)))</f>
        <v>0</v>
      </c>
      <c r="AF33" s="19">
        <f ca="1">IF(ValuesEntered4,IF(ROW()-ROW(הפחתה8[[#Headers],[ריבית]])=1,-IPMT(שיעור_ריבית4/12,1,תקופת_ההלוואה4-ROWS($C$4:AD33)+1,הפחתה8[[#This Row],[יתרת פתיחה]]),IFERROR(-IPMT(שיעור_ריבית4/12,1,הפחתה8[[#This Row],[תשלומים
שנותרו]],AE34),0)),0)</f>
        <v>0</v>
      </c>
      <c r="AG33" s="19" t="str">
        <f ca="1">IFERROR(IF(AND(ValuesEntered4,הפחתה8[[#This Row],[תאריך]]&lt;&gt;""),-PPMT(שיעור_ריבית4/12,1,תקופת_ההלוואה4-ROWS($C$4:AD33)+1,הפחתה8[[#This Row],[יתרת פתיחה]]),""),0)</f>
        <v/>
      </c>
      <c r="AH33" s="19">
        <f ca="1">(הפחתה8[[#This Row],[יתרת פתיחה]])*(מדד4/12)</f>
        <v>0</v>
      </c>
      <c r="AI33" s="19">
        <f ca="1">IF(הפחתה8[[#This Row],[תאריך]]="",0,הפחתה8[[#This Row],[ריבית]]+הפחתה8[[#This Row],[קרן]]+הפחתה8[[#This Row],[מדד]])</f>
        <v>0</v>
      </c>
      <c r="AJ33" s="19">
        <f ca="1">IF(הפחתה8[[#This Row],[תאריך]]="",0,הפחתה8[[#This Row],[יתרת פתיחה]]-הפחתה8[[#This Row],[קרן]])</f>
        <v>0</v>
      </c>
      <c r="AK33" s="20">
        <f ca="1">IF(הפחתה8[[#This Row],[יתרת
סגירה]]&gt;0,LastRow4-ROW(),0)</f>
        <v>0</v>
      </c>
    </row>
    <row r="34" spans="1:37" ht="15" customHeight="1" x14ac:dyDescent="0.25">
      <c r="A34" s="8"/>
      <c r="B34" s="11">
        <f>ROWS($B$4:B34)</f>
        <v>31</v>
      </c>
      <c r="C34" s="12">
        <f>IF(ValuesEntered,IF(הפחתה[[#This Row],[מס'']]&lt;=תקופת_ההלוואה,IF(ROW()-ROW(הפחתה[[#Headers],[תאריך]])=1,LoanStart,IF(I33&gt;0,EDATE(C33,1),"")),""),"")</f>
        <v>46296</v>
      </c>
      <c r="D34" s="13">
        <f>IF(ROW()-ROW(הפחתה[[#Headers],[יתרת פתיחה]])=1,סכום_הלוואה,IF(הפחתה[[#This Row],[תאריך]]="",0,INDEX(הפחתה[], ROW()-4,8)))</f>
        <v>578179.5536229196</v>
      </c>
      <c r="E34" s="13">
        <f>IF(ValuesEntered,IF(ROW()-ROW(הפחתה[[#Headers],[ריבית]])=1,-IPMT(שיעור_ריבית/12,1,תקופת_ההלוואה-ROWS($C$4:C34)+1,הפחתה[[#This Row],[יתרת פתיחה]]),IFERROR(-IPMT(שיעור_ריבית/12,1,הפחתה[[#This Row],[תשלומים
שנותרו]],D35),0)),0)</f>
        <v>2550.1893049774631</v>
      </c>
      <c r="F34" s="13">
        <f>IFERROR(IF(AND(ValuesEntered,הפחתה[[#This Row],[תאריך]]&lt;&gt;""),-PPMT(שיעור_ריבית/12,1,תקופת_ההלוואה-ROWS($C$4:C34)+1,הפחתה[[#This Row],[יתרת פתיחה]]),""),0)</f>
        <v>778.20155255065572</v>
      </c>
      <c r="G34" s="13">
        <f>(הפחתה[[#This Row],[יתרת פתיחה]])*(מדד/12)</f>
        <v>0</v>
      </c>
      <c r="H34" s="13">
        <f>IF(הפחתה[[#This Row],[תאריך]]="",0,הפחתה[[#This Row],[ריבית]]+הפחתה[[#This Row],[קרן]]+הפחתה[[#This Row],[מדד]])</f>
        <v>3328.3908575281189</v>
      </c>
      <c r="I34" s="13">
        <f>IF(הפחתה[[#This Row],[תאריך]]="",0,הפחתה[[#This Row],[יתרת פתיחה]]-הפחתה[[#This Row],[קרן]]+הפחתה[[#This Row],[מדד]])</f>
        <v>577401.35207036894</v>
      </c>
      <c r="J34" s="11">
        <f>IF(הפחתה[[#This Row],[יתרת
סגירה]]&gt;0,LastRow-ROW(),0)</f>
        <v>329</v>
      </c>
      <c r="K34" s="11">
        <f>ROWS($K$4:K34)</f>
        <v>31</v>
      </c>
      <c r="L34" s="12">
        <f>IF(ValuesEntered2,IF(הפחתה5[[#This Row],[מס'']]&lt;=תקופת_ההלוואה2,IF(ROW()-ROW(הפחתה5[[#Headers],[תאריך]])=1,LoanStart2,IF(R33&gt;0,EDATE(L33,1),"")),""),"")</f>
        <v>46296</v>
      </c>
      <c r="M34" s="13">
        <f>IF(ROW()-ROW(הפחתה5[[#Headers],[יתרת פתיחה]])=1,סכום_הלוואה2,IF(הפחתה5[[#This Row],[תאריך]]="",0,INDEX(הפחתה5[], ROW()-4,8)))</f>
        <v>283266.80811731413</v>
      </c>
      <c r="N34" s="13">
        <f>IF(ValuesEntered2,IF(ROW()-ROW(הפחתה5[[#Headers],[ריבית]])=1,-IPMT(שיעור_ריבית2/12,1,תקופת_ההלוואה2-ROWS($L$4:L34)+1,הפחתה5[[#This Row],[יתרת פתיחה]]),IFERROR(-IPMT(שיעור_ריבית2/12,1,הפחתה5[[#This Row],[תשלומים
שנותרו]],M35),0)),0)</f>
        <v>1107.1419246917544</v>
      </c>
      <c r="O34" s="13">
        <f>IFERROR(IF(AND(ValuesEntered2,הפחתה5[[#This Row],[תאריך]]&lt;&gt;""),-PPMT(שיעור_ריבית2/12,1,תקופת_ההלוואה2-ROWS($L$4:L34)+1,הפחתה5[[#This Row],[יתרת פתיחה]]),""),0)</f>
        <v>592.27415346191253</v>
      </c>
      <c r="P34" s="13">
        <f>(הפחתה5[[#This Row],[יתרת פתיחה]])*(מדד2/12)</f>
        <v>0</v>
      </c>
      <c r="Q34" s="13">
        <f>IF(הפחתה5[[#This Row],[תאריך]]="",0,הפחתה5[[#This Row],[ריבית]]+הפחתה5[[#This Row],[קרן]]+הפחתה5[[#This Row],[מדד]])</f>
        <v>1699.4160781536671</v>
      </c>
      <c r="R34" s="13">
        <f>IF(הפחתה5[[#This Row],[תאריך]]="",0,הפחתה5[[#This Row],[יתרת פתיחה]]-הפחתה5[[#This Row],[קרן]]+הפחתה5[[#This Row],[מדד]])</f>
        <v>282674.53396385221</v>
      </c>
      <c r="S34" s="11">
        <f>IF(הפחתה5[[#This Row],[יתרת
סגירה]]&gt;0,LastRow2-ROW(),0)</f>
        <v>269</v>
      </c>
      <c r="T34" s="11">
        <f>ROWS($T$4:T34)</f>
        <v>31</v>
      </c>
      <c r="U34" s="12">
        <f ca="1">IF(ValuesEntered3,IF(הפחתה7[[#This Row],[מס'']]&lt;=תקופת_ההלוואה3,IF(ROW()-ROW(הפחתה7[[#Headers],[תאריך]])=1,LoanStart3,IF(AA33&gt;0,EDATE(U33,1),"")),""),"")</f>
        <v>46532</v>
      </c>
      <c r="V34" s="13">
        <f ca="1">IF(ROW()-ROW(הפחתה7[[#Headers],[יתרת פתיחה]])=1,סכום_הלוואה3,IF(הפחתה7[[#This Row],[תאריך]]="",0,INDEX(הפחתה7[], ROW()-4,8)))</f>
        <v>97127.35166496913</v>
      </c>
      <c r="W34" s="13">
        <f ca="1">IF(ValuesEntered3,IF(ROW()-ROW(הפחתה7[[#Headers],[ריבית]])=1,-IPMT(שיעור_ריבית3/12,1,תקופת_ההלוואה3-ROWS($C$4:U34)+1,הפחתה7[[#This Row],[יתרת פתיחה]]),IFERROR(-IPMT(שיעור_ריבית3/12,1,הפחתה7[[#This Row],[תשלומים
שנותרו]],V35),0)),0)</f>
        <v>185.94397994231858</v>
      </c>
      <c r="X34" s="13">
        <f ca="1">IFERROR(IF(AND(ValuesEntered3,הפחתה7[[#This Row],[תאריך]]&lt;&gt;""),-PPMT(שיעור_ריבית3/12,1,תקופת_ההלוואה3-ROWS($C$4:U34)+1,הפחתה7[[#This Row],[יתרת פתיחה]]),""),0)</f>
        <v>274.98017972277989</v>
      </c>
      <c r="Y34" s="13">
        <f ca="1">(הפחתה7[[#This Row],[יתרת פתיחה]])*(מדד3/12)</f>
        <v>161.87891944161524</v>
      </c>
      <c r="Z34" s="13">
        <f ca="1">IF(הפחתה7[[#This Row],[תאריך]]="",0,הפחתה7[[#This Row],[ריבית]]+הפחתה7[[#This Row],[קרן]]+הפחתה7[[#This Row],[מדד]])</f>
        <v>622.80307910671377</v>
      </c>
      <c r="AA34" s="13">
        <f ca="1">IF(הפחתה7[[#This Row],[תאריך]]="",0,הפחתה7[[#This Row],[יתרת פתיחה]]-הפחתה7[[#This Row],[קרן]]+הפחתה7[[#This Row],[מדד]])</f>
        <v>97014.250404687962</v>
      </c>
      <c r="AB34" s="11">
        <f ca="1">IF(הפחתה7[[#This Row],[יתרת
סגירה]]&gt;0,LastRow3-ROW(),0)</f>
        <v>269</v>
      </c>
      <c r="AC34" s="17">
        <f>ROWS($AC$4:AC34)</f>
        <v>31</v>
      </c>
      <c r="AD34" s="18" t="str">
        <f ca="1">IF(ValuesEntered4,IF(הפחתה8[[#This Row],[מס'']]&lt;=תקופת_ההלוואה4,IF(ROW()-ROW(הפחתה8[[#Headers],[תאריך]])=1,LoanStart4,IF(AJ33&gt;0,EDATE(AD33,1),"")),""),"")</f>
        <v/>
      </c>
      <c r="AE34" s="19">
        <f ca="1">IF(ROW()-ROW(הפחתה8[[#Headers],[יתרת פתיחה]])=1,סכום_הלוואה4,IF(הפחתה8[[#This Row],[תאריך]]="",0,INDEX(הפחתה8[], ROW()-4,8)))</f>
        <v>0</v>
      </c>
      <c r="AF34" s="19">
        <f ca="1">IF(ValuesEntered4,IF(ROW()-ROW(הפחתה8[[#Headers],[ריבית]])=1,-IPMT(שיעור_ריבית4/12,1,תקופת_ההלוואה4-ROWS($C$4:AD34)+1,הפחתה8[[#This Row],[יתרת פתיחה]]),IFERROR(-IPMT(שיעור_ריבית4/12,1,הפחתה8[[#This Row],[תשלומים
שנותרו]],AE35),0)),0)</f>
        <v>0</v>
      </c>
      <c r="AG34" s="19" t="str">
        <f ca="1">IFERROR(IF(AND(ValuesEntered4,הפחתה8[[#This Row],[תאריך]]&lt;&gt;""),-PPMT(שיעור_ריבית4/12,1,תקופת_ההלוואה4-ROWS($C$4:AD34)+1,הפחתה8[[#This Row],[יתרת פתיחה]]),""),0)</f>
        <v/>
      </c>
      <c r="AH34" s="19">
        <f ca="1">(הפחתה8[[#This Row],[יתרת פתיחה]])*(מדד4/12)</f>
        <v>0</v>
      </c>
      <c r="AI34" s="19">
        <f ca="1">IF(הפחתה8[[#This Row],[תאריך]]="",0,הפחתה8[[#This Row],[ריבית]]+הפחתה8[[#This Row],[קרן]]+הפחתה8[[#This Row],[מדד]])</f>
        <v>0</v>
      </c>
      <c r="AJ34" s="19">
        <f ca="1">IF(הפחתה8[[#This Row],[תאריך]]="",0,הפחתה8[[#This Row],[יתרת פתיחה]]-הפחתה8[[#This Row],[קרן]])</f>
        <v>0</v>
      </c>
      <c r="AK34" s="20">
        <f ca="1">IF(הפחתה8[[#This Row],[יתרת
סגירה]]&gt;0,LastRow4-ROW(),0)</f>
        <v>0</v>
      </c>
    </row>
    <row r="35" spans="1:37" ht="15" customHeight="1" x14ac:dyDescent="0.25">
      <c r="A35" s="8"/>
      <c r="B35" s="11">
        <f>ROWS($B$4:B35)</f>
        <v>32</v>
      </c>
      <c r="C35" s="12">
        <f>IF(ValuesEntered,IF(הפחתה[[#This Row],[מס'']]&lt;=תקופת_ההלוואה,IF(ROW()-ROW(הפחתה[[#Headers],[תאריך]])=1,LoanStart,IF(I34&gt;0,EDATE(C34,1),"")),""),"")</f>
        <v>46327</v>
      </c>
      <c r="D35" s="13">
        <f>IF(ROW()-ROW(הפחתה[[#Headers],[יתרת פתיחה]])=1,סכום_הלוואה,IF(הפחתה[[#This Row],[תאריך]]="",0,INDEX(הפחתה[], ROW()-4,8)))</f>
        <v>577401.35207036894</v>
      </c>
      <c r="E35" s="13">
        <f>IF(ValuesEntered,IF(ROW()-ROW(הפחתה[[#Headers],[ריבית]])=1,-IPMT(שיעור_ריבית/12,1,תקופת_ההלוואה-ROWS($C$4:C35)+1,הפחתה[[#This Row],[יתרת פתיחה]]),IFERROR(-IPMT(שיעור_ריבית/12,1,הפחתה[[#This Row],[תשלומים
שנותרו]],D36),0)),0)</f>
        <v>2546.7370677859121</v>
      </c>
      <c r="F35" s="13">
        <f>IFERROR(IF(AND(ValuesEntered,הפחתה[[#This Row],[תאריך]]&lt;&gt;""),-PPMT(שיעור_ריבית/12,1,תקופת_ההלוואה-ROWS($C$4:C35)+1,הפחתה[[#This Row],[יתרת פתיחה]]),""),0)</f>
        <v>781.63860940775442</v>
      </c>
      <c r="G35" s="13">
        <f>(הפחתה[[#This Row],[יתרת פתיחה]])*(מדד/12)</f>
        <v>0</v>
      </c>
      <c r="H35" s="13">
        <f>IF(הפחתה[[#This Row],[תאריך]]="",0,הפחתה[[#This Row],[ריבית]]+הפחתה[[#This Row],[קרן]]+הפחתה[[#This Row],[מדד]])</f>
        <v>3328.3756771936664</v>
      </c>
      <c r="I35" s="13">
        <f>IF(הפחתה[[#This Row],[תאריך]]="",0,הפחתה[[#This Row],[יתרת פתיחה]]-הפחתה[[#This Row],[קרן]]+הפחתה[[#This Row],[מדד]])</f>
        <v>576619.71346096124</v>
      </c>
      <c r="J35" s="11">
        <f>IF(הפחתה[[#This Row],[יתרת
סגירה]]&gt;0,LastRow-ROW(),0)</f>
        <v>328</v>
      </c>
      <c r="K35" s="11">
        <f>ROWS($K$4:K35)</f>
        <v>32</v>
      </c>
      <c r="L35" s="12">
        <f>IF(ValuesEntered2,IF(הפחתה5[[#This Row],[מס'']]&lt;=תקופת_ההלוואה2,IF(ROW()-ROW(הפחתה5[[#Headers],[תאריך]])=1,LoanStart2,IF(R34&gt;0,EDATE(L34,1),"")),""),"")</f>
        <v>46327</v>
      </c>
      <c r="M35" s="13">
        <f>IF(ROW()-ROW(הפחתה5[[#Headers],[יתרת פתיחה]])=1,סכום_הלוואה2,IF(הפחתה5[[#This Row],[תאריך]]="",0,INDEX(הפחתה5[], ROW()-4,8)))</f>
        <v>282674.53396385221</v>
      </c>
      <c r="N35" s="13">
        <f>IF(ValuesEntered2,IF(ROW()-ROW(הפחתה5[[#Headers],[ריבית]])=1,-IPMT(שיעור_ריבית2/12,1,תקופת_ההלוואה2-ROWS($L$4:L35)+1,הפחתה5[[#This Row],[יתרת פתיחה]]),IFERROR(-IPMT(שיעור_ריבית2/12,1,הפחתה5[[#This Row],[תשלומים
שנותרו]],M36),0)),0)</f>
        <v>1104.8130986073272</v>
      </c>
      <c r="O35" s="13">
        <f>IFERROR(IF(AND(ValuesEntered2,הפחתה5[[#This Row],[תאריך]]&lt;&gt;""),-PPMT(שיעור_ריבית2/12,1,תקופת_ההלוואה2-ROWS($L$4:L35)+1,הפחתה5[[#This Row],[יתרת פתיחה]]),""),0)</f>
        <v>594.59389389630485</v>
      </c>
      <c r="P35" s="13">
        <f>(הפחתה5[[#This Row],[יתרת פתיחה]])*(מדד2/12)</f>
        <v>0</v>
      </c>
      <c r="Q35" s="13">
        <f>IF(הפחתה5[[#This Row],[תאריך]]="",0,הפחתה5[[#This Row],[ריבית]]+הפחתה5[[#This Row],[קרן]]+הפחתה5[[#This Row],[מדד]])</f>
        <v>1699.406992503632</v>
      </c>
      <c r="R35" s="13">
        <f>IF(הפחתה5[[#This Row],[תאריך]]="",0,הפחתה5[[#This Row],[יתרת פתיחה]]-הפחתה5[[#This Row],[קרן]]+הפחתה5[[#This Row],[מדד]])</f>
        <v>282079.94006995589</v>
      </c>
      <c r="S35" s="11">
        <f>IF(הפחתה5[[#This Row],[יתרת
סגירה]]&gt;0,LastRow2-ROW(),0)</f>
        <v>268</v>
      </c>
      <c r="T35" s="11">
        <f>ROWS($T$4:T35)</f>
        <v>32</v>
      </c>
      <c r="U35" s="12">
        <f ca="1">IF(ValuesEntered3,IF(הפחתה7[[#This Row],[מס'']]&lt;=תקופת_ההלוואה3,IF(ROW()-ROW(הפחתה7[[#Headers],[תאריך]])=1,LoanStart3,IF(AA34&gt;0,EDATE(U34,1),"")),""),"")</f>
        <v>46563</v>
      </c>
      <c r="V35" s="13">
        <f ca="1">IF(ROW()-ROW(הפחתה7[[#Headers],[יתרת פתיחה]])=1,סכום_הלוואה3,IF(הפחתה7[[#This Row],[תאריך]]="",0,INDEX(הפחתה7[], ROW()-4,8)))</f>
        <v>97014.250404687962</v>
      </c>
      <c r="W35" s="13">
        <f ca="1">IF(ValuesEntered3,IF(ROW()-ROW(הפחתה7[[#Headers],[ריבית]])=1,-IPMT(שיעור_ריבית3/12,1,תקופת_ההלוואה3-ROWS($C$4:U35)+1,הפחתה7[[#This Row],[יתרת פתיחה]]),IFERROR(-IPMT(שיעור_ריבית3/12,1,הפחתה7[[#This Row],[תשלומים
שנותרו]],V36),0)),0)</f>
        <v>185.72494846958827</v>
      </c>
      <c r="X35" s="13">
        <f ca="1">IFERROR(IF(AND(ValuesEntered3,הפחתה7[[#This Row],[תאריך]]&lt;&gt;""),-PPMT(שיעור_ריבית3/12,1,תקופת_ההלוואה3-ROWS($C$4:U35)+1,הפחתה7[[#This Row],[יתרת פתיחה]]),""),0)</f>
        <v>275.96770746131205</v>
      </c>
      <c r="Y35" s="13">
        <f ca="1">(הפחתה7[[#This Row],[יתרת פתיחה]])*(מדד3/12)</f>
        <v>161.69041734114663</v>
      </c>
      <c r="Z35" s="13">
        <f ca="1">IF(הפחתה7[[#This Row],[תאריך]]="",0,הפחתה7[[#This Row],[ריבית]]+הפחתה7[[#This Row],[קרן]]+הפחתה7[[#This Row],[מדד]])</f>
        <v>623.38307327204689</v>
      </c>
      <c r="AA35" s="13">
        <f ca="1">IF(הפחתה7[[#This Row],[תאריך]]="",0,הפחתה7[[#This Row],[יתרת פתיחה]]-הפחתה7[[#This Row],[קרן]]+הפחתה7[[#This Row],[מדד]])</f>
        <v>96899.973114567794</v>
      </c>
      <c r="AB35" s="11">
        <f ca="1">IF(הפחתה7[[#This Row],[יתרת
סגירה]]&gt;0,LastRow3-ROW(),0)</f>
        <v>268</v>
      </c>
      <c r="AC35" s="17">
        <f>ROWS($AC$4:AC35)</f>
        <v>32</v>
      </c>
      <c r="AD35" s="18" t="str">
        <f ca="1">IF(ValuesEntered4,IF(הפחתה8[[#This Row],[מס'']]&lt;=תקופת_ההלוואה4,IF(ROW()-ROW(הפחתה8[[#Headers],[תאריך]])=1,LoanStart4,IF(AJ34&gt;0,EDATE(AD34,1),"")),""),"")</f>
        <v/>
      </c>
      <c r="AE35" s="19">
        <f ca="1">IF(ROW()-ROW(הפחתה8[[#Headers],[יתרת פתיחה]])=1,סכום_הלוואה4,IF(הפחתה8[[#This Row],[תאריך]]="",0,INDEX(הפחתה8[], ROW()-4,8)))</f>
        <v>0</v>
      </c>
      <c r="AF35" s="19">
        <f ca="1">IF(ValuesEntered4,IF(ROW()-ROW(הפחתה8[[#Headers],[ריבית]])=1,-IPMT(שיעור_ריבית4/12,1,תקופת_ההלוואה4-ROWS($C$4:AD35)+1,הפחתה8[[#This Row],[יתרת פתיחה]]),IFERROR(-IPMT(שיעור_ריבית4/12,1,הפחתה8[[#This Row],[תשלומים
שנותרו]],AE36),0)),0)</f>
        <v>0</v>
      </c>
      <c r="AG35" s="19" t="str">
        <f ca="1">IFERROR(IF(AND(ValuesEntered4,הפחתה8[[#This Row],[תאריך]]&lt;&gt;""),-PPMT(שיעור_ריבית4/12,1,תקופת_ההלוואה4-ROWS($C$4:AD35)+1,הפחתה8[[#This Row],[יתרת פתיחה]]),""),0)</f>
        <v/>
      </c>
      <c r="AH35" s="19">
        <f ca="1">(הפחתה8[[#This Row],[יתרת פתיחה]])*(מדד4/12)</f>
        <v>0</v>
      </c>
      <c r="AI35" s="19">
        <f ca="1">IF(הפחתה8[[#This Row],[תאריך]]="",0,הפחתה8[[#This Row],[ריבית]]+הפחתה8[[#This Row],[קרן]]+הפחתה8[[#This Row],[מדד]])</f>
        <v>0</v>
      </c>
      <c r="AJ35" s="19">
        <f ca="1">IF(הפחתה8[[#This Row],[תאריך]]="",0,הפחתה8[[#This Row],[יתרת פתיחה]]-הפחתה8[[#This Row],[קרן]])</f>
        <v>0</v>
      </c>
      <c r="AK35" s="20">
        <f ca="1">IF(הפחתה8[[#This Row],[יתרת
סגירה]]&gt;0,LastRow4-ROW(),0)</f>
        <v>0</v>
      </c>
    </row>
    <row r="36" spans="1:37" ht="15" customHeight="1" x14ac:dyDescent="0.25">
      <c r="A36" s="8"/>
      <c r="B36" s="11">
        <f>ROWS($B$4:B36)</f>
        <v>33</v>
      </c>
      <c r="C36" s="12">
        <f>IF(ValuesEntered,IF(הפחתה[[#This Row],[מס'']]&lt;=תקופת_ההלוואה,IF(ROW()-ROW(הפחתה[[#Headers],[תאריך]])=1,LoanStart,IF(I35&gt;0,EDATE(C35,1),"")),""),"")</f>
        <v>46357</v>
      </c>
      <c r="D36" s="13">
        <f>IF(ROW()-ROW(הפחתה[[#Headers],[יתרת פתיחה]])=1,סכום_הלוואה,IF(הפחתה[[#This Row],[תאריך]]="",0,INDEX(הפחתה[], ROW()-4,8)))</f>
        <v>576619.71346096124</v>
      </c>
      <c r="E36" s="13">
        <f>IF(ValuesEntered,IF(ROW()-ROW(הפחתה[[#Headers],[ריבית]])=1,-IPMT(שיעור_ריבית/12,1,תקופת_ההלוואה-ROWS($C$4:C36)+1,הפחתה[[#This Row],[יתרת פתיחה]]),IFERROR(-IPMT(שיעור_ריבית/12,1,הפחתה[[#This Row],[תשלומים
שנותרו]],D37),0)),0)</f>
        <v>2543.2695832134318</v>
      </c>
      <c r="F36" s="13">
        <f>IFERROR(IF(AND(ValuesEntered,הפחתה[[#This Row],[תאריך]]&lt;&gt;""),-PPMT(שיעור_ריבית/12,1,תקופת_ההלוואה-ROWS($C$4:C36)+1,הפחתה[[#This Row],[יתרת פתיחה]]),""),0)</f>
        <v>785.09084659930534</v>
      </c>
      <c r="G36" s="13">
        <f>(הפחתה[[#This Row],[יתרת פתיחה]])*(מדד/12)</f>
        <v>0</v>
      </c>
      <c r="H36" s="13">
        <f>IF(הפחתה[[#This Row],[תאריך]]="",0,הפחתה[[#This Row],[ריבית]]+הפחתה[[#This Row],[קרן]]+הפחתה[[#This Row],[מדד]])</f>
        <v>3328.360429812737</v>
      </c>
      <c r="I36" s="13">
        <f>IF(הפחתה[[#This Row],[תאריך]]="",0,הפחתה[[#This Row],[יתרת פתיחה]]-הפחתה[[#This Row],[קרן]]+הפחתה[[#This Row],[מדד]])</f>
        <v>575834.62261436193</v>
      </c>
      <c r="J36" s="11">
        <f>IF(הפחתה[[#This Row],[יתרת
סגירה]]&gt;0,LastRow-ROW(),0)</f>
        <v>327</v>
      </c>
      <c r="K36" s="11">
        <f>ROWS($K$4:K36)</f>
        <v>33</v>
      </c>
      <c r="L36" s="12">
        <f>IF(ValuesEntered2,IF(הפחתה5[[#This Row],[מס'']]&lt;=תקופת_ההלוואה2,IF(ROW()-ROW(הפחתה5[[#Headers],[תאריך]])=1,LoanStart2,IF(R35&gt;0,EDATE(L35,1),"")),""),"")</f>
        <v>46357</v>
      </c>
      <c r="M36" s="13">
        <f>IF(ROW()-ROW(הפחתה5[[#Headers],[יתרת פתיחה]])=1,סכום_הלוואה2,IF(הפחתה5[[#This Row],[תאריך]]="",0,INDEX(הפחתה5[], ROW()-4,8)))</f>
        <v>282079.94006995589</v>
      </c>
      <c r="N36" s="13">
        <f>IF(ValuesEntered2,IF(ROW()-ROW(הפחתה5[[#Headers],[ריבית]])=1,-IPMT(שיעור_ריבית2/12,1,תקופת_ההלוואה2-ROWS($L$4:L36)+1,הפחתה5[[#This Row],[יתרת פתיחה]]),IFERROR(-IPMT(שיעור_ריבית2/12,1,הפחתה5[[#This Row],[תשלומים
שנותרו]],M37),0)),0)</f>
        <v>1102.4751512874027</v>
      </c>
      <c r="O36" s="13">
        <f>IFERROR(IF(AND(ValuesEntered2,הפחתה5[[#This Row],[תאריך]]&lt;&gt;""),-PPMT(שיעור_ריבית2/12,1,תקופת_ההלוואה2-ROWS($L$4:L36)+1,הפחתה5[[#This Row],[יתרת פתיחה]]),""),0)</f>
        <v>596.92271998073204</v>
      </c>
      <c r="P36" s="13">
        <f>(הפחתה5[[#This Row],[יתרת פתיחה]])*(מדד2/12)</f>
        <v>0</v>
      </c>
      <c r="Q36" s="13">
        <f>IF(הפחתה5[[#This Row],[תאריך]]="",0,הפחתה5[[#This Row],[ריבית]]+הפחתה5[[#This Row],[קרן]]+הפחתה5[[#This Row],[מדד]])</f>
        <v>1699.3978712681346</v>
      </c>
      <c r="R36" s="13">
        <f>IF(הפחתה5[[#This Row],[תאריך]]="",0,הפחתה5[[#This Row],[יתרת פתיחה]]-הפחתה5[[#This Row],[קרן]]+הפחתה5[[#This Row],[מדד]])</f>
        <v>281483.01734997518</v>
      </c>
      <c r="S36" s="11">
        <f>IF(הפחתה5[[#This Row],[יתרת
סגירה]]&gt;0,LastRow2-ROW(),0)</f>
        <v>267</v>
      </c>
      <c r="T36" s="11">
        <f>ROWS($T$4:T36)</f>
        <v>33</v>
      </c>
      <c r="U36" s="12">
        <f ca="1">IF(ValuesEntered3,IF(הפחתה7[[#This Row],[מס'']]&lt;=תקופת_ההלוואה3,IF(ROW()-ROW(הפחתה7[[#Headers],[תאריך]])=1,LoanStart3,IF(AA35&gt;0,EDATE(U35,1),"")),""),"")</f>
        <v>46593</v>
      </c>
      <c r="V36" s="13">
        <f ca="1">IF(ROW()-ROW(הפחתה7[[#Headers],[יתרת פתיחה]])=1,סכום_הלוואה3,IF(הפחתה7[[#This Row],[תאריך]]="",0,INDEX(הפחתה7[], ROW()-4,8)))</f>
        <v>96899.973114567794</v>
      </c>
      <c r="W36" s="13">
        <f ca="1">IF(ValuesEntered3,IF(ROW()-ROW(הפחתה7[[#Headers],[ריבית]])=1,-IPMT(שיעור_ריבית3/12,1,תקופת_ההלוואה3-ROWS($C$4:U36)+1,הפחתה7[[#This Row],[יתרת פתיחה]]),IFERROR(-IPMT(שיעור_ריבית3/12,1,הפחתה7[[#This Row],[תשלומים
שנותרו]],V37),0)),0)</f>
        <v>185.50365237351528</v>
      </c>
      <c r="X36" s="13">
        <f ca="1">IFERROR(IF(AND(ValuesEntered3,הפחתה7[[#This Row],[תאריך]]&lt;&gt;""),-PPMT(שיעור_ריבית3/12,1,תקופת_ההלוואה3-ROWS($C$4:U36)+1,הפחתה7[[#This Row],[יתרת פתיחה]]),""),0)</f>
        <v>276.95878792466578</v>
      </c>
      <c r="Y36" s="13">
        <f ca="1">(הפחתה7[[#This Row],[יתרת פתיחה]])*(מדד3/12)</f>
        <v>161.49995519094634</v>
      </c>
      <c r="Z36" s="13">
        <f ca="1">IF(הפחתה7[[#This Row],[תאריך]]="",0,הפחתה7[[#This Row],[ריבית]]+הפחתה7[[#This Row],[קרן]]+הפחתה7[[#This Row],[מדד]])</f>
        <v>623.9623954891274</v>
      </c>
      <c r="AA36" s="13">
        <f ca="1">IF(הפחתה7[[#This Row],[תאריך]]="",0,הפחתה7[[#This Row],[יתרת פתיחה]]-הפחתה7[[#This Row],[קרן]]+הפחתה7[[#This Row],[מדד]])</f>
        <v>96784.514281834068</v>
      </c>
      <c r="AB36" s="11">
        <f ca="1">IF(הפחתה7[[#This Row],[יתרת
סגירה]]&gt;0,LastRow3-ROW(),0)</f>
        <v>267</v>
      </c>
      <c r="AC36" s="17">
        <f>ROWS($AC$4:AC36)</f>
        <v>33</v>
      </c>
      <c r="AD36" s="18" t="str">
        <f ca="1">IF(ValuesEntered4,IF(הפחתה8[[#This Row],[מס'']]&lt;=תקופת_ההלוואה4,IF(ROW()-ROW(הפחתה8[[#Headers],[תאריך]])=1,LoanStart4,IF(AJ35&gt;0,EDATE(AD35,1),"")),""),"")</f>
        <v/>
      </c>
      <c r="AE36" s="19">
        <f ca="1">IF(ROW()-ROW(הפחתה8[[#Headers],[יתרת פתיחה]])=1,סכום_הלוואה4,IF(הפחתה8[[#This Row],[תאריך]]="",0,INDEX(הפחתה8[], ROW()-4,8)))</f>
        <v>0</v>
      </c>
      <c r="AF36" s="19">
        <f ca="1">IF(ValuesEntered4,IF(ROW()-ROW(הפחתה8[[#Headers],[ריבית]])=1,-IPMT(שיעור_ריבית4/12,1,תקופת_ההלוואה4-ROWS($C$4:AD36)+1,הפחתה8[[#This Row],[יתרת פתיחה]]),IFERROR(-IPMT(שיעור_ריבית4/12,1,הפחתה8[[#This Row],[תשלומים
שנותרו]],AE37),0)),0)</f>
        <v>0</v>
      </c>
      <c r="AG36" s="19" t="str">
        <f ca="1">IFERROR(IF(AND(ValuesEntered4,הפחתה8[[#This Row],[תאריך]]&lt;&gt;""),-PPMT(שיעור_ריבית4/12,1,תקופת_ההלוואה4-ROWS($C$4:AD36)+1,הפחתה8[[#This Row],[יתרת פתיחה]]),""),0)</f>
        <v/>
      </c>
      <c r="AH36" s="19">
        <f ca="1">(הפחתה8[[#This Row],[יתרת פתיחה]])*(מדד4/12)</f>
        <v>0</v>
      </c>
      <c r="AI36" s="19">
        <f ca="1">IF(הפחתה8[[#This Row],[תאריך]]="",0,הפחתה8[[#This Row],[ריבית]]+הפחתה8[[#This Row],[קרן]]+הפחתה8[[#This Row],[מדד]])</f>
        <v>0</v>
      </c>
      <c r="AJ36" s="19">
        <f ca="1">IF(הפחתה8[[#This Row],[תאריך]]="",0,הפחתה8[[#This Row],[יתרת פתיחה]]-הפחתה8[[#This Row],[קרן]])</f>
        <v>0</v>
      </c>
      <c r="AK36" s="20">
        <f ca="1">IF(הפחתה8[[#This Row],[יתרת
סגירה]]&gt;0,LastRow4-ROW(),0)</f>
        <v>0</v>
      </c>
    </row>
    <row r="37" spans="1:37" ht="15" customHeight="1" x14ac:dyDescent="0.25">
      <c r="A37" s="8"/>
      <c r="B37" s="11">
        <f>ROWS($B$4:B37)</f>
        <v>34</v>
      </c>
      <c r="C37" s="12">
        <f>IF(ValuesEntered,IF(הפחתה[[#This Row],[מס'']]&lt;=תקופת_ההלוואה,IF(ROW()-ROW(הפחתה[[#Headers],[תאריך]])=1,LoanStart,IF(I36&gt;0,EDATE(C36,1),"")),""),"")</f>
        <v>46388</v>
      </c>
      <c r="D37" s="13">
        <f>IF(ROW()-ROW(הפחתה[[#Headers],[יתרת פתיחה]])=1,סכום_הלוואה,IF(הפחתה[[#This Row],[תאריך]]="",0,INDEX(הפחתה[], ROW()-4,8)))</f>
        <v>575834.62261436193</v>
      </c>
      <c r="E37" s="13">
        <f>IF(ValuesEntered,IF(ROW()-ROW(הפחתה[[#Headers],[ריבית]])=1,-IPMT(שיעור_ריבית/12,1,תקופת_ההלוואה-ROWS($C$4:C37)+1,הפחתה[[#This Row],[יתרת פתיחה]]),IFERROR(-IPMT(שיעור_ריבית/12,1,הפחתה[[#This Row],[תשלומים
שנותרו]],D38),0)),0)</f>
        <v>2539.7867839174232</v>
      </c>
      <c r="F37" s="13">
        <f>IFERROR(IF(AND(ValuesEntered,הפחתה[[#This Row],[תאריך]]&lt;&gt;""),-PPMT(שיעור_ריבית/12,1,תקופת_ההלוואה-ROWS($C$4:C37)+1,הפחתה[[#This Row],[יתרת פתיחה]]),""),0)</f>
        <v>788.55833117178577</v>
      </c>
      <c r="G37" s="13">
        <f>(הפחתה[[#This Row],[יתרת פתיחה]])*(מדד/12)</f>
        <v>0</v>
      </c>
      <c r="H37" s="13">
        <f>IF(הפחתה[[#This Row],[תאריך]]="",0,הפחתה[[#This Row],[ריבית]]+הפחתה[[#This Row],[קרן]]+הפחתה[[#This Row],[מדד]])</f>
        <v>3328.3451150892088</v>
      </c>
      <c r="I37" s="13">
        <f>IF(הפחתה[[#This Row],[תאריך]]="",0,הפחתה[[#This Row],[יתרת פתיחה]]-הפחתה[[#This Row],[קרן]]+הפחתה[[#This Row],[מדד]])</f>
        <v>575046.06428319018</v>
      </c>
      <c r="J37" s="11">
        <f>IF(הפחתה[[#This Row],[יתרת
סגירה]]&gt;0,LastRow-ROW(),0)</f>
        <v>326</v>
      </c>
      <c r="K37" s="11">
        <f>ROWS($K$4:K37)</f>
        <v>34</v>
      </c>
      <c r="L37" s="12">
        <f>IF(ValuesEntered2,IF(הפחתה5[[#This Row],[מס'']]&lt;=תקופת_ההלוואה2,IF(ROW()-ROW(הפחתה5[[#Headers],[תאריך]])=1,LoanStart2,IF(R36&gt;0,EDATE(L36,1),"")),""),"")</f>
        <v>46388</v>
      </c>
      <c r="M37" s="13">
        <f>IF(ROW()-ROW(הפחתה5[[#Headers],[יתרת פתיחה]])=1,סכום_הלוואה2,IF(הפחתה5[[#This Row],[תאריך]]="",0,INDEX(הפחתה5[], ROW()-4,8)))</f>
        <v>281483.01734997518</v>
      </c>
      <c r="N37" s="13">
        <f>IF(ValuesEntered2,IF(ROW()-ROW(הפחתה5[[#Headers],[ריבית]])=1,-IPMT(שיעור_ריבית2/12,1,תקופת_ההלוואה2-ROWS($L$4:L37)+1,הפחתה5[[#This Row],[יתרת פתיחה]]),IFERROR(-IPMT(שיעור_ריבית2/12,1,הפחתה5[[#This Row],[תשלומים
שנותרו]],M38),0)),0)</f>
        <v>1100.1280470071417</v>
      </c>
      <c r="O37" s="13">
        <f>IFERROR(IF(AND(ValuesEntered2,הפחתה5[[#This Row],[תאריך]]&lt;&gt;""),-PPMT(שיעור_ריבית2/12,1,תקופת_ההלוואה2-ROWS($L$4:L37)+1,הפחתה5[[#This Row],[יתרת פתיחה]]),""),0)</f>
        <v>599.26066730065668</v>
      </c>
      <c r="P37" s="13">
        <f>(הפחתה5[[#This Row],[יתרת פתיחה]])*(מדד2/12)</f>
        <v>0</v>
      </c>
      <c r="Q37" s="13">
        <f>IF(הפחתה5[[#This Row],[תאריך]]="",0,הפחתה5[[#This Row],[ריבית]]+הפחתה5[[#This Row],[קרן]]+הפחתה5[[#This Row],[מדד]])</f>
        <v>1699.3887143077984</v>
      </c>
      <c r="R37" s="13">
        <f>IF(הפחתה5[[#This Row],[תאריך]]="",0,הפחתה5[[#This Row],[יתרת פתיחה]]-הפחתה5[[#This Row],[קרן]]+הפחתה5[[#This Row],[מדד]])</f>
        <v>280883.75668267452</v>
      </c>
      <c r="S37" s="11">
        <f>IF(הפחתה5[[#This Row],[יתרת
סגירה]]&gt;0,LastRow2-ROW(),0)</f>
        <v>266</v>
      </c>
      <c r="T37" s="11">
        <f>ROWS($T$4:T37)</f>
        <v>34</v>
      </c>
      <c r="U37" s="12">
        <f ca="1">IF(ValuesEntered3,IF(הפחתה7[[#This Row],[מס'']]&lt;=תקופת_ההלוואה3,IF(ROW()-ROW(הפחתה7[[#Headers],[תאריך]])=1,LoanStart3,IF(AA36&gt;0,EDATE(U36,1),"")),""),"")</f>
        <v>46624</v>
      </c>
      <c r="V37" s="13">
        <f ca="1">IF(ROW()-ROW(הפחתה7[[#Headers],[יתרת פתיחה]])=1,סכום_הלוואה3,IF(הפחתה7[[#This Row],[תאריך]]="",0,INDEX(הפחתה7[], ROW()-4,8)))</f>
        <v>96784.514281834068</v>
      </c>
      <c r="W37" s="13">
        <f ca="1">IF(ValuesEntered3,IF(ROW()-ROW(הפחתה7[[#Headers],[ריבית]])=1,-IPMT(שיעור_ריבית3/12,1,תקופת_ההלוואה3-ROWS($C$4:U37)+1,הפחתה7[[#This Row],[יתרת פתיחה]]),IFERROR(-IPMT(שיעור_ריבית3/12,1,הפחתה7[[#This Row],[תשלומים
שנותרו]],V38),0)),0)</f>
        <v>185.28008104570586</v>
      </c>
      <c r="X37" s="13">
        <f ca="1">IFERROR(IF(AND(ValuesEntered3,הפחתה7[[#This Row],[תאריך]]&lt;&gt;""),-PPMT(שיעור_ריבית3/12,1,תקופת_ההלוואה3-ROWS($C$4:U37)+1,הפחתה7[[#This Row],[יתרת פתיחה]]),""),0)</f>
        <v>277.95343396449698</v>
      </c>
      <c r="Y37" s="13">
        <f ca="1">(הפחתה7[[#This Row],[יתרת פתיחה]])*(מדד3/12)</f>
        <v>161.3075238030568</v>
      </c>
      <c r="Z37" s="13">
        <f ca="1">IF(הפחתה7[[#This Row],[תאריך]]="",0,הפחתה7[[#This Row],[ריבית]]+הפחתה7[[#This Row],[קרן]]+הפחתה7[[#This Row],[מדד]])</f>
        <v>624.54103881325966</v>
      </c>
      <c r="AA37" s="13">
        <f ca="1">IF(הפחתה7[[#This Row],[תאריך]]="",0,הפחתה7[[#This Row],[יתרת פתיחה]]-הפחתה7[[#This Row],[קרן]]+הפחתה7[[#This Row],[מדד]])</f>
        <v>96667.868371672623</v>
      </c>
      <c r="AB37" s="11">
        <f ca="1">IF(הפחתה7[[#This Row],[יתרת
סגירה]]&gt;0,LastRow3-ROW(),0)</f>
        <v>266</v>
      </c>
      <c r="AC37" s="17">
        <f>ROWS($AC$4:AC37)</f>
        <v>34</v>
      </c>
      <c r="AD37" s="18" t="str">
        <f ca="1">IF(ValuesEntered4,IF(הפחתה8[[#This Row],[מס'']]&lt;=תקופת_ההלוואה4,IF(ROW()-ROW(הפחתה8[[#Headers],[תאריך]])=1,LoanStart4,IF(AJ36&gt;0,EDATE(AD36,1),"")),""),"")</f>
        <v/>
      </c>
      <c r="AE37" s="19">
        <f ca="1">IF(ROW()-ROW(הפחתה8[[#Headers],[יתרת פתיחה]])=1,סכום_הלוואה4,IF(הפחתה8[[#This Row],[תאריך]]="",0,INDEX(הפחתה8[], ROW()-4,8)))</f>
        <v>0</v>
      </c>
      <c r="AF37" s="19">
        <f ca="1">IF(ValuesEntered4,IF(ROW()-ROW(הפחתה8[[#Headers],[ריבית]])=1,-IPMT(שיעור_ריבית4/12,1,תקופת_ההלוואה4-ROWS($C$4:AD37)+1,הפחתה8[[#This Row],[יתרת פתיחה]]),IFERROR(-IPMT(שיעור_ריבית4/12,1,הפחתה8[[#This Row],[תשלומים
שנותרו]],AE38),0)),0)</f>
        <v>0</v>
      </c>
      <c r="AG37" s="19" t="str">
        <f ca="1">IFERROR(IF(AND(ValuesEntered4,הפחתה8[[#This Row],[תאריך]]&lt;&gt;""),-PPMT(שיעור_ריבית4/12,1,תקופת_ההלוואה4-ROWS($C$4:AD37)+1,הפחתה8[[#This Row],[יתרת פתיחה]]),""),0)</f>
        <v/>
      </c>
      <c r="AH37" s="19">
        <f ca="1">(הפחתה8[[#This Row],[יתרת פתיחה]])*(מדד4/12)</f>
        <v>0</v>
      </c>
      <c r="AI37" s="19">
        <f ca="1">IF(הפחתה8[[#This Row],[תאריך]]="",0,הפחתה8[[#This Row],[ריבית]]+הפחתה8[[#This Row],[קרן]]+הפחתה8[[#This Row],[מדד]])</f>
        <v>0</v>
      </c>
      <c r="AJ37" s="19">
        <f ca="1">IF(הפחתה8[[#This Row],[תאריך]]="",0,הפחתה8[[#This Row],[יתרת פתיחה]]-הפחתה8[[#This Row],[קרן]])</f>
        <v>0</v>
      </c>
      <c r="AK37" s="20">
        <f ca="1">IF(הפחתה8[[#This Row],[יתרת
סגירה]]&gt;0,LastRow4-ROW(),0)</f>
        <v>0</v>
      </c>
    </row>
    <row r="38" spans="1:37" ht="15" customHeight="1" x14ac:dyDescent="0.25">
      <c r="A38" s="8"/>
      <c r="B38" s="11">
        <f>ROWS($B$4:B38)</f>
        <v>35</v>
      </c>
      <c r="C38" s="12">
        <f>IF(ValuesEntered,IF(הפחתה[[#This Row],[מס'']]&lt;=תקופת_ההלוואה,IF(ROW()-ROW(הפחתה[[#Headers],[תאריך]])=1,LoanStart,IF(I37&gt;0,EDATE(C37,1),"")),""),"")</f>
        <v>46419</v>
      </c>
      <c r="D38" s="13">
        <f>IF(ROW()-ROW(הפחתה[[#Headers],[יתרת פתיחה]])=1,סכום_הלוואה,IF(הפחתה[[#This Row],[תאריך]]="",0,INDEX(הפחתה[], ROW()-4,8)))</f>
        <v>575046.06428319018</v>
      </c>
      <c r="E38" s="13">
        <f>IF(ValuesEntered,IF(ROW()-ROW(הפחתה[[#Headers],[ריבית]])=1,-IPMT(שיעור_ריבית/12,1,תקופת_ההלוואה-ROWS($C$4:C38)+1,הפחתה[[#This Row],[יתרת פתיחה]]),IFERROR(-IPMT(שיעור_ריבית/12,1,הפחתה[[#This Row],[תשלומים
שנותרו]],D39),0)),0)</f>
        <v>2536.2886022578573</v>
      </c>
      <c r="F38" s="13">
        <f>IFERROR(IF(AND(ValuesEntered,הפחתה[[#This Row],[תאריך]]&lt;&gt;""),-PPMT(שיעור_ריבית/12,1,תקופת_ההלוואה-ROWS($C$4:C38)+1,הפחתה[[#This Row],[יתרת פתיחה]]),""),0)</f>
        <v>792.04113046779446</v>
      </c>
      <c r="G38" s="13">
        <f>(הפחתה[[#This Row],[יתרת פתיחה]])*(מדד/12)</f>
        <v>0</v>
      </c>
      <c r="H38" s="13">
        <f>IF(הפחתה[[#This Row],[תאריך]]="",0,הפחתה[[#This Row],[ריבית]]+הפחתה[[#This Row],[קרן]]+הפחתה[[#This Row],[מדד]])</f>
        <v>3328.3297327256519</v>
      </c>
      <c r="I38" s="13">
        <f>IF(הפחתה[[#This Row],[תאריך]]="",0,הפחתה[[#This Row],[יתרת פתיחה]]-הפחתה[[#This Row],[קרן]]+הפחתה[[#This Row],[מדד]])</f>
        <v>574254.0231527224</v>
      </c>
      <c r="J38" s="11">
        <f>IF(הפחתה[[#This Row],[יתרת
סגירה]]&gt;0,LastRow-ROW(),0)</f>
        <v>325</v>
      </c>
      <c r="K38" s="11">
        <f>ROWS($K$4:K38)</f>
        <v>35</v>
      </c>
      <c r="L38" s="12">
        <f>IF(ValuesEntered2,IF(הפחתה5[[#This Row],[מס'']]&lt;=תקופת_ההלוואה2,IF(ROW()-ROW(הפחתה5[[#Headers],[תאריך]])=1,LoanStart2,IF(R37&gt;0,EDATE(L37,1),"")),""),"")</f>
        <v>46419</v>
      </c>
      <c r="M38" s="13">
        <f>IF(ROW()-ROW(הפחתה5[[#Headers],[יתרת פתיחה]])=1,סכום_הלוואה2,IF(הפחתה5[[#This Row],[תאריך]]="",0,INDEX(הפחתה5[], ROW()-4,8)))</f>
        <v>280883.75668267452</v>
      </c>
      <c r="N38" s="13">
        <f>IF(ValuesEntered2,IF(ROW()-ROW(הפחתה5[[#Headers],[ריבית]])=1,-IPMT(שיעור_ריבית2/12,1,תקופת_ההלוואה2-ROWS($L$4:L38)+1,הפחתה5[[#This Row],[יתרת פתיחה]]),IFERROR(-IPMT(שיעור_ריבית2/12,1,הפחתה5[[#This Row],[תשלומים
שנותרו]],M39),0)),0)</f>
        <v>1097.7717499017831</v>
      </c>
      <c r="O38" s="13">
        <f>IFERROR(IF(AND(ValuesEntered2,הפחתה5[[#This Row],[תאריך]]&lt;&gt;""),-PPMT(שיעור_ריבית2/12,1,תקופת_ההלוואה2-ROWS($L$4:L38)+1,הפחתה5[[#This Row],[יתרת פתיחה]]),""),0)</f>
        <v>601.60777158091764</v>
      </c>
      <c r="P38" s="13">
        <f>(הפחתה5[[#This Row],[יתרת פתיחה]])*(מדד2/12)</f>
        <v>0</v>
      </c>
      <c r="Q38" s="13">
        <f>IF(הפחתה5[[#This Row],[תאריך]]="",0,הפחתה5[[#This Row],[ריבית]]+הפחתה5[[#This Row],[קרן]]+הפחתה5[[#This Row],[מדד]])</f>
        <v>1699.3795214827007</v>
      </c>
      <c r="R38" s="13">
        <f>IF(הפחתה5[[#This Row],[תאריך]]="",0,הפחתה5[[#This Row],[יתרת פתיחה]]-הפחתה5[[#This Row],[קרן]]+הפחתה5[[#This Row],[מדד]])</f>
        <v>280282.14891109359</v>
      </c>
      <c r="S38" s="11">
        <f>IF(הפחתה5[[#This Row],[יתרת
סגירה]]&gt;0,LastRow2-ROW(),0)</f>
        <v>265</v>
      </c>
      <c r="T38" s="11">
        <f>ROWS($T$4:T38)</f>
        <v>35</v>
      </c>
      <c r="U38" s="12">
        <f ca="1">IF(ValuesEntered3,IF(הפחתה7[[#This Row],[מס'']]&lt;=תקופת_ההלוואה3,IF(ROW()-ROW(הפחתה7[[#Headers],[תאריך]])=1,LoanStart3,IF(AA37&gt;0,EDATE(U37,1),"")),""),"")</f>
        <v>46655</v>
      </c>
      <c r="V38" s="13">
        <f ca="1">IF(ROW()-ROW(הפחתה7[[#Headers],[יתרת פתיחה]])=1,סכום_הלוואה3,IF(הפחתה7[[#This Row],[תאריך]]="",0,INDEX(הפחתה7[], ROW()-4,8)))</f>
        <v>96667.868371672623</v>
      </c>
      <c r="W38" s="13">
        <f ca="1">IF(ValuesEntered3,IF(ROW()-ROW(הפחתה7[[#Headers],[ריבית]])=1,-IPMT(שיעור_ריבית3/12,1,תקופת_ההלוואה3-ROWS($C$4:U38)+1,הפחתה7[[#This Row],[יתרת פתיחה]]),IFERROR(-IPMT(שיעור_ריבית3/12,1,הפחתה7[[#This Row],[תשלומים
שנותרו]],V39),0)),0)</f>
        <v>185.05422383536219</v>
      </c>
      <c r="X38" s="13">
        <f ca="1">IFERROR(IF(AND(ValuesEntered3,הפחתה7[[#This Row],[תאריך]]&lt;&gt;""),-PPMT(שיעור_ריבית3/12,1,תקופת_ההלוואה3-ROWS($C$4:U38)+1,הפחתה7[[#This Row],[יתרת פתיחה]]),""),0)</f>
        <v>278.95165847991723</v>
      </c>
      <c r="Y38" s="13">
        <f ca="1">(הפחתה7[[#This Row],[יתרת פתיחה]])*(מדד3/12)</f>
        <v>161.11311395278773</v>
      </c>
      <c r="Z38" s="13">
        <f ca="1">IF(הפחתה7[[#This Row],[תאריך]]="",0,הפחתה7[[#This Row],[ריבית]]+הפחתה7[[#This Row],[קרן]]+הפחתה7[[#This Row],[מדד]])</f>
        <v>625.11899626806712</v>
      </c>
      <c r="AA38" s="13">
        <f ca="1">IF(הפחתה7[[#This Row],[תאריך]]="",0,הפחתה7[[#This Row],[יתרת פתיחה]]-הפחתה7[[#This Row],[קרן]]+הפחתה7[[#This Row],[מדד]])</f>
        <v>96550.029827145496</v>
      </c>
      <c r="AB38" s="11">
        <f ca="1">IF(הפחתה7[[#This Row],[יתרת
סגירה]]&gt;0,LastRow3-ROW(),0)</f>
        <v>265</v>
      </c>
      <c r="AC38" s="17">
        <f>ROWS($AC$4:AC38)</f>
        <v>35</v>
      </c>
      <c r="AD38" s="18" t="str">
        <f ca="1">IF(ValuesEntered4,IF(הפחתה8[[#This Row],[מס'']]&lt;=תקופת_ההלוואה4,IF(ROW()-ROW(הפחתה8[[#Headers],[תאריך]])=1,LoanStart4,IF(AJ37&gt;0,EDATE(AD37,1),"")),""),"")</f>
        <v/>
      </c>
      <c r="AE38" s="19">
        <f ca="1">IF(ROW()-ROW(הפחתה8[[#Headers],[יתרת פתיחה]])=1,סכום_הלוואה4,IF(הפחתה8[[#This Row],[תאריך]]="",0,INDEX(הפחתה8[], ROW()-4,8)))</f>
        <v>0</v>
      </c>
      <c r="AF38" s="19">
        <f ca="1">IF(ValuesEntered4,IF(ROW()-ROW(הפחתה8[[#Headers],[ריבית]])=1,-IPMT(שיעור_ריבית4/12,1,תקופת_ההלוואה4-ROWS($C$4:AD38)+1,הפחתה8[[#This Row],[יתרת פתיחה]]),IFERROR(-IPMT(שיעור_ריבית4/12,1,הפחתה8[[#This Row],[תשלומים
שנותרו]],AE39),0)),0)</f>
        <v>0</v>
      </c>
      <c r="AG38" s="19" t="str">
        <f ca="1">IFERROR(IF(AND(ValuesEntered4,הפחתה8[[#This Row],[תאריך]]&lt;&gt;""),-PPMT(שיעור_ריבית4/12,1,תקופת_ההלוואה4-ROWS($C$4:AD38)+1,הפחתה8[[#This Row],[יתרת פתיחה]]),""),0)</f>
        <v/>
      </c>
      <c r="AH38" s="19">
        <f ca="1">(הפחתה8[[#This Row],[יתרת פתיחה]])*(מדד4/12)</f>
        <v>0</v>
      </c>
      <c r="AI38" s="19">
        <f ca="1">IF(הפחתה8[[#This Row],[תאריך]]="",0,הפחתה8[[#This Row],[ריבית]]+הפחתה8[[#This Row],[קרן]]+הפחתה8[[#This Row],[מדד]])</f>
        <v>0</v>
      </c>
      <c r="AJ38" s="19">
        <f ca="1">IF(הפחתה8[[#This Row],[תאריך]]="",0,הפחתה8[[#This Row],[יתרת פתיחה]]-הפחתה8[[#This Row],[קרן]])</f>
        <v>0</v>
      </c>
      <c r="AK38" s="20">
        <f ca="1">IF(הפחתה8[[#This Row],[יתרת
סגירה]]&gt;0,LastRow4-ROW(),0)</f>
        <v>0</v>
      </c>
    </row>
    <row r="39" spans="1:37" ht="15" customHeight="1" x14ac:dyDescent="0.25">
      <c r="A39" s="8"/>
      <c r="B39" s="11">
        <f>ROWS($B$4:B39)</f>
        <v>36</v>
      </c>
      <c r="C39" s="12">
        <f>IF(ValuesEntered,IF(הפחתה[[#This Row],[מס'']]&lt;=תקופת_ההלוואה,IF(ROW()-ROW(הפחתה[[#Headers],[תאריך]])=1,LoanStart,IF(I38&gt;0,EDATE(C38,1),"")),""),"")</f>
        <v>46447</v>
      </c>
      <c r="D39" s="13">
        <f>IF(ROW()-ROW(הפחתה[[#Headers],[יתרת פתיחה]])=1,סכום_הלוואה,IF(הפחתה[[#This Row],[תאריך]]="",0,INDEX(הפחתה[], ROW()-4,8)))</f>
        <v>574254.0231527224</v>
      </c>
      <c r="E39" s="13">
        <f>IF(ValuesEntered,IF(ROW()-ROW(הפחתה[[#Headers],[ריבית]])=1,-IPMT(שיעור_ריבית/12,1,תקופת_ההלוואה-ROWS($C$4:C39)+1,הפחתה[[#This Row],[יתרת פתיחה]]),IFERROR(-IPMT(שיעור_ריבית/12,1,הפחתה[[#This Row],[תשלומים
שנותרו]],D40),0)),0)</f>
        <v>2532.7749702959613</v>
      </c>
      <c r="F39" s="13">
        <f>IFERROR(IF(AND(ValuesEntered,הפחתה[[#This Row],[תאריך]]&lt;&gt;""),-PPMT(שיעור_ריבית/12,1,תקופת_ההלוואה-ROWS($C$4:C39)+1,הפחתה[[#This Row],[יתרת פתיחה]]),""),0)</f>
        <v>795.53931212736052</v>
      </c>
      <c r="G39" s="13">
        <f>(הפחתה[[#This Row],[יתרת פתיחה]])*(מדד/12)</f>
        <v>0</v>
      </c>
      <c r="H39" s="13">
        <f>IF(הפחתה[[#This Row],[תאריך]]="",0,הפחתה[[#This Row],[ריבית]]+הפחתה[[#This Row],[קרן]]+הפחתה[[#This Row],[מדד]])</f>
        <v>3328.3142824233219</v>
      </c>
      <c r="I39" s="13">
        <f>IF(הפחתה[[#This Row],[תאריך]]="",0,הפחתה[[#This Row],[יתרת פתיחה]]-הפחתה[[#This Row],[קרן]]+הפחתה[[#This Row],[מדד]])</f>
        <v>573458.483840595</v>
      </c>
      <c r="J39" s="11">
        <f>IF(הפחתה[[#This Row],[יתרת
סגירה]]&gt;0,LastRow-ROW(),0)</f>
        <v>324</v>
      </c>
      <c r="K39" s="11">
        <f>ROWS($K$4:K39)</f>
        <v>36</v>
      </c>
      <c r="L39" s="12">
        <f>IF(ValuesEntered2,IF(הפחתה5[[#This Row],[מס'']]&lt;=תקופת_ההלוואה2,IF(ROW()-ROW(הפחתה5[[#Headers],[תאריך]])=1,LoanStart2,IF(R38&gt;0,EDATE(L38,1),"")),""),"")</f>
        <v>46447</v>
      </c>
      <c r="M39" s="13">
        <f>IF(ROW()-ROW(הפחתה5[[#Headers],[יתרת פתיחה]])=1,סכום_הלוואה2,IF(הפחתה5[[#This Row],[תאריך]]="",0,INDEX(הפחתה5[], ROW()-4,8)))</f>
        <v>280282.14891109359</v>
      </c>
      <c r="N39" s="13">
        <f>IF(ValuesEntered2,IF(ROW()-ROW(הפחתה5[[#Headers],[ריבית]])=1,-IPMT(שיעור_ריבית2/12,1,תקופת_ההלוואה2-ROWS($L$4:L39)+1,הפחתה5[[#This Row],[יתרת פתיחה]]),IFERROR(-IPMT(שיעור_ריבית2/12,1,הפחתה5[[#This Row],[תשלומים
שנותרו]],M40),0)),0)</f>
        <v>1095.4062239660952</v>
      </c>
      <c r="O39" s="13">
        <f>IFERROR(IF(AND(ValuesEntered2,הפחתה5[[#This Row],[תאריך]]&lt;&gt;""),-PPMT(שיעור_ריבית2/12,1,תקופת_ההלוואה2-ROWS($L$4:L39)+1,הפחתה5[[#This Row],[יתרת פתיחה]]),""),0)</f>
        <v>603.96406868627628</v>
      </c>
      <c r="P39" s="13">
        <f>(הפחתה5[[#This Row],[יתרת פתיחה]])*(מדד2/12)</f>
        <v>0</v>
      </c>
      <c r="Q39" s="13">
        <f>IF(הפחתה5[[#This Row],[תאריך]]="",0,הפחתה5[[#This Row],[ריבית]]+הפחתה5[[#This Row],[קרן]]+הפחתה5[[#This Row],[מדד]])</f>
        <v>1699.3702926523715</v>
      </c>
      <c r="R39" s="13">
        <f>IF(הפחתה5[[#This Row],[תאריך]]="",0,הפחתה5[[#This Row],[יתרת פתיחה]]-הפחתה5[[#This Row],[קרן]]+הפחתה5[[#This Row],[מדד]])</f>
        <v>279678.1848424073</v>
      </c>
      <c r="S39" s="11">
        <f>IF(הפחתה5[[#This Row],[יתרת
סגירה]]&gt;0,LastRow2-ROW(),0)</f>
        <v>264</v>
      </c>
      <c r="T39" s="11">
        <f>ROWS($T$4:T39)</f>
        <v>36</v>
      </c>
      <c r="U39" s="12">
        <f ca="1">IF(ValuesEntered3,IF(הפחתה7[[#This Row],[מס'']]&lt;=תקופת_ההלוואה3,IF(ROW()-ROW(הפחתה7[[#Headers],[תאריך]])=1,LoanStart3,IF(AA38&gt;0,EDATE(U38,1),"")),""),"")</f>
        <v>46685</v>
      </c>
      <c r="V39" s="13">
        <f ca="1">IF(ROW()-ROW(הפחתה7[[#Headers],[יתרת פתיחה]])=1,סכום_הלוואה3,IF(הפחתה7[[#This Row],[תאריך]]="",0,INDEX(הפחתה7[], ROW()-4,8)))</f>
        <v>96550.029827145496</v>
      </c>
      <c r="W39" s="13">
        <f ca="1">IF(ValuesEntered3,IF(ROW()-ROW(הפחתה7[[#Headers],[ריבית]])=1,-IPMT(שיעור_ריבית3/12,1,תקופת_ההלוואה3-ROWS($C$4:U39)+1,הפחתה7[[#This Row],[יתרת פתיחה]]),IFERROR(-IPMT(שיעור_ריבית3/12,1,הפחתה7[[#This Row],[תשלומים
שנותרו]],V40),0)),0)</f>
        <v>184.82607004912055</v>
      </c>
      <c r="X39" s="13">
        <f ca="1">IFERROR(IF(AND(ValuesEntered3,הפחתה7[[#This Row],[תאריך]]&lt;&gt;""),-PPMT(שיעור_ריבית3/12,1,תקופת_ההלוואה3-ROWS($C$4:U39)+1,הפחתה7[[#This Row],[יתרת פתיחה]]),""),0)</f>
        <v>279.95347441768638</v>
      </c>
      <c r="Y39" s="13">
        <f ca="1">(הפחתה7[[#This Row],[יתרת פתיחה]])*(מדד3/12)</f>
        <v>160.91671637857584</v>
      </c>
      <c r="Z39" s="13">
        <f ca="1">IF(הפחתה7[[#This Row],[תאריך]]="",0,הפחתה7[[#This Row],[ריבית]]+הפחתה7[[#This Row],[קרן]]+הפחתה7[[#This Row],[מדד]])</f>
        <v>625.69626084538277</v>
      </c>
      <c r="AA39" s="13">
        <f ca="1">IF(הפחתה7[[#This Row],[תאריך]]="",0,הפחתה7[[#This Row],[יתרת פתיחה]]-הפחתה7[[#This Row],[קרן]]+הפחתה7[[#This Row],[מדד]])</f>
        <v>96430.993069106378</v>
      </c>
      <c r="AB39" s="11">
        <f ca="1">IF(הפחתה7[[#This Row],[יתרת
סגירה]]&gt;0,LastRow3-ROW(),0)</f>
        <v>264</v>
      </c>
      <c r="AC39" s="17">
        <f>ROWS($AC$4:AC39)</f>
        <v>36</v>
      </c>
      <c r="AD39" s="18" t="str">
        <f ca="1">IF(ValuesEntered4,IF(הפחתה8[[#This Row],[מס'']]&lt;=תקופת_ההלוואה4,IF(ROW()-ROW(הפחתה8[[#Headers],[תאריך]])=1,LoanStart4,IF(AJ38&gt;0,EDATE(AD38,1),"")),""),"")</f>
        <v/>
      </c>
      <c r="AE39" s="19">
        <f ca="1">IF(ROW()-ROW(הפחתה8[[#Headers],[יתרת פתיחה]])=1,סכום_הלוואה4,IF(הפחתה8[[#This Row],[תאריך]]="",0,INDEX(הפחתה8[], ROW()-4,8)))</f>
        <v>0</v>
      </c>
      <c r="AF39" s="19">
        <f ca="1">IF(ValuesEntered4,IF(ROW()-ROW(הפחתה8[[#Headers],[ריבית]])=1,-IPMT(שיעור_ריבית4/12,1,תקופת_ההלוואה4-ROWS($C$4:AD39)+1,הפחתה8[[#This Row],[יתרת פתיחה]]),IFERROR(-IPMT(שיעור_ריבית4/12,1,הפחתה8[[#This Row],[תשלומים
שנותרו]],AE40),0)),0)</f>
        <v>0</v>
      </c>
      <c r="AG39" s="19" t="str">
        <f ca="1">IFERROR(IF(AND(ValuesEntered4,הפחתה8[[#This Row],[תאריך]]&lt;&gt;""),-PPMT(שיעור_ריבית4/12,1,תקופת_ההלוואה4-ROWS($C$4:AD39)+1,הפחתה8[[#This Row],[יתרת פתיחה]]),""),0)</f>
        <v/>
      </c>
      <c r="AH39" s="19">
        <f ca="1">(הפחתה8[[#This Row],[יתרת פתיחה]])*(מדד4/12)</f>
        <v>0</v>
      </c>
      <c r="AI39" s="19">
        <f ca="1">IF(הפחתה8[[#This Row],[תאריך]]="",0,הפחתה8[[#This Row],[ריבית]]+הפחתה8[[#This Row],[קרן]]+הפחתה8[[#This Row],[מדד]])</f>
        <v>0</v>
      </c>
      <c r="AJ39" s="19">
        <f ca="1">IF(הפחתה8[[#This Row],[תאריך]]="",0,הפחתה8[[#This Row],[יתרת פתיחה]]-הפחתה8[[#This Row],[קרן]])</f>
        <v>0</v>
      </c>
      <c r="AK39" s="20">
        <f ca="1">IF(הפחתה8[[#This Row],[יתרת
סגירה]]&gt;0,LastRow4-ROW(),0)</f>
        <v>0</v>
      </c>
    </row>
    <row r="40" spans="1:37" ht="15" customHeight="1" x14ac:dyDescent="0.25">
      <c r="A40" s="8"/>
      <c r="B40" s="11">
        <f>ROWS($B$4:B40)</f>
        <v>37</v>
      </c>
      <c r="C40" s="12">
        <f>IF(ValuesEntered,IF(הפחתה[[#This Row],[מס'']]&lt;=תקופת_ההלוואה,IF(ROW()-ROW(הפחתה[[#Headers],[תאריך]])=1,LoanStart,IF(I39&gt;0,EDATE(C39,1),"")),""),"")</f>
        <v>46478</v>
      </c>
      <c r="D40" s="13">
        <f>IF(ROW()-ROW(הפחתה[[#Headers],[יתרת פתיחה]])=1,סכום_הלוואה,IF(הפחתה[[#This Row],[תאריך]]="",0,INDEX(הפחתה[], ROW()-4,8)))</f>
        <v>573458.483840595</v>
      </c>
      <c r="E40" s="13">
        <f>IF(ValuesEntered,IF(ROW()-ROW(הפחתה[[#Headers],[ריבית]])=1,-IPMT(שיעור_ריבית/12,1,תקופת_ההלוואה-ROWS($C$4:C40)+1,הפחתה[[#This Row],[יתרת פתיחה]]),IFERROR(-IPMT(שיעור_ריבית/12,1,הפחתה[[#This Row],[תשלומים
שנותרו]],D41),0)),0)</f>
        <v>2529.2458197929004</v>
      </c>
      <c r="F40" s="13">
        <f>IFERROR(IF(AND(ValuesEntered,הפחתה[[#This Row],[תאריך]]&lt;&gt;""),-PPMT(שיעור_ריבית/12,1,תקופת_ההלוואה-ROWS($C$4:C40)+1,הפחתה[[#This Row],[יתרת פתיחה]]),""),0)</f>
        <v>799.05294408925624</v>
      </c>
      <c r="G40" s="13">
        <f>(הפחתה[[#This Row],[יתרת פתיחה]])*(מדד/12)</f>
        <v>0</v>
      </c>
      <c r="H40" s="13">
        <f>IF(הפחתה[[#This Row],[תאריך]]="",0,הפחתה[[#This Row],[ריבית]]+הפחתה[[#This Row],[קרן]]+הפחתה[[#This Row],[מדד]])</f>
        <v>3328.2987638821569</v>
      </c>
      <c r="I40" s="13">
        <f>IF(הפחתה[[#This Row],[תאריך]]="",0,הפחתה[[#This Row],[יתרת פתיחה]]-הפחתה[[#This Row],[קרן]]+הפחתה[[#This Row],[מדד]])</f>
        <v>572659.43089650571</v>
      </c>
      <c r="J40" s="11">
        <f>IF(הפחתה[[#This Row],[יתרת
סגירה]]&gt;0,LastRow-ROW(),0)</f>
        <v>323</v>
      </c>
      <c r="K40" s="11">
        <f>ROWS($K$4:K40)</f>
        <v>37</v>
      </c>
      <c r="L40" s="12">
        <f>IF(ValuesEntered2,IF(הפחתה5[[#This Row],[מס'']]&lt;=תקופת_ההלוואה2,IF(ROW()-ROW(הפחתה5[[#Headers],[תאריך]])=1,LoanStart2,IF(R39&gt;0,EDATE(L39,1),"")),""),"")</f>
        <v>46478</v>
      </c>
      <c r="M40" s="13">
        <f>IF(ROW()-ROW(הפחתה5[[#Headers],[יתרת פתיחה]])=1,סכום_הלוואה2,IF(הפחתה5[[#This Row],[תאריך]]="",0,INDEX(הפחתה5[], ROW()-4,8)))</f>
        <v>279678.1848424073</v>
      </c>
      <c r="N40" s="13">
        <f>IF(ValuesEntered2,IF(ROW()-ROW(הפחתה5[[#Headers],[ריבית]])=1,-IPMT(שיעור_ריבית2/12,1,תקופת_ההלוואה2-ROWS($L$4:L40)+1,הפחתה5[[#This Row],[יתרת פתיחה]]),IFERROR(-IPMT(שיעור_ריבית2/12,1,הפחתה5[[#This Row],[תשלומים
שנותרו]],M41),0)),0)</f>
        <v>1093.0314330538258</v>
      </c>
      <c r="O40" s="13">
        <f>IFERROR(IF(AND(ValuesEntered2,הפחתה5[[#This Row],[תאריך]]&lt;&gt;""),-PPMT(שיעור_ריבית2/12,1,תקופת_ההלוואה2-ROWS($L$4:L40)+1,הפחתה5[[#This Row],[יתרת פתיחה]]),""),0)</f>
        <v>606.32959462196425</v>
      </c>
      <c r="P40" s="13">
        <f>(הפחתה5[[#This Row],[יתרת פתיחה]])*(מדד2/12)</f>
        <v>0</v>
      </c>
      <c r="Q40" s="13">
        <f>IF(הפחתה5[[#This Row],[תאריך]]="",0,הפחתה5[[#This Row],[ריבית]]+הפחתה5[[#This Row],[קרן]]+הפחתה5[[#This Row],[מדד]])</f>
        <v>1699.36102767579</v>
      </c>
      <c r="R40" s="13">
        <f>IF(הפחתה5[[#This Row],[תאריך]]="",0,הפחתה5[[#This Row],[יתרת פתיחה]]-הפחתה5[[#This Row],[קרן]]+הפחתה5[[#This Row],[מדד]])</f>
        <v>279071.85524778534</v>
      </c>
      <c r="S40" s="11">
        <f>IF(הפחתה5[[#This Row],[יתרת
סגירה]]&gt;0,LastRow2-ROW(),0)</f>
        <v>263</v>
      </c>
      <c r="T40" s="11">
        <f>ROWS($T$4:T40)</f>
        <v>37</v>
      </c>
      <c r="U40" s="12">
        <f ca="1">IF(ValuesEntered3,IF(הפחתה7[[#This Row],[מס'']]&lt;=תקופת_ההלוואה3,IF(ROW()-ROW(הפחתה7[[#Headers],[תאריך]])=1,LoanStart3,IF(AA39&gt;0,EDATE(U39,1),"")),""),"")</f>
        <v>46716</v>
      </c>
      <c r="V40" s="13">
        <f ca="1">IF(ROW()-ROW(הפחתה7[[#Headers],[יתרת פתיחה]])=1,סכום_הלוואה3,IF(הפחתה7[[#This Row],[תאריך]]="",0,INDEX(הפחתה7[], ROW()-4,8)))</f>
        <v>96430.993069106378</v>
      </c>
      <c r="W40" s="13">
        <f ca="1">IF(ValuesEntered3,IF(ROW()-ROW(הפחתה7[[#Headers],[ריבית]])=1,-IPMT(שיעור_ריבית3/12,1,תקופת_ההלוואה3-ROWS($C$4:U40)+1,הפחתה7[[#This Row],[יתרת פתיחה]]),IFERROR(-IPMT(שיעור_ריבית3/12,1,הפחתה7[[#This Row],[תשלומים
שנותרו]],V41),0)),0)</f>
        <v>184.59560895088862</v>
      </c>
      <c r="X40" s="13">
        <f ca="1">IFERROR(IF(AND(ValuesEntered3,הפחתה7[[#This Row],[תאריך]]&lt;&gt;""),-PPMT(שיעור_ריבית3/12,1,תקופת_ההלוואה3-ROWS($C$4:U40)+1,הפחתה7[[#This Row],[יתרת פתיחה]]),""),0)</f>
        <v>280.95889477240434</v>
      </c>
      <c r="Y40" s="13">
        <f ca="1">(הפחתה7[[#This Row],[יתרת פתיחה]])*(מדד3/12)</f>
        <v>160.71832178184397</v>
      </c>
      <c r="Z40" s="13">
        <f ca="1">IF(הפחתה7[[#This Row],[תאריך]]="",0,הפחתה7[[#This Row],[ריבית]]+הפחתה7[[#This Row],[קרן]]+הפחתה7[[#This Row],[מדד]])</f>
        <v>626.27282550513689</v>
      </c>
      <c r="AA40" s="13">
        <f ca="1">IF(הפחתה7[[#This Row],[תאריך]]="",0,הפחתה7[[#This Row],[יתרת פתיחה]]-הפחתה7[[#This Row],[קרן]]+הפחתה7[[#This Row],[מדד]])</f>
        <v>96310.752496115805</v>
      </c>
      <c r="AB40" s="11">
        <f ca="1">IF(הפחתה7[[#This Row],[יתרת
סגירה]]&gt;0,LastRow3-ROW(),0)</f>
        <v>263</v>
      </c>
      <c r="AC40" s="17">
        <f>ROWS($AC$4:AC40)</f>
        <v>37</v>
      </c>
      <c r="AD40" s="18" t="str">
        <f ca="1">IF(ValuesEntered4,IF(הפחתה8[[#This Row],[מס'']]&lt;=תקופת_ההלוואה4,IF(ROW()-ROW(הפחתה8[[#Headers],[תאריך]])=1,LoanStart4,IF(AJ39&gt;0,EDATE(AD39,1),"")),""),"")</f>
        <v/>
      </c>
      <c r="AE40" s="19">
        <f ca="1">IF(ROW()-ROW(הפחתה8[[#Headers],[יתרת פתיחה]])=1,סכום_הלוואה4,IF(הפחתה8[[#This Row],[תאריך]]="",0,INDEX(הפחתה8[], ROW()-4,8)))</f>
        <v>0</v>
      </c>
      <c r="AF40" s="19">
        <f ca="1">IF(ValuesEntered4,IF(ROW()-ROW(הפחתה8[[#Headers],[ריבית]])=1,-IPMT(שיעור_ריבית4/12,1,תקופת_ההלוואה4-ROWS($C$4:AD40)+1,הפחתה8[[#This Row],[יתרת פתיחה]]),IFERROR(-IPMT(שיעור_ריבית4/12,1,הפחתה8[[#This Row],[תשלומים
שנותרו]],AE41),0)),0)</f>
        <v>0</v>
      </c>
      <c r="AG40" s="19" t="str">
        <f ca="1">IFERROR(IF(AND(ValuesEntered4,הפחתה8[[#This Row],[תאריך]]&lt;&gt;""),-PPMT(שיעור_ריבית4/12,1,תקופת_ההלוואה4-ROWS($C$4:AD40)+1,הפחתה8[[#This Row],[יתרת פתיחה]]),""),0)</f>
        <v/>
      </c>
      <c r="AH40" s="19">
        <f ca="1">(הפחתה8[[#This Row],[יתרת פתיחה]])*(מדד4/12)</f>
        <v>0</v>
      </c>
      <c r="AI40" s="19">
        <f ca="1">IF(הפחתה8[[#This Row],[תאריך]]="",0,הפחתה8[[#This Row],[ריבית]]+הפחתה8[[#This Row],[קרן]]+הפחתה8[[#This Row],[מדד]])</f>
        <v>0</v>
      </c>
      <c r="AJ40" s="19">
        <f ca="1">IF(הפחתה8[[#This Row],[תאריך]]="",0,הפחתה8[[#This Row],[יתרת פתיחה]]-הפחתה8[[#This Row],[קרן]])</f>
        <v>0</v>
      </c>
      <c r="AK40" s="20">
        <f ca="1">IF(הפחתה8[[#This Row],[יתרת
סגירה]]&gt;0,LastRow4-ROW(),0)</f>
        <v>0</v>
      </c>
    </row>
    <row r="41" spans="1:37" ht="15" customHeight="1" x14ac:dyDescent="0.25">
      <c r="A41" s="8"/>
      <c r="B41" s="11">
        <f>ROWS($B$4:B41)</f>
        <v>38</v>
      </c>
      <c r="C41" s="12">
        <f>IF(ValuesEntered,IF(הפחתה[[#This Row],[מס'']]&lt;=תקופת_ההלוואה,IF(ROW()-ROW(הפחתה[[#Headers],[תאריך]])=1,LoanStart,IF(I40&gt;0,EDATE(C40,1),"")),""),"")</f>
        <v>46508</v>
      </c>
      <c r="D41" s="13">
        <f>IF(ROW()-ROW(הפחתה[[#Headers],[יתרת פתיחה]])=1,סכום_הלוואה,IF(הפחתה[[#This Row],[תאריך]]="",0,INDEX(הפחתה[], ROW()-4,8)))</f>
        <v>572659.43089650571</v>
      </c>
      <c r="E41" s="13">
        <f>IF(ValuesEntered,IF(ROW()-ROW(הפחתה[[#Headers],[ריבית]])=1,-IPMT(שיעור_ריבית/12,1,תקופת_ההלוואה-ROWS($C$4:C41)+1,הפחתה[[#This Row],[יתרת פתיחה]]),IFERROR(-IPMT(שיעור_ריבית/12,1,הפחתה[[#This Row],[תשלומים
שנותרו]],D42),0)),0)</f>
        <v>2525.7010822084512</v>
      </c>
      <c r="F41" s="13">
        <f>IFERROR(IF(AND(ValuesEntered,הפחתה[[#This Row],[תאריך]]&lt;&gt;""),-PPMT(שיעור_ריבית/12,1,תקופת_ההלוואה-ROWS($C$4:C41)+1,הפחתה[[#This Row],[יתרת פתיחה]]),""),0)</f>
        <v>802.58209459231728</v>
      </c>
      <c r="G41" s="13">
        <f>(הפחתה[[#This Row],[יתרת פתיחה]])*(מדד/12)</f>
        <v>0</v>
      </c>
      <c r="H41" s="13">
        <f>IF(הפחתה[[#This Row],[תאריך]]="",0,הפחתה[[#This Row],[ריבית]]+הפחתה[[#This Row],[קרן]]+הפחתה[[#This Row],[מדד]])</f>
        <v>3328.2831768007686</v>
      </c>
      <c r="I41" s="13">
        <f>IF(הפחתה[[#This Row],[תאריך]]="",0,הפחתה[[#This Row],[יתרת פתיחה]]-הפחתה[[#This Row],[קרן]]+הפחתה[[#This Row],[מדד]])</f>
        <v>571856.84880191344</v>
      </c>
      <c r="J41" s="11">
        <f>IF(הפחתה[[#This Row],[יתרת
סגירה]]&gt;0,LastRow-ROW(),0)</f>
        <v>322</v>
      </c>
      <c r="K41" s="11">
        <f>ROWS($K$4:K41)</f>
        <v>38</v>
      </c>
      <c r="L41" s="12">
        <f>IF(ValuesEntered2,IF(הפחתה5[[#This Row],[מס'']]&lt;=תקופת_ההלוואה2,IF(ROW()-ROW(הפחתה5[[#Headers],[תאריך]])=1,LoanStart2,IF(R40&gt;0,EDATE(L40,1),"")),""),"")</f>
        <v>46508</v>
      </c>
      <c r="M41" s="13">
        <f>IF(ROW()-ROW(הפחתה5[[#Headers],[יתרת פתיחה]])=1,סכום_הלוואה2,IF(הפחתה5[[#This Row],[תאריך]]="",0,INDEX(הפחתה5[], ROW()-4,8)))</f>
        <v>279071.85524778534</v>
      </c>
      <c r="N41" s="13">
        <f>IF(ValuesEntered2,IF(ROW()-ROW(הפחתה5[[#Headers],[ריבית]])=1,-IPMT(שיעור_ריבית2/12,1,תקופת_ההלוואה2-ROWS($L$4:L41)+1,הפחתה5[[#This Row],[יתרת פתיחה]]),IFERROR(-IPMT(שיעור_ריבית2/12,1,הפחתה5[[#This Row],[תשלומים
שנותרו]],M42),0)),0)</f>
        <v>1090.6473408771501</v>
      </c>
      <c r="O41" s="13">
        <f>IFERROR(IF(AND(ValuesEntered2,הפחתה5[[#This Row],[תאריך]]&lt;&gt;""),-PPMT(שיעור_ריבית2/12,1,תקופת_ההלוואה2-ROWS($L$4:L41)+1,הפחתה5[[#This Row],[יתרת פתיחה]]),""),0)</f>
        <v>608.70438553423344</v>
      </c>
      <c r="P41" s="13">
        <f>(הפחתה5[[#This Row],[יתרת פתיחה]])*(מדד2/12)</f>
        <v>0</v>
      </c>
      <c r="Q41" s="13">
        <f>IF(הפחתה5[[#This Row],[תאריך]]="",0,הפחתה5[[#This Row],[ריבית]]+הפחתה5[[#This Row],[קרן]]+הפחתה5[[#This Row],[מדד]])</f>
        <v>1699.3517264113834</v>
      </c>
      <c r="R41" s="13">
        <f>IF(הפחתה5[[#This Row],[תאריך]]="",0,הפחתה5[[#This Row],[יתרת פתיחה]]-הפחתה5[[#This Row],[קרן]]+הפחתה5[[#This Row],[מדד]])</f>
        <v>278463.15086225112</v>
      </c>
      <c r="S41" s="11">
        <f>IF(הפחתה5[[#This Row],[יתרת
סגירה]]&gt;0,LastRow2-ROW(),0)</f>
        <v>262</v>
      </c>
      <c r="T41" s="11">
        <f>ROWS($T$4:T41)</f>
        <v>38</v>
      </c>
      <c r="U41" s="12">
        <f ca="1">IF(ValuesEntered3,IF(הפחתה7[[#This Row],[מס'']]&lt;=תקופת_ההלוואה3,IF(ROW()-ROW(הפחתה7[[#Headers],[תאריך]])=1,LoanStart3,IF(AA40&gt;0,EDATE(U40,1),"")),""),"")</f>
        <v>46746</v>
      </c>
      <c r="V41" s="13">
        <f ca="1">IF(ROW()-ROW(הפחתה7[[#Headers],[יתרת פתיחה]])=1,סכום_הלוואה3,IF(הפחתה7[[#This Row],[תאריך]]="",0,INDEX(הפחתה7[], ROW()-4,8)))</f>
        <v>96310.752496115805</v>
      </c>
      <c r="W41" s="13">
        <f ca="1">IF(ValuesEntered3,IF(ROW()-ROW(הפחתה7[[#Headers],[ריבית]])=1,-IPMT(שיעור_ריבית3/12,1,תקופת_ההלוואה3-ROWS($C$4:U41)+1,הפחתה7[[#This Row],[יתרת פתיחה]]),IFERROR(-IPMT(שיעור_ריבית3/12,1,הפחתה7[[#This Row],[תשלומים
שנותרו]],V42),0)),0)</f>
        <v>184.36282976168224</v>
      </c>
      <c r="X41" s="13">
        <f ca="1">IFERROR(IF(AND(ValuesEntered3,הפחתה7[[#This Row],[תאריך]]&lt;&gt;""),-PPMT(שיעור_ריבית3/12,1,תקופת_ההלוואה3-ROWS($C$4:U41)+1,הפחתה7[[#This Row],[יתרת פתיחה]]),""),0)</f>
        <v>281.96793258670471</v>
      </c>
      <c r="Y41" s="13">
        <f ca="1">(הפחתה7[[#This Row],[יתרת פתיחה]])*(מדד3/12)</f>
        <v>160.51792082685969</v>
      </c>
      <c r="Z41" s="13">
        <f ca="1">IF(הפחתה7[[#This Row],[תאריך]]="",0,הפחתה7[[#This Row],[ריבית]]+הפחתה7[[#This Row],[קרן]]+הפחתה7[[#This Row],[מדד]])</f>
        <v>626.84868317524661</v>
      </c>
      <c r="AA41" s="13">
        <f ca="1">IF(הפחתה7[[#This Row],[תאריך]]="",0,הפחתה7[[#This Row],[יתרת פתיחה]]-הפחתה7[[#This Row],[קרן]]+הפחתה7[[#This Row],[מדד]])</f>
        <v>96189.302484355954</v>
      </c>
      <c r="AB41" s="11">
        <f ca="1">IF(הפחתה7[[#This Row],[יתרת
סגירה]]&gt;0,LastRow3-ROW(),0)</f>
        <v>262</v>
      </c>
      <c r="AC41" s="17">
        <f>ROWS($AC$4:AC41)</f>
        <v>38</v>
      </c>
      <c r="AD41" s="18" t="str">
        <f ca="1">IF(ValuesEntered4,IF(הפחתה8[[#This Row],[מס'']]&lt;=תקופת_ההלוואה4,IF(ROW()-ROW(הפחתה8[[#Headers],[תאריך]])=1,LoanStart4,IF(AJ40&gt;0,EDATE(AD40,1),"")),""),"")</f>
        <v/>
      </c>
      <c r="AE41" s="19">
        <f ca="1">IF(ROW()-ROW(הפחתה8[[#Headers],[יתרת פתיחה]])=1,סכום_הלוואה4,IF(הפחתה8[[#This Row],[תאריך]]="",0,INDEX(הפחתה8[], ROW()-4,8)))</f>
        <v>0</v>
      </c>
      <c r="AF41" s="19">
        <f ca="1">IF(ValuesEntered4,IF(ROW()-ROW(הפחתה8[[#Headers],[ריבית]])=1,-IPMT(שיעור_ריבית4/12,1,תקופת_ההלוואה4-ROWS($C$4:AD41)+1,הפחתה8[[#This Row],[יתרת פתיחה]]),IFERROR(-IPMT(שיעור_ריבית4/12,1,הפחתה8[[#This Row],[תשלומים
שנותרו]],AE42),0)),0)</f>
        <v>0</v>
      </c>
      <c r="AG41" s="19" t="str">
        <f ca="1">IFERROR(IF(AND(ValuesEntered4,הפחתה8[[#This Row],[תאריך]]&lt;&gt;""),-PPMT(שיעור_ריבית4/12,1,תקופת_ההלוואה4-ROWS($C$4:AD41)+1,הפחתה8[[#This Row],[יתרת פתיחה]]),""),0)</f>
        <v/>
      </c>
      <c r="AH41" s="19">
        <f ca="1">(הפחתה8[[#This Row],[יתרת פתיחה]])*(מדד4/12)</f>
        <v>0</v>
      </c>
      <c r="AI41" s="19">
        <f ca="1">IF(הפחתה8[[#This Row],[תאריך]]="",0,הפחתה8[[#This Row],[ריבית]]+הפחתה8[[#This Row],[קרן]]+הפחתה8[[#This Row],[מדד]])</f>
        <v>0</v>
      </c>
      <c r="AJ41" s="19">
        <f ca="1">IF(הפחתה8[[#This Row],[תאריך]]="",0,הפחתה8[[#This Row],[יתרת פתיחה]]-הפחתה8[[#This Row],[קרן]])</f>
        <v>0</v>
      </c>
      <c r="AK41" s="20">
        <f ca="1">IF(הפחתה8[[#This Row],[יתרת
סגירה]]&gt;0,LastRow4-ROW(),0)</f>
        <v>0</v>
      </c>
    </row>
    <row r="42" spans="1:37" ht="15" customHeight="1" x14ac:dyDescent="0.25">
      <c r="A42" s="8"/>
      <c r="B42" s="11">
        <f>ROWS($B$4:B42)</f>
        <v>39</v>
      </c>
      <c r="C42" s="12">
        <f>IF(ValuesEntered,IF(הפחתה[[#This Row],[מס'']]&lt;=תקופת_ההלוואה,IF(ROW()-ROW(הפחתה[[#Headers],[תאריך]])=1,LoanStart,IF(I41&gt;0,EDATE(C41,1),"")),""),"")</f>
        <v>46539</v>
      </c>
      <c r="D42" s="13">
        <f>IF(ROW()-ROW(הפחתה[[#Headers],[יתרת פתיחה]])=1,סכום_הלוואה,IF(הפחתה[[#This Row],[תאריך]]="",0,INDEX(הפחתה[], ROW()-4,8)))</f>
        <v>571856.84880191344</v>
      </c>
      <c r="E42" s="13">
        <f>IF(ValuesEntered,IF(ROW()-ROW(הפחתה[[#Headers],[ריבית]])=1,-IPMT(שיעור_ריבית/12,1,תקופת_ההלוואה-ROWS($C$4:C42)+1,הפחתה[[#This Row],[יתרת פתיחה]]),IFERROR(-IPMT(שיעור_ריבית/12,1,הפחתה[[#This Row],[תשלומים
שנותרו]],D43),0)),0)</f>
        <v>2522.1406886996701</v>
      </c>
      <c r="F42" s="13">
        <f>IFERROR(IF(AND(ValuesEntered,הפחתה[[#This Row],[תאריך]]&lt;&gt;""),-PPMT(שיעור_ריבית/12,1,תקופת_ההלוואה-ROWS($C$4:C42)+1,הפחתה[[#This Row],[יתרת פתיחה]]),""),0)</f>
        <v>806.1268321767667</v>
      </c>
      <c r="G42" s="13">
        <f>(הפחתה[[#This Row],[יתרת פתיחה]])*(מדד/12)</f>
        <v>0</v>
      </c>
      <c r="H42" s="13">
        <f>IF(הפחתה[[#This Row],[תאריך]]="",0,הפחתה[[#This Row],[ריבית]]+הפחתה[[#This Row],[קרן]]+הפחתה[[#This Row],[מדד]])</f>
        <v>3328.2675208764367</v>
      </c>
      <c r="I42" s="13">
        <f>IF(הפחתה[[#This Row],[תאריך]]="",0,הפחתה[[#This Row],[יתרת פתיחה]]-הפחתה[[#This Row],[קרן]]+הפחתה[[#This Row],[מדד]])</f>
        <v>571050.72196973662</v>
      </c>
      <c r="J42" s="11">
        <f>IF(הפחתה[[#This Row],[יתרת
סגירה]]&gt;0,LastRow-ROW(),0)</f>
        <v>321</v>
      </c>
      <c r="K42" s="11">
        <f>ROWS($K$4:K42)</f>
        <v>39</v>
      </c>
      <c r="L42" s="12">
        <f>IF(ValuesEntered2,IF(הפחתה5[[#This Row],[מס'']]&lt;=תקופת_ההלוואה2,IF(ROW()-ROW(הפחתה5[[#Headers],[תאריך]])=1,LoanStart2,IF(R41&gt;0,EDATE(L41,1),"")),""),"")</f>
        <v>46539</v>
      </c>
      <c r="M42" s="13">
        <f>IF(ROW()-ROW(הפחתה5[[#Headers],[יתרת פתיחה]])=1,סכום_הלוואה2,IF(הפחתה5[[#This Row],[תאריך]]="",0,INDEX(הפחתה5[], ROW()-4,8)))</f>
        <v>278463.15086225112</v>
      </c>
      <c r="N42" s="13">
        <f>IF(ValuesEntered2,IF(ROW()-ROW(הפחתה5[[#Headers],[ריבית]])=1,-IPMT(שיעור_ריבית2/12,1,תקופת_ההלוואה2-ROWS($L$4:L42)+1,הפחתה5[[#This Row],[יתרת פתיחה]]),IFERROR(-IPMT(שיעור_ריבית2/12,1,הפחתה5[[#This Row],[תשלומים
שנותרו]],M43),0)),0)</f>
        <v>1088.2539110061157</v>
      </c>
      <c r="O42" s="13">
        <f>IFERROR(IF(AND(ValuesEntered2,הפחתה5[[#This Row],[תאריך]]&lt;&gt;""),-PPMT(שיעור_ריבית2/12,1,תקופת_ההלוואה2-ROWS($L$4:L42)+1,הפחתה5[[#This Row],[יתרת פתיחה]]),""),0)</f>
        <v>611.08847771090905</v>
      </c>
      <c r="P42" s="13">
        <f>(הפחתה5[[#This Row],[יתרת פתיחה]])*(מדד2/12)</f>
        <v>0</v>
      </c>
      <c r="Q42" s="13">
        <f>IF(הפחתה5[[#This Row],[תאריך]]="",0,הפחתה5[[#This Row],[ריבית]]+הפחתה5[[#This Row],[קרן]]+הפחתה5[[#This Row],[מדד]])</f>
        <v>1699.3423887170247</v>
      </c>
      <c r="R42" s="13">
        <f>IF(הפחתה5[[#This Row],[תאריך]]="",0,הפחתה5[[#This Row],[יתרת פתיחה]]-הפחתה5[[#This Row],[קרן]]+הפחתה5[[#This Row],[מדד]])</f>
        <v>277852.06238454022</v>
      </c>
      <c r="S42" s="11">
        <f>IF(הפחתה5[[#This Row],[יתרת
סגירה]]&gt;0,LastRow2-ROW(),0)</f>
        <v>261</v>
      </c>
      <c r="T42" s="11">
        <f>ROWS($T$4:T42)</f>
        <v>39</v>
      </c>
      <c r="U42" s="12">
        <f ca="1">IF(ValuesEntered3,IF(הפחתה7[[#This Row],[מס'']]&lt;=תקופת_ההלוואה3,IF(ROW()-ROW(הפחתה7[[#Headers],[תאריך]])=1,LoanStart3,IF(AA41&gt;0,EDATE(U41,1),"")),""),"")</f>
        <v>46777</v>
      </c>
      <c r="V42" s="13">
        <f ca="1">IF(ROW()-ROW(הפחתה7[[#Headers],[יתרת פתיחה]])=1,סכום_הלוואה3,IF(הפחתה7[[#This Row],[תאריך]]="",0,INDEX(הפחתה7[], ROW()-4,8)))</f>
        <v>96189.302484355954</v>
      </c>
      <c r="W42" s="13">
        <f ca="1">IF(ValuesEntered3,IF(ROW()-ROW(הפחתה7[[#Headers],[ריבית]])=1,-IPMT(שיעור_ריבית3/12,1,תקופת_ההלוואה3-ROWS($C$4:U42)+1,הפחתה7[[#This Row],[יתרת פתיחה]]),IFERROR(-IPMT(שיעור_ריבית3/12,1,הפחתה7[[#This Row],[תשלומים
שנותרו]],V43),0)),0)</f>
        <v>184.12772165946146</v>
      </c>
      <c r="X42" s="13">
        <f ca="1">IFERROR(IF(AND(ValuesEntered3,הפחתה7[[#This Row],[תאריך]]&lt;&gt;""),-PPMT(שיעור_ריבית3/12,1,תקופת_ההלוואה3-ROWS($C$4:U42)+1,הפחתה7[[#This Row],[יתרת פתיחה]]),""),0)</f>
        <v>282.98060095144979</v>
      </c>
      <c r="Y42" s="13">
        <f ca="1">(הפחתה7[[#This Row],[יתרת פתיחה]])*(מדד3/12)</f>
        <v>160.31550414059328</v>
      </c>
      <c r="Z42" s="13">
        <f ca="1">IF(הפחתה7[[#This Row],[תאריך]]="",0,הפחתה7[[#This Row],[ריבית]]+הפחתה7[[#This Row],[קרן]]+הפחתה7[[#This Row],[מדד]])</f>
        <v>627.42382675150452</v>
      </c>
      <c r="AA42" s="13">
        <f ca="1">IF(הפחתה7[[#This Row],[תאריך]]="",0,הפחתה7[[#This Row],[יתרת פתיחה]]-הפחתה7[[#This Row],[קרן]]+הפחתה7[[#This Row],[מדד]])</f>
        <v>96066.63738754511</v>
      </c>
      <c r="AB42" s="11">
        <f ca="1">IF(הפחתה7[[#This Row],[יתרת
סגירה]]&gt;0,LastRow3-ROW(),0)</f>
        <v>261</v>
      </c>
      <c r="AC42" s="17">
        <f>ROWS($AC$4:AC42)</f>
        <v>39</v>
      </c>
      <c r="AD42" s="18" t="str">
        <f ca="1">IF(ValuesEntered4,IF(הפחתה8[[#This Row],[מס'']]&lt;=תקופת_ההלוואה4,IF(ROW()-ROW(הפחתה8[[#Headers],[תאריך]])=1,LoanStart4,IF(AJ41&gt;0,EDATE(AD41,1),"")),""),"")</f>
        <v/>
      </c>
      <c r="AE42" s="19">
        <f ca="1">IF(ROW()-ROW(הפחתה8[[#Headers],[יתרת פתיחה]])=1,סכום_הלוואה4,IF(הפחתה8[[#This Row],[תאריך]]="",0,INDEX(הפחתה8[], ROW()-4,8)))</f>
        <v>0</v>
      </c>
      <c r="AF42" s="19">
        <f ca="1">IF(ValuesEntered4,IF(ROW()-ROW(הפחתה8[[#Headers],[ריבית]])=1,-IPMT(שיעור_ריבית4/12,1,תקופת_ההלוואה4-ROWS($C$4:AD42)+1,הפחתה8[[#This Row],[יתרת פתיחה]]),IFERROR(-IPMT(שיעור_ריבית4/12,1,הפחתה8[[#This Row],[תשלומים
שנותרו]],AE43),0)),0)</f>
        <v>0</v>
      </c>
      <c r="AG42" s="19" t="str">
        <f ca="1">IFERROR(IF(AND(ValuesEntered4,הפחתה8[[#This Row],[תאריך]]&lt;&gt;""),-PPMT(שיעור_ריבית4/12,1,תקופת_ההלוואה4-ROWS($C$4:AD42)+1,הפחתה8[[#This Row],[יתרת פתיחה]]),""),0)</f>
        <v/>
      </c>
      <c r="AH42" s="19">
        <f ca="1">(הפחתה8[[#This Row],[יתרת פתיחה]])*(מדד4/12)</f>
        <v>0</v>
      </c>
      <c r="AI42" s="19">
        <f ca="1">IF(הפחתה8[[#This Row],[תאריך]]="",0,הפחתה8[[#This Row],[ריבית]]+הפחתה8[[#This Row],[קרן]]+הפחתה8[[#This Row],[מדד]])</f>
        <v>0</v>
      </c>
      <c r="AJ42" s="19">
        <f ca="1">IF(הפחתה8[[#This Row],[תאריך]]="",0,הפחתה8[[#This Row],[יתרת פתיחה]]-הפחתה8[[#This Row],[קרן]])</f>
        <v>0</v>
      </c>
      <c r="AK42" s="20">
        <f ca="1">IF(הפחתה8[[#This Row],[יתרת
סגירה]]&gt;0,LastRow4-ROW(),0)</f>
        <v>0</v>
      </c>
    </row>
    <row r="43" spans="1:37" ht="15" customHeight="1" x14ac:dyDescent="0.25">
      <c r="A43" s="8"/>
      <c r="B43" s="11">
        <f>ROWS($B$4:B43)</f>
        <v>40</v>
      </c>
      <c r="C43" s="12">
        <f>IF(ValuesEntered,IF(הפחתה[[#This Row],[מס'']]&lt;=תקופת_ההלוואה,IF(ROW()-ROW(הפחתה[[#Headers],[תאריך]])=1,LoanStart,IF(I42&gt;0,EDATE(C42,1),"")),""),"")</f>
        <v>46569</v>
      </c>
      <c r="D43" s="13">
        <f>IF(ROW()-ROW(הפחתה[[#Headers],[יתרת פתיחה]])=1,סכום_הלוואה,IF(הפחתה[[#This Row],[תאריך]]="",0,INDEX(הפחתה[], ROW()-4,8)))</f>
        <v>571050.72196973662</v>
      </c>
      <c r="E43" s="13">
        <f>IF(ValuesEntered,IF(ROW()-ROW(הפחתה[[#Headers],[ריבית]])=1,-IPMT(שיעור_ריבית/12,1,תקופת_ההלוואה-ROWS($C$4:C43)+1,הפחתה[[#This Row],[יתרת פתיחה]]),IFERROR(-IPMT(שיעור_ריבית/12,1,הפחתה[[#This Row],[תשלומים
שנותרו]],D44),0)),0)</f>
        <v>2518.564570119559</v>
      </c>
      <c r="F43" s="13">
        <f>IFERROR(IF(AND(ValuesEntered,הפחתה[[#This Row],[תאריך]]&lt;&gt;""),-PPMT(שיעור_ריבית/12,1,תקופת_ההלוואה-ROWS($C$4:C43)+1,הפחתה[[#This Row],[יתרת פתיחה]]),""),0)</f>
        <v>809.68722568554745</v>
      </c>
      <c r="G43" s="13">
        <f>(הפחתה[[#This Row],[יתרת פתיחה]])*(מדד/12)</f>
        <v>0</v>
      </c>
      <c r="H43" s="13">
        <f>IF(הפחתה[[#This Row],[תאריך]]="",0,הפחתה[[#This Row],[ריבית]]+הפחתה[[#This Row],[קרן]]+הפחתה[[#This Row],[מדד]])</f>
        <v>3328.2517958051067</v>
      </c>
      <c r="I43" s="13">
        <f>IF(הפחתה[[#This Row],[תאריך]]="",0,הפחתה[[#This Row],[יתרת פתיחה]]-הפחתה[[#This Row],[קרן]]+הפחתה[[#This Row],[מדד]])</f>
        <v>570241.03474405105</v>
      </c>
      <c r="J43" s="11">
        <f>IF(הפחתה[[#This Row],[יתרת
סגירה]]&gt;0,LastRow-ROW(),0)</f>
        <v>320</v>
      </c>
      <c r="K43" s="11">
        <f>ROWS($K$4:K43)</f>
        <v>40</v>
      </c>
      <c r="L43" s="12">
        <f>IF(ValuesEntered2,IF(הפחתה5[[#This Row],[מס'']]&lt;=תקופת_ההלוואה2,IF(ROW()-ROW(הפחתה5[[#Headers],[תאריך]])=1,LoanStart2,IF(R42&gt;0,EDATE(L42,1),"")),""),"")</f>
        <v>46569</v>
      </c>
      <c r="M43" s="13">
        <f>IF(ROW()-ROW(הפחתה5[[#Headers],[יתרת פתיחה]])=1,סכום_הלוואה2,IF(הפחתה5[[#This Row],[תאריך]]="",0,INDEX(הפחתה5[], ROW()-4,8)))</f>
        <v>277852.06238454022</v>
      </c>
      <c r="N43" s="13">
        <f>IF(ValuesEntered2,IF(ROW()-ROW(הפחתה5[[#Headers],[ריבית]])=1,-IPMT(שיעור_ריבית2/12,1,תקופת_ההלוואה2-ROWS($L$4:L43)+1,הפחתה5[[#This Row],[יתרת פתיחה]]),IFERROR(-IPMT(שיעור_ריבית2/12,1,הפחתה5[[#This Row],[תשלומים
שנותרו]],M44),0)),0)</f>
        <v>1085.8511068680864</v>
      </c>
      <c r="O43" s="13">
        <f>IFERROR(IF(AND(ValuesEntered2,הפחתה5[[#This Row],[תאריך]]&lt;&gt;""),-PPMT(שיעור_ריבית2/12,1,תקופת_ההלוואה2-ROWS($L$4:L43)+1,הפחתה5[[#This Row],[יתרת פתיחה]]),""),0)</f>
        <v>613.48190758194357</v>
      </c>
      <c r="P43" s="13">
        <f>(הפחתה5[[#This Row],[יתרת פתיחה]])*(מדד2/12)</f>
        <v>0</v>
      </c>
      <c r="Q43" s="13">
        <f>IF(הפחתה5[[#This Row],[תאריך]]="",0,הפחתה5[[#This Row],[ריבית]]+הפחתה5[[#This Row],[קרן]]+הפחתה5[[#This Row],[מדד]])</f>
        <v>1699.3330144500301</v>
      </c>
      <c r="R43" s="13">
        <f>IF(הפחתה5[[#This Row],[תאריך]]="",0,הפחתה5[[#This Row],[יתרת פתיחה]]-הפחתה5[[#This Row],[קרן]]+הפחתה5[[#This Row],[מדד]])</f>
        <v>277238.58047695825</v>
      </c>
      <c r="S43" s="11">
        <f>IF(הפחתה5[[#This Row],[יתרת
סגירה]]&gt;0,LastRow2-ROW(),0)</f>
        <v>260</v>
      </c>
      <c r="T43" s="11">
        <f>ROWS($T$4:T43)</f>
        <v>40</v>
      </c>
      <c r="U43" s="12">
        <f ca="1">IF(ValuesEntered3,IF(הפחתה7[[#This Row],[מס'']]&lt;=תקופת_ההלוואה3,IF(ROW()-ROW(הפחתה7[[#Headers],[תאריך]])=1,LoanStart3,IF(AA42&gt;0,EDATE(U42,1),"")),""),"")</f>
        <v>46808</v>
      </c>
      <c r="V43" s="13">
        <f ca="1">IF(ROW()-ROW(הפחתה7[[#Headers],[יתרת פתיחה]])=1,סכום_הלוואה3,IF(הפחתה7[[#This Row],[תאריך]]="",0,INDEX(הפחתה7[], ROW()-4,8)))</f>
        <v>96066.63738754511</v>
      </c>
      <c r="W43" s="13">
        <f ca="1">IF(ValuesEntered3,IF(ROW()-ROW(הפחתה7[[#Headers],[ריבית]])=1,-IPMT(שיעור_ריבית3/12,1,תקופת_ההלוואה3-ROWS($C$4:U43)+1,הפחתה7[[#This Row],[יתרת פתיחה]]),IFERROR(-IPMT(שיעור_ריבית3/12,1,הפחתה7[[#This Row],[תשלומים
שנותרו]],V44),0)),0)</f>
        <v>183.89027377896585</v>
      </c>
      <c r="X43" s="13">
        <f ca="1">IFERROR(IF(AND(ValuesEntered3,הפחתה7[[#This Row],[תאריך]]&lt;&gt;""),-PPMT(שיעור_ריבית3/12,1,תקופת_ההלוואה3-ROWS($C$4:U43)+1,הפחתה7[[#This Row],[יתרת פתיחה]]),""),0)</f>
        <v>283.99691300592576</v>
      </c>
      <c r="Y43" s="13">
        <f ca="1">(הפחתה7[[#This Row],[יתרת פתיחה]])*(מדד3/12)</f>
        <v>160.1110623125752</v>
      </c>
      <c r="Z43" s="13">
        <f ca="1">IF(הפחתה7[[#This Row],[תאריך]]="",0,הפחתה7[[#This Row],[ריבית]]+הפחתה7[[#This Row],[קרן]]+הפחתה7[[#This Row],[מדד]])</f>
        <v>627.99824909746678</v>
      </c>
      <c r="AA43" s="13">
        <f ca="1">IF(הפחתה7[[#This Row],[תאריך]]="",0,הפחתה7[[#This Row],[יתרת פתיחה]]-הפחתה7[[#This Row],[קרן]]+הפחתה7[[#This Row],[מדד]])</f>
        <v>95942.751536851749</v>
      </c>
      <c r="AB43" s="11">
        <f ca="1">IF(הפחתה7[[#This Row],[יתרת
סגירה]]&gt;0,LastRow3-ROW(),0)</f>
        <v>260</v>
      </c>
      <c r="AC43" s="17">
        <f>ROWS($AC$4:AC43)</f>
        <v>40</v>
      </c>
      <c r="AD43" s="18" t="str">
        <f ca="1">IF(ValuesEntered4,IF(הפחתה8[[#This Row],[מס'']]&lt;=תקופת_ההלוואה4,IF(ROW()-ROW(הפחתה8[[#Headers],[תאריך]])=1,LoanStart4,IF(AJ42&gt;0,EDATE(AD42,1),"")),""),"")</f>
        <v/>
      </c>
      <c r="AE43" s="19">
        <f ca="1">IF(ROW()-ROW(הפחתה8[[#Headers],[יתרת פתיחה]])=1,סכום_הלוואה4,IF(הפחתה8[[#This Row],[תאריך]]="",0,INDEX(הפחתה8[], ROW()-4,8)))</f>
        <v>0</v>
      </c>
      <c r="AF43" s="19">
        <f ca="1">IF(ValuesEntered4,IF(ROW()-ROW(הפחתה8[[#Headers],[ריבית]])=1,-IPMT(שיעור_ריבית4/12,1,תקופת_ההלוואה4-ROWS($C$4:AD43)+1,הפחתה8[[#This Row],[יתרת פתיחה]]),IFERROR(-IPMT(שיעור_ריבית4/12,1,הפחתה8[[#This Row],[תשלומים
שנותרו]],AE44),0)),0)</f>
        <v>0</v>
      </c>
      <c r="AG43" s="19" t="str">
        <f ca="1">IFERROR(IF(AND(ValuesEntered4,הפחתה8[[#This Row],[תאריך]]&lt;&gt;""),-PPMT(שיעור_ריבית4/12,1,תקופת_ההלוואה4-ROWS($C$4:AD43)+1,הפחתה8[[#This Row],[יתרת פתיחה]]),""),0)</f>
        <v/>
      </c>
      <c r="AH43" s="19">
        <f ca="1">(הפחתה8[[#This Row],[יתרת פתיחה]])*(מדד4/12)</f>
        <v>0</v>
      </c>
      <c r="AI43" s="19">
        <f ca="1">IF(הפחתה8[[#This Row],[תאריך]]="",0,הפחתה8[[#This Row],[ריבית]]+הפחתה8[[#This Row],[קרן]]+הפחתה8[[#This Row],[מדד]])</f>
        <v>0</v>
      </c>
      <c r="AJ43" s="19">
        <f ca="1">IF(הפחתה8[[#This Row],[תאריך]]="",0,הפחתה8[[#This Row],[יתרת פתיחה]]-הפחתה8[[#This Row],[קרן]])</f>
        <v>0</v>
      </c>
      <c r="AK43" s="20">
        <f ca="1">IF(הפחתה8[[#This Row],[יתרת
סגירה]]&gt;0,LastRow4-ROW(),0)</f>
        <v>0</v>
      </c>
    </row>
    <row r="44" spans="1:37" ht="15" customHeight="1" x14ac:dyDescent="0.25">
      <c r="A44" s="8"/>
      <c r="B44" s="11">
        <f>ROWS($B$4:B44)</f>
        <v>41</v>
      </c>
      <c r="C44" s="12">
        <f>IF(ValuesEntered,IF(הפחתה[[#This Row],[מס'']]&lt;=תקופת_ההלוואה,IF(ROW()-ROW(הפחתה[[#Headers],[תאריך]])=1,LoanStart,IF(I43&gt;0,EDATE(C43,1),"")),""),"")</f>
        <v>46600</v>
      </c>
      <c r="D44" s="13">
        <f>IF(ROW()-ROW(הפחתה[[#Headers],[יתרת פתיחה]])=1,סכום_הלוואה,IF(הפחתה[[#This Row],[תאריך]]="",0,INDEX(הפחתה[], ROW()-4,8)))</f>
        <v>570241.03474405105</v>
      </c>
      <c r="E44" s="13">
        <f>IF(ValuesEntered,IF(ROW()-ROW(הפחתה[[#Headers],[ריבית]])=1,-IPMT(שיעור_ריבית/12,1,תקופת_ההלוואה-ROWS($C$4:C44)+1,הפחתה[[#This Row],[יתרת פתיחה]]),IFERROR(-IPMT(שיעור_ריבית/12,1,הפחתה[[#This Row],[תשלומים
שנותרו]],D45),0)),0)</f>
        <v>2514.9726570157191</v>
      </c>
      <c r="F44" s="13">
        <f>IFERROR(IF(AND(ValuesEntered,הפחתה[[#This Row],[תאריך]]&lt;&gt;""),-PPMT(שיעור_ריבית/12,1,תקופת_ההלוואה-ROWS($C$4:C44)+1,הפחתה[[#This Row],[יתרת פתיחה]]),""),0)</f>
        <v>813.26334426565847</v>
      </c>
      <c r="G44" s="13">
        <f>(הפחתה[[#This Row],[יתרת פתיחה]])*(מדד/12)</f>
        <v>0</v>
      </c>
      <c r="H44" s="13">
        <f>IF(הפחתה[[#This Row],[תאריך]]="",0,הפחתה[[#This Row],[ריבית]]+הפחתה[[#This Row],[קרן]]+הפחתה[[#This Row],[מדד]])</f>
        <v>3328.2360012813774</v>
      </c>
      <c r="I44" s="13">
        <f>IF(הפחתה[[#This Row],[תאריך]]="",0,הפחתה[[#This Row],[יתרת פתיחה]]-הפחתה[[#This Row],[קרן]]+הפחתה[[#This Row],[מדד]])</f>
        <v>569427.77139978542</v>
      </c>
      <c r="J44" s="11">
        <f>IF(הפחתה[[#This Row],[יתרת
סגירה]]&gt;0,LastRow-ROW(),0)</f>
        <v>319</v>
      </c>
      <c r="K44" s="11">
        <f>ROWS($K$4:K44)</f>
        <v>41</v>
      </c>
      <c r="L44" s="12">
        <f>IF(ValuesEntered2,IF(הפחתה5[[#This Row],[מס'']]&lt;=תקופת_ההלוואה2,IF(ROW()-ROW(הפחתה5[[#Headers],[תאריך]])=1,LoanStart2,IF(R43&gt;0,EDATE(L43,1),"")),""),"")</f>
        <v>46600</v>
      </c>
      <c r="M44" s="13">
        <f>IF(ROW()-ROW(הפחתה5[[#Headers],[יתרת פתיחה]])=1,סכום_הלוואה2,IF(הפחתה5[[#This Row],[תאריך]]="",0,INDEX(הפחתה5[], ROW()-4,8)))</f>
        <v>277238.58047695825</v>
      </c>
      <c r="N44" s="13">
        <f>IF(ValuesEntered2,IF(ROW()-ROW(הפחתה5[[#Headers],[ריבית]])=1,-IPMT(שיעור_ריבית2/12,1,תקופת_ההלוואה2-ROWS($L$4:L44)+1,הפחתה5[[#This Row],[יתרת פתיחה]]),IFERROR(-IPMT(שיעור_ריבית2/12,1,הפחתה5[[#This Row],[תשלומים
שנותרו]],M45),0)),0)</f>
        <v>1083.4388917471831</v>
      </c>
      <c r="O44" s="13">
        <f>IFERROR(IF(AND(ValuesEntered2,הפחתה5[[#This Row],[תאריך]]&lt;&gt;""),-PPMT(שיעור_ריבית2/12,1,תקופת_ההלוואה2-ROWS($L$4:L44)+1,הפחתה5[[#This Row],[יתרת פתיחה]]),""),0)</f>
        <v>615.88471171997276</v>
      </c>
      <c r="P44" s="13">
        <f>(הפחתה5[[#This Row],[יתרת פתיחה]])*(מדד2/12)</f>
        <v>0</v>
      </c>
      <c r="Q44" s="13">
        <f>IF(הפחתה5[[#This Row],[תאריך]]="",0,הפחתה5[[#This Row],[ריבית]]+הפחתה5[[#This Row],[קרן]]+הפחתה5[[#This Row],[מדד]])</f>
        <v>1699.3236034671559</v>
      </c>
      <c r="R44" s="13">
        <f>IF(הפחתה5[[#This Row],[תאריך]]="",0,הפחתה5[[#This Row],[יתרת פתיחה]]-הפחתה5[[#This Row],[קרן]]+הפחתה5[[#This Row],[מדד]])</f>
        <v>276622.69576523826</v>
      </c>
      <c r="S44" s="11">
        <f>IF(הפחתה5[[#This Row],[יתרת
סגירה]]&gt;0,LastRow2-ROW(),0)</f>
        <v>259</v>
      </c>
      <c r="T44" s="11">
        <f>ROWS($T$4:T44)</f>
        <v>41</v>
      </c>
      <c r="U44" s="12">
        <f ca="1">IF(ValuesEntered3,IF(הפחתה7[[#This Row],[מס'']]&lt;=תקופת_ההלוואה3,IF(ROW()-ROW(הפחתה7[[#Headers],[תאריך]])=1,LoanStart3,IF(AA43&gt;0,EDATE(U43,1),"")),""),"")</f>
        <v>46837</v>
      </c>
      <c r="V44" s="13">
        <f ca="1">IF(ROW()-ROW(הפחתה7[[#Headers],[יתרת פתיחה]])=1,סכום_הלוואה3,IF(הפחתה7[[#This Row],[תאריך]]="",0,INDEX(הפחתה7[], ROW()-4,8)))</f>
        <v>95942.751536851749</v>
      </c>
      <c r="W44" s="13">
        <f ca="1">IF(ValuesEntered3,IF(ROW()-ROW(הפחתה7[[#Headers],[ריבית]])=1,-IPMT(שיעור_ריבית3/12,1,תקופת_ההלוואה3-ROWS($C$4:U44)+1,הפחתה7[[#This Row],[יתרת פתיחה]]),IFERROR(-IPMT(שיעור_ריבית3/12,1,הפחתה7[[#This Row],[תשלומים
שנותרו]],V45),0)),0)</f>
        <v>183.65047521154955</v>
      </c>
      <c r="X44" s="13">
        <f ca="1">IFERROR(IF(AND(ValuesEntered3,הפחתה7[[#This Row],[תאריך]]&lt;&gt;""),-PPMT(שיעור_ריבית3/12,1,תקופת_ההלוואה3-ROWS($C$4:U44)+1,הפחתה7[[#This Row],[יתרת פתיחה]]),""),0)</f>
        <v>285.01688193804006</v>
      </c>
      <c r="Y44" s="13">
        <f ca="1">(הפחתה7[[#This Row],[יתרת פתיחה]])*(מדד3/12)</f>
        <v>159.90458589475293</v>
      </c>
      <c r="Z44" s="13">
        <f ca="1">IF(הפחתה7[[#This Row],[תאריך]]="",0,הפחתה7[[#This Row],[ריבית]]+הפחתה7[[#This Row],[קרן]]+הפחתה7[[#This Row],[מדד]])</f>
        <v>628.57194304434256</v>
      </c>
      <c r="AA44" s="13">
        <f ca="1">IF(הפחתה7[[#This Row],[תאריך]]="",0,הפחתה7[[#This Row],[יתרת פתיחה]]-הפחתה7[[#This Row],[קרן]]+הפחתה7[[#This Row],[מדד]])</f>
        <v>95817.639240808465</v>
      </c>
      <c r="AB44" s="11">
        <f ca="1">IF(הפחתה7[[#This Row],[יתרת
סגירה]]&gt;0,LastRow3-ROW(),0)</f>
        <v>259</v>
      </c>
      <c r="AC44" s="17">
        <f>ROWS($AC$4:AC44)</f>
        <v>41</v>
      </c>
      <c r="AD44" s="18" t="str">
        <f ca="1">IF(ValuesEntered4,IF(הפחתה8[[#This Row],[מס'']]&lt;=תקופת_ההלוואה4,IF(ROW()-ROW(הפחתה8[[#Headers],[תאריך]])=1,LoanStart4,IF(AJ43&gt;0,EDATE(AD43,1),"")),""),"")</f>
        <v/>
      </c>
      <c r="AE44" s="19">
        <f ca="1">IF(ROW()-ROW(הפחתה8[[#Headers],[יתרת פתיחה]])=1,סכום_הלוואה4,IF(הפחתה8[[#This Row],[תאריך]]="",0,INDEX(הפחתה8[], ROW()-4,8)))</f>
        <v>0</v>
      </c>
      <c r="AF44" s="19">
        <f ca="1">IF(ValuesEntered4,IF(ROW()-ROW(הפחתה8[[#Headers],[ריבית]])=1,-IPMT(שיעור_ריבית4/12,1,תקופת_ההלוואה4-ROWS($C$4:AD44)+1,הפחתה8[[#This Row],[יתרת פתיחה]]),IFERROR(-IPMT(שיעור_ריבית4/12,1,הפחתה8[[#This Row],[תשלומים
שנותרו]],AE45),0)),0)</f>
        <v>0</v>
      </c>
      <c r="AG44" s="19" t="str">
        <f ca="1">IFERROR(IF(AND(ValuesEntered4,הפחתה8[[#This Row],[תאריך]]&lt;&gt;""),-PPMT(שיעור_ריבית4/12,1,תקופת_ההלוואה4-ROWS($C$4:AD44)+1,הפחתה8[[#This Row],[יתרת פתיחה]]),""),0)</f>
        <v/>
      </c>
      <c r="AH44" s="19">
        <f ca="1">(הפחתה8[[#This Row],[יתרת פתיחה]])*(מדד4/12)</f>
        <v>0</v>
      </c>
      <c r="AI44" s="19">
        <f ca="1">IF(הפחתה8[[#This Row],[תאריך]]="",0,הפחתה8[[#This Row],[ריבית]]+הפחתה8[[#This Row],[קרן]]+הפחתה8[[#This Row],[מדד]])</f>
        <v>0</v>
      </c>
      <c r="AJ44" s="19">
        <f ca="1">IF(הפחתה8[[#This Row],[תאריך]]="",0,הפחתה8[[#This Row],[יתרת פתיחה]]-הפחתה8[[#This Row],[קרן]])</f>
        <v>0</v>
      </c>
      <c r="AK44" s="20">
        <f ca="1">IF(הפחתה8[[#This Row],[יתרת
סגירה]]&gt;0,LastRow4-ROW(),0)</f>
        <v>0</v>
      </c>
    </row>
    <row r="45" spans="1:37" ht="15" customHeight="1" x14ac:dyDescent="0.25">
      <c r="A45" s="8"/>
      <c r="B45" s="11">
        <f>ROWS($B$4:B45)</f>
        <v>42</v>
      </c>
      <c r="C45" s="12">
        <f>IF(ValuesEntered,IF(הפחתה[[#This Row],[מס'']]&lt;=תקופת_ההלוואה,IF(ROW()-ROW(הפחתה[[#Headers],[תאריך]])=1,LoanStart,IF(I44&gt;0,EDATE(C44,1),"")),""),"")</f>
        <v>46631</v>
      </c>
      <c r="D45" s="13">
        <f>IF(ROW()-ROW(הפחתה[[#Headers],[יתרת פתיחה]])=1,סכום_הלוואה,IF(הפחתה[[#This Row],[תאריך]]="",0,INDEX(הפחתה[], ROW()-4,8)))</f>
        <v>569427.77139978542</v>
      </c>
      <c r="E45" s="13">
        <f>IF(ValuesEntered,IF(ROW()-ROW(הפחתה[[#Headers],[ריבית]])=1,-IPMT(שיעור_ריבית/12,1,תקופת_ההלוואה-ROWS($C$4:C45)+1,הפחתה[[#This Row],[יתרת פתיחה]]),IFERROR(-IPMT(שיעור_ריבית/12,1,הפחתה[[#This Row],[תשלומים
שנותרו]],D46),0)),0)</f>
        <v>2511.364879629004</v>
      </c>
      <c r="F45" s="13">
        <f>IFERROR(IF(AND(ValuesEntered,הפחתה[[#This Row],[תאריך]]&lt;&gt;""),-PPMT(שיעור_ריבית/12,1,תקופת_ההלוואה-ROWS($C$4:C45)+1,הפחתה[[#This Row],[יתרת פתיחה]]),""),0)</f>
        <v>816.85525736949819</v>
      </c>
      <c r="G45" s="13">
        <f>(הפחתה[[#This Row],[יתרת פתיחה]])*(מדד/12)</f>
        <v>0</v>
      </c>
      <c r="H45" s="13">
        <f>IF(הפחתה[[#This Row],[תאריך]]="",0,הפחתה[[#This Row],[ריבית]]+הפחתה[[#This Row],[קרן]]+הפחתה[[#This Row],[מדד]])</f>
        <v>3328.2201369985023</v>
      </c>
      <c r="I45" s="13">
        <f>IF(הפחתה[[#This Row],[תאריך]]="",0,הפחתה[[#This Row],[יתרת פתיחה]]-הפחתה[[#This Row],[קרן]]+הפחתה[[#This Row],[מדד]])</f>
        <v>568610.91614241595</v>
      </c>
      <c r="J45" s="11">
        <f>IF(הפחתה[[#This Row],[יתרת
סגירה]]&gt;0,LastRow-ROW(),0)</f>
        <v>318</v>
      </c>
      <c r="K45" s="11">
        <f>ROWS($K$4:K45)</f>
        <v>42</v>
      </c>
      <c r="L45" s="12">
        <f>IF(ValuesEntered2,IF(הפחתה5[[#This Row],[מס'']]&lt;=תקופת_ההלוואה2,IF(ROW()-ROW(הפחתה5[[#Headers],[תאריך]])=1,LoanStart2,IF(R44&gt;0,EDATE(L44,1),"")),""),"")</f>
        <v>46631</v>
      </c>
      <c r="M45" s="13">
        <f>IF(ROW()-ROW(הפחתה5[[#Headers],[יתרת פתיחה]])=1,סכום_הלוואה2,IF(הפחתה5[[#This Row],[תאריך]]="",0,INDEX(הפחתה5[], ROW()-4,8)))</f>
        <v>276622.69576523826</v>
      </c>
      <c r="N45" s="13">
        <f>IF(ValuesEntered2,IF(ROW()-ROW(הפחתה5[[#Headers],[ריבית]])=1,-IPMT(שיעור_ריבית2/12,1,תקופת_ההלוואה2-ROWS($L$4:L45)+1,הפחתה5[[#This Row],[יתרת פתיחה]]),IFERROR(-IPMT(שיעור_ריבית2/12,1,הפחתה5[[#This Row],[תשלומים
שנותרו]],M46),0)),0)</f>
        <v>1081.0172287837231</v>
      </c>
      <c r="O45" s="13">
        <f>IFERROR(IF(AND(ValuesEntered2,הפחתה5[[#This Row],[תאריך]]&lt;&gt;""),-PPMT(שיעור_ריבית2/12,1,תקופת_ההלוואה2-ROWS($L$4:L45)+1,הפחתה5[[#This Row],[יתרת פתיחה]]),""),0)</f>
        <v>618.29692684087604</v>
      </c>
      <c r="P45" s="13">
        <f>(הפחתה5[[#This Row],[יתרת פתיחה]])*(מדד2/12)</f>
        <v>0</v>
      </c>
      <c r="Q45" s="13">
        <f>IF(הפחתה5[[#This Row],[תאריך]]="",0,הפחתה5[[#This Row],[ריבית]]+הפחתה5[[#This Row],[קרן]]+הפחתה5[[#This Row],[מדד]])</f>
        <v>1699.3141556245992</v>
      </c>
      <c r="R45" s="13">
        <f>IF(הפחתה5[[#This Row],[תאריך]]="",0,הפחתה5[[#This Row],[יתרת פתיחה]]-הפחתה5[[#This Row],[קרן]]+הפחתה5[[#This Row],[מדד]])</f>
        <v>276004.39883839741</v>
      </c>
      <c r="S45" s="11">
        <f>IF(הפחתה5[[#This Row],[יתרת
סגירה]]&gt;0,LastRow2-ROW(),0)</f>
        <v>258</v>
      </c>
      <c r="T45" s="11">
        <f>ROWS($T$4:T45)</f>
        <v>42</v>
      </c>
      <c r="U45" s="12">
        <f ca="1">IF(ValuesEntered3,IF(הפחתה7[[#This Row],[מס'']]&lt;=תקופת_ההלוואה3,IF(ROW()-ROW(הפחתה7[[#Headers],[תאריך]])=1,LoanStart3,IF(AA44&gt;0,EDATE(U44,1),"")),""),"")</f>
        <v>46868</v>
      </c>
      <c r="V45" s="13">
        <f ca="1">IF(ROW()-ROW(הפחתה7[[#Headers],[יתרת פתיחה]])=1,סכום_הלוואה3,IF(הפחתה7[[#This Row],[תאריך]]="",0,INDEX(הפחתה7[], ROW()-4,8)))</f>
        <v>95817.639240808465</v>
      </c>
      <c r="W45" s="13">
        <f ca="1">IF(ValuesEntered3,IF(ROW()-ROW(הפחתה7[[#Headers],[ריבית]])=1,-IPMT(שיעור_ריבית3/12,1,תקופת_ההלוואה3-ROWS($C$4:U45)+1,הפחתה7[[#This Row],[יתרת פתיחה]]),IFERROR(-IPMT(שיעור_ריבית3/12,1,הפחתה7[[#This Row],[תשלומים
שנותרו]],V46),0)),0)</f>
        <v>183.40831500501514</v>
      </c>
      <c r="X45" s="13">
        <f ca="1">IFERROR(IF(AND(ValuesEntered3,הפחתה7[[#This Row],[תאריך]]&lt;&gt;""),-PPMT(שיעור_ריבית3/12,1,תקופת_ההלוואה3-ROWS($C$4:U45)+1,הפחתה7[[#This Row],[יתרת פתיחה]]),""),0)</f>
        <v>286.04052098451967</v>
      </c>
      <c r="Y45" s="13">
        <f ca="1">(הפחתה7[[#This Row],[יתרת פתיחה]])*(מדד3/12)</f>
        <v>159.69606540134745</v>
      </c>
      <c r="Z45" s="13">
        <f ca="1">IF(הפחתה7[[#This Row],[תאריך]]="",0,הפחתה7[[#This Row],[ריבית]]+הפחתה7[[#This Row],[קרן]]+הפחתה7[[#This Row],[מדד]])</f>
        <v>629.1449013908823</v>
      </c>
      <c r="AA45" s="13">
        <f ca="1">IF(הפחתה7[[#This Row],[תאריך]]="",0,הפחתה7[[#This Row],[יתרת פתיחה]]-הפחתה7[[#This Row],[קרן]]+הפחתה7[[#This Row],[מדד]])</f>
        <v>95691.294785225298</v>
      </c>
      <c r="AB45" s="11">
        <f ca="1">IF(הפחתה7[[#This Row],[יתרת
סגירה]]&gt;0,LastRow3-ROW(),0)</f>
        <v>258</v>
      </c>
      <c r="AC45" s="17">
        <f>ROWS($AC$4:AC45)</f>
        <v>42</v>
      </c>
      <c r="AD45" s="18" t="str">
        <f ca="1">IF(ValuesEntered4,IF(הפחתה8[[#This Row],[מס'']]&lt;=תקופת_ההלוואה4,IF(ROW()-ROW(הפחתה8[[#Headers],[תאריך]])=1,LoanStart4,IF(AJ44&gt;0,EDATE(AD44,1),"")),""),"")</f>
        <v/>
      </c>
      <c r="AE45" s="19">
        <f ca="1">IF(ROW()-ROW(הפחתה8[[#Headers],[יתרת פתיחה]])=1,סכום_הלוואה4,IF(הפחתה8[[#This Row],[תאריך]]="",0,INDEX(הפחתה8[], ROW()-4,8)))</f>
        <v>0</v>
      </c>
      <c r="AF45" s="19">
        <f ca="1">IF(ValuesEntered4,IF(ROW()-ROW(הפחתה8[[#Headers],[ריבית]])=1,-IPMT(שיעור_ריבית4/12,1,תקופת_ההלוואה4-ROWS($C$4:AD45)+1,הפחתה8[[#This Row],[יתרת פתיחה]]),IFERROR(-IPMT(שיעור_ריבית4/12,1,הפחתה8[[#This Row],[תשלומים
שנותרו]],AE46),0)),0)</f>
        <v>0</v>
      </c>
      <c r="AG45" s="19" t="str">
        <f ca="1">IFERROR(IF(AND(ValuesEntered4,הפחתה8[[#This Row],[תאריך]]&lt;&gt;""),-PPMT(שיעור_ריבית4/12,1,תקופת_ההלוואה4-ROWS($C$4:AD45)+1,הפחתה8[[#This Row],[יתרת פתיחה]]),""),0)</f>
        <v/>
      </c>
      <c r="AH45" s="19">
        <f ca="1">(הפחתה8[[#This Row],[יתרת פתיחה]])*(מדד4/12)</f>
        <v>0</v>
      </c>
      <c r="AI45" s="19">
        <f ca="1">IF(הפחתה8[[#This Row],[תאריך]]="",0,הפחתה8[[#This Row],[ריבית]]+הפחתה8[[#This Row],[קרן]]+הפחתה8[[#This Row],[מדד]])</f>
        <v>0</v>
      </c>
      <c r="AJ45" s="19">
        <f ca="1">IF(הפחתה8[[#This Row],[תאריך]]="",0,הפחתה8[[#This Row],[יתרת פתיחה]]-הפחתה8[[#This Row],[קרן]])</f>
        <v>0</v>
      </c>
      <c r="AK45" s="20">
        <f ca="1">IF(הפחתה8[[#This Row],[יתרת
סגירה]]&gt;0,LastRow4-ROW(),0)</f>
        <v>0</v>
      </c>
    </row>
    <row r="46" spans="1:37" ht="15" customHeight="1" x14ac:dyDescent="0.25">
      <c r="A46" s="8"/>
      <c r="B46" s="11">
        <f>ROWS($B$4:B46)</f>
        <v>43</v>
      </c>
      <c r="C46" s="12">
        <f>IF(ValuesEntered,IF(הפחתה[[#This Row],[מס'']]&lt;=תקופת_ההלוואה,IF(ROW()-ROW(הפחתה[[#Headers],[תאריך]])=1,LoanStart,IF(I45&gt;0,EDATE(C45,1),"")),""),"")</f>
        <v>46661</v>
      </c>
      <c r="D46" s="13">
        <f>IF(ROW()-ROW(הפחתה[[#Headers],[יתרת פתיחה]])=1,סכום_הלוואה,IF(הפחתה[[#This Row],[תאריך]]="",0,INDEX(הפחתה[], ROW()-4,8)))</f>
        <v>568610.91614241595</v>
      </c>
      <c r="E46" s="13">
        <f>IF(ValuesEntered,IF(ROW()-ROW(הפחתה[[#Headers],[ריבית]])=1,-IPMT(שיעור_ריבית/12,1,תקופת_ההלוואה-ROWS($C$4:C46)+1,הפחתה[[#This Row],[יתרת פתיחה]]),IFERROR(-IPMT(שיעור_ריבית/12,1,הפחתה[[#This Row],[תשלומים
שנותרו]],D47),0)),0)</f>
        <v>2507.741167892164</v>
      </c>
      <c r="F46" s="13">
        <f>IFERROR(IF(AND(ValuesEntered,הפחתה[[#This Row],[תאריך]]&lt;&gt;""),-PPMT(שיעור_ריבית/12,1,תקופת_ההלוואה-ROWS($C$4:C46)+1,הפחתה[[#This Row],[יתרת פתיחה]]),""),0)</f>
        <v>820.46303475621357</v>
      </c>
      <c r="G46" s="13">
        <f>(הפחתה[[#This Row],[יתרת פתיחה]])*(מדד/12)</f>
        <v>0</v>
      </c>
      <c r="H46" s="13">
        <f>IF(הפחתה[[#This Row],[תאריך]]="",0,הפחתה[[#This Row],[ריבית]]+הפחתה[[#This Row],[קרן]]+הפחתה[[#This Row],[מדד]])</f>
        <v>3328.2042026483778</v>
      </c>
      <c r="I46" s="13">
        <f>IF(הפחתה[[#This Row],[תאריך]]="",0,הפחתה[[#This Row],[יתרת פתיחה]]-הפחתה[[#This Row],[קרן]]+הפחתה[[#This Row],[מדד]])</f>
        <v>567790.4531076597</v>
      </c>
      <c r="J46" s="11">
        <f>IF(הפחתה[[#This Row],[יתרת
סגירה]]&gt;0,LastRow-ROW(),0)</f>
        <v>317</v>
      </c>
      <c r="K46" s="11">
        <f>ROWS($K$4:K46)</f>
        <v>43</v>
      </c>
      <c r="L46" s="12">
        <f>IF(ValuesEntered2,IF(הפחתה5[[#This Row],[מס'']]&lt;=תקופת_ההלוואה2,IF(ROW()-ROW(הפחתה5[[#Headers],[תאריך]])=1,LoanStart2,IF(R45&gt;0,EDATE(L45,1),"")),""),"")</f>
        <v>46661</v>
      </c>
      <c r="M46" s="13">
        <f>IF(ROW()-ROW(הפחתה5[[#Headers],[יתרת פתיחה]])=1,סכום_הלוואה2,IF(הפחתה5[[#This Row],[תאריך]]="",0,INDEX(הפחתה5[], ROW()-4,8)))</f>
        <v>276004.39883839741</v>
      </c>
      <c r="N46" s="13">
        <f>IF(ValuesEntered2,IF(ROW()-ROW(הפחתה5[[#Headers],[ריבית]])=1,-IPMT(שיעור_ריבית2/12,1,תקופת_ההלוואה2-ROWS($L$4:L46)+1,הפחתה5[[#This Row],[יתרת פתיחה]]),IFERROR(-IPMT(שיעור_ריבית2/12,1,הפחתה5[[#This Row],[תשלומים
שנותרו]],M47),0)),0)</f>
        <v>1078.5860809736562</v>
      </c>
      <c r="O46" s="13">
        <f>IFERROR(IF(AND(ValuesEntered2,הפחתה5[[#This Row],[תאריך]]&lt;&gt;""),-PPMT(שיעור_ריבית2/12,1,תקופת_ההלוואה2-ROWS($L$4:L46)+1,הפחתה5[[#This Row],[יתרת פתיחה]]),""),0)</f>
        <v>620.71858980433626</v>
      </c>
      <c r="P46" s="13">
        <f>(הפחתה5[[#This Row],[יתרת פתיחה]])*(מדד2/12)</f>
        <v>0</v>
      </c>
      <c r="Q46" s="13">
        <f>IF(הפחתה5[[#This Row],[תאריך]]="",0,הפחתה5[[#This Row],[ריבית]]+הפחתה5[[#This Row],[קרן]]+הפחתה5[[#This Row],[מדד]])</f>
        <v>1699.3046707779924</v>
      </c>
      <c r="R46" s="13">
        <f>IF(הפחתה5[[#This Row],[תאריך]]="",0,הפחתה5[[#This Row],[יתרת פתיחה]]-הפחתה5[[#This Row],[קרן]]+הפחתה5[[#This Row],[מדד]])</f>
        <v>275383.6802485931</v>
      </c>
      <c r="S46" s="11">
        <f>IF(הפחתה5[[#This Row],[יתרת
סגירה]]&gt;0,LastRow2-ROW(),0)</f>
        <v>257</v>
      </c>
      <c r="T46" s="11">
        <f>ROWS($T$4:T46)</f>
        <v>43</v>
      </c>
      <c r="U46" s="12">
        <f ca="1">IF(ValuesEntered3,IF(הפחתה7[[#This Row],[מס'']]&lt;=תקופת_ההלוואה3,IF(ROW()-ROW(הפחתה7[[#Headers],[תאריך]])=1,LoanStart3,IF(AA45&gt;0,EDATE(U45,1),"")),""),"")</f>
        <v>46898</v>
      </c>
      <c r="V46" s="13">
        <f ca="1">IF(ROW()-ROW(הפחתה7[[#Headers],[יתרת פתיחה]])=1,סכום_הלוואה3,IF(הפחתה7[[#This Row],[תאריך]]="",0,INDEX(הפחתה7[], ROW()-4,8)))</f>
        <v>95691.294785225298</v>
      </c>
      <c r="W46" s="13">
        <f ca="1">IF(ValuesEntered3,IF(ROW()-ROW(הפחתה7[[#Headers],[ריבית]])=1,-IPMT(שיעור_ריבית3/12,1,תקופת_ההלוואה3-ROWS($C$4:U46)+1,הפחתה7[[#This Row],[יתרת פתיחה]]),IFERROR(-IPMT(שיעור_ריבית3/12,1,הפחתה7[[#This Row],[תשלומים
שנותרו]],V47),0)),0)</f>
        <v>183.16378216344719</v>
      </c>
      <c r="X46" s="13">
        <f ca="1">IFERROR(IF(AND(ValuesEntered3,הפחתה7[[#This Row],[תאריך]]&lt;&gt;""),-PPMT(שיעור_ריבית3/12,1,תקופת_ההלוואה3-ROWS($C$4:U46)+1,הפחתה7[[#This Row],[יתרת פתיחה]]),""),0)</f>
        <v>287.06784343110974</v>
      </c>
      <c r="Y46" s="13">
        <f ca="1">(הפחתה7[[#This Row],[יתרת פתיחה]])*(מדד3/12)</f>
        <v>159.48549130870884</v>
      </c>
      <c r="Z46" s="13">
        <f ca="1">IF(הפחתה7[[#This Row],[תאריך]]="",0,הפחתה7[[#This Row],[ריבית]]+הפחתה7[[#This Row],[קרן]]+הפחתה7[[#This Row],[מדד]])</f>
        <v>629.71711690326583</v>
      </c>
      <c r="AA46" s="13">
        <f ca="1">IF(הפחתה7[[#This Row],[תאריך]]="",0,הפחתה7[[#This Row],[יתרת פתיחה]]-הפחתה7[[#This Row],[קרן]]+הפחתה7[[#This Row],[מדד]])</f>
        <v>95563.71243310289</v>
      </c>
      <c r="AB46" s="11">
        <f ca="1">IF(הפחתה7[[#This Row],[יתרת
סגירה]]&gt;0,LastRow3-ROW(),0)</f>
        <v>257</v>
      </c>
      <c r="AC46" s="17">
        <f>ROWS($AC$4:AC46)</f>
        <v>43</v>
      </c>
      <c r="AD46" s="18" t="str">
        <f ca="1">IF(ValuesEntered4,IF(הפחתה8[[#This Row],[מס'']]&lt;=תקופת_ההלוואה4,IF(ROW()-ROW(הפחתה8[[#Headers],[תאריך]])=1,LoanStart4,IF(AJ45&gt;0,EDATE(AD45,1),"")),""),"")</f>
        <v/>
      </c>
      <c r="AE46" s="19">
        <f ca="1">IF(ROW()-ROW(הפחתה8[[#Headers],[יתרת פתיחה]])=1,סכום_הלוואה4,IF(הפחתה8[[#This Row],[תאריך]]="",0,INDEX(הפחתה8[], ROW()-4,8)))</f>
        <v>0</v>
      </c>
      <c r="AF46" s="19">
        <f ca="1">IF(ValuesEntered4,IF(ROW()-ROW(הפחתה8[[#Headers],[ריבית]])=1,-IPMT(שיעור_ריבית4/12,1,תקופת_ההלוואה4-ROWS($C$4:AD46)+1,הפחתה8[[#This Row],[יתרת פתיחה]]),IFERROR(-IPMT(שיעור_ריבית4/12,1,הפחתה8[[#This Row],[תשלומים
שנותרו]],AE47),0)),0)</f>
        <v>0</v>
      </c>
      <c r="AG46" s="19" t="str">
        <f ca="1">IFERROR(IF(AND(ValuesEntered4,הפחתה8[[#This Row],[תאריך]]&lt;&gt;""),-PPMT(שיעור_ריבית4/12,1,תקופת_ההלוואה4-ROWS($C$4:AD46)+1,הפחתה8[[#This Row],[יתרת פתיחה]]),""),0)</f>
        <v/>
      </c>
      <c r="AH46" s="19">
        <f ca="1">(הפחתה8[[#This Row],[יתרת פתיחה]])*(מדד4/12)</f>
        <v>0</v>
      </c>
      <c r="AI46" s="19">
        <f ca="1">IF(הפחתה8[[#This Row],[תאריך]]="",0,הפחתה8[[#This Row],[ריבית]]+הפחתה8[[#This Row],[קרן]]+הפחתה8[[#This Row],[מדד]])</f>
        <v>0</v>
      </c>
      <c r="AJ46" s="19">
        <f ca="1">IF(הפחתה8[[#This Row],[תאריך]]="",0,הפחתה8[[#This Row],[יתרת פתיחה]]-הפחתה8[[#This Row],[קרן]])</f>
        <v>0</v>
      </c>
      <c r="AK46" s="20">
        <f ca="1">IF(הפחתה8[[#This Row],[יתרת
סגירה]]&gt;0,LastRow4-ROW(),0)</f>
        <v>0</v>
      </c>
    </row>
    <row r="47" spans="1:37" ht="15" customHeight="1" x14ac:dyDescent="0.25">
      <c r="A47" s="8"/>
      <c r="B47" s="11">
        <f>ROWS($B$4:B47)</f>
        <v>44</v>
      </c>
      <c r="C47" s="12">
        <f>IF(ValuesEntered,IF(הפחתה[[#This Row],[מס'']]&lt;=תקופת_ההלוואה,IF(ROW()-ROW(הפחתה[[#Headers],[תאריך]])=1,LoanStart,IF(I46&gt;0,EDATE(C46,1),"")),""),"")</f>
        <v>46692</v>
      </c>
      <c r="D47" s="13">
        <f>IF(ROW()-ROW(הפחתה[[#Headers],[יתרת פתיחה]])=1,סכום_הלוואה,IF(הפחתה[[#This Row],[תאריך]]="",0,INDEX(הפחתה[], ROW()-4,8)))</f>
        <v>567790.4531076597</v>
      </c>
      <c r="E47" s="13">
        <f>IF(ValuesEntered,IF(ROW()-ROW(הפחתה[[#Headers],[ריבית]])=1,-IPMT(שיעור_ריבית/12,1,תקופת_ההלוואה-ROWS($C$4:C47)+1,הפחתה[[#This Row],[יתרת פתיחה]]),IFERROR(-IPMT(שיעור_ריבית/12,1,הפחתה[[#This Row],[תשלומים
שנותרו]],D48),0)),0)</f>
        <v>2504.1014514284861</v>
      </c>
      <c r="F47" s="13">
        <f>IFERROR(IF(AND(ValuesEntered,הפחתה[[#This Row],[תאריך]]&lt;&gt;""),-PPMT(שיעור_ריבית/12,1,תקופת_ההלוואה-ROWS($C$4:C47)+1,הפחתה[[#This Row],[יתרת פתיחה]]),""),0)</f>
        <v>824.08674649305362</v>
      </c>
      <c r="G47" s="13">
        <f>(הפחתה[[#This Row],[יתרת פתיחה]])*(מדד/12)</f>
        <v>0</v>
      </c>
      <c r="H47" s="13">
        <f>IF(הפחתה[[#This Row],[תאריך]]="",0,הפחתה[[#This Row],[ריבית]]+הפחתה[[#This Row],[קרן]]+הפחתה[[#This Row],[מדד]])</f>
        <v>3328.1881979215395</v>
      </c>
      <c r="I47" s="13">
        <f>IF(הפחתה[[#This Row],[תאריך]]="",0,הפחתה[[#This Row],[יתרת פתיחה]]-הפחתה[[#This Row],[קרן]]+הפחתה[[#This Row],[מדד]])</f>
        <v>566966.3663611667</v>
      </c>
      <c r="J47" s="11">
        <f>IF(הפחתה[[#This Row],[יתרת
סגירה]]&gt;0,LastRow-ROW(),0)</f>
        <v>316</v>
      </c>
      <c r="K47" s="11">
        <f>ROWS($K$4:K47)</f>
        <v>44</v>
      </c>
      <c r="L47" s="12">
        <f>IF(ValuesEntered2,IF(הפחתה5[[#This Row],[מס'']]&lt;=תקופת_ההלוואה2,IF(ROW()-ROW(הפחתה5[[#Headers],[תאריך]])=1,LoanStart2,IF(R46&gt;0,EDATE(L46,1),"")),""),"")</f>
        <v>46692</v>
      </c>
      <c r="M47" s="13">
        <f>IF(ROW()-ROW(הפחתה5[[#Headers],[יתרת פתיחה]])=1,סכום_הלוואה2,IF(הפחתה5[[#This Row],[תאריך]]="",0,INDEX(הפחתה5[], ROW()-4,8)))</f>
        <v>275383.6802485931</v>
      </c>
      <c r="N47" s="13">
        <f>IF(ValuesEntered2,IF(ROW()-ROW(הפחתה5[[#Headers],[ריבית]])=1,-IPMT(שיעור_ריבית2/12,1,תקופת_ההלוואה2-ROWS($L$4:L47)+1,הפחתה5[[#This Row],[יתרת פתיחה]]),IFERROR(-IPMT(שיעור_ריבית2/12,1,הפחתה5[[#This Row],[תשלומים
שנותרו]],M48),0)),0)</f>
        <v>1076.1454111679998</v>
      </c>
      <c r="O47" s="13">
        <f>IFERROR(IF(AND(ValuesEntered2,הפחתה5[[#This Row],[תאריך]]&lt;&gt;""),-PPMT(שיעור_ריבית2/12,1,תקופת_ההלוואה2-ROWS($L$4:L47)+1,הפחתה5[[#This Row],[יתרת פתיחה]]),""),0)</f>
        <v>623.14973761440331</v>
      </c>
      <c r="P47" s="13">
        <f>(הפחתה5[[#This Row],[יתרת פתיחה]])*(מדד2/12)</f>
        <v>0</v>
      </c>
      <c r="Q47" s="13">
        <f>IF(הפחתה5[[#This Row],[תאריך]]="",0,הפחתה5[[#This Row],[ריבית]]+הפחתה5[[#This Row],[קרן]]+הפחתה5[[#This Row],[מדד]])</f>
        <v>1699.295148782403</v>
      </c>
      <c r="R47" s="13">
        <f>IF(הפחתה5[[#This Row],[תאריך]]="",0,הפחתה5[[#This Row],[יתרת פתיחה]]-הפחתה5[[#This Row],[קרן]]+הפחתה5[[#This Row],[מדד]])</f>
        <v>274760.53051097872</v>
      </c>
      <c r="S47" s="11">
        <f>IF(הפחתה5[[#This Row],[יתרת
סגירה]]&gt;0,LastRow2-ROW(),0)</f>
        <v>256</v>
      </c>
      <c r="T47" s="11">
        <f>ROWS($T$4:T47)</f>
        <v>44</v>
      </c>
      <c r="U47" s="12">
        <f ca="1">IF(ValuesEntered3,IF(הפחתה7[[#This Row],[מס'']]&lt;=תקופת_ההלוואה3,IF(ROW()-ROW(הפחתה7[[#Headers],[תאריך]])=1,LoanStart3,IF(AA46&gt;0,EDATE(U46,1),"")),""),"")</f>
        <v>46929</v>
      </c>
      <c r="V47" s="13">
        <f ca="1">IF(ROW()-ROW(הפחתה7[[#Headers],[יתרת פתיחה]])=1,סכום_הלוואה3,IF(הפחתה7[[#This Row],[תאריך]]="",0,INDEX(הפחתה7[], ROW()-4,8)))</f>
        <v>95563.71243310289</v>
      </c>
      <c r="W47" s="13">
        <f ca="1">IF(ValuesEntered3,IF(ROW()-ROW(הפחתה7[[#Headers],[ריבית]])=1,-IPMT(שיעור_ריבית3/12,1,תקופת_ההלוואה3-ROWS($C$4:U47)+1,הפחתה7[[#This Row],[יתרת פתיחה]]),IFERROR(-IPMT(שיעור_ריבית3/12,1,הפחתה7[[#This Row],[תשלומים
שנותרו]],V48),0)),0)</f>
        <v>182.91686564704511</v>
      </c>
      <c r="X47" s="13">
        <f ca="1">IFERROR(IF(AND(ValuesEntered3,הפחתה7[[#This Row],[תאריך]]&lt;&gt;""),-PPMT(שיעור_ריבית3/12,1,תקופת_ההלוואה3-ROWS($C$4:U47)+1,הפחתה7[[#This Row],[יתרת פתיחה]]),""),0)</f>
        <v>288.0988626127745</v>
      </c>
      <c r="Y47" s="13">
        <f ca="1">(הפחתה7[[#This Row],[יתרת פתיחה]])*(מדד3/12)</f>
        <v>159.27285405517151</v>
      </c>
      <c r="Z47" s="13">
        <f ca="1">IF(הפחתה7[[#This Row],[תאריך]]="",0,הפחתה7[[#This Row],[ריבית]]+הפחתה7[[#This Row],[קרן]]+הפחתה7[[#This Row],[מדד]])</f>
        <v>630.28858231499112</v>
      </c>
      <c r="AA47" s="13">
        <f ca="1">IF(הפחתה7[[#This Row],[תאריך]]="",0,הפחתה7[[#This Row],[יתרת פתיחה]]-הפחתה7[[#This Row],[קרן]]+הפחתה7[[#This Row],[מדד]])</f>
        <v>95434.886424545286</v>
      </c>
      <c r="AB47" s="11">
        <f ca="1">IF(הפחתה7[[#This Row],[יתרת
סגירה]]&gt;0,LastRow3-ROW(),0)</f>
        <v>256</v>
      </c>
      <c r="AC47" s="17">
        <f>ROWS($AC$4:AC47)</f>
        <v>44</v>
      </c>
      <c r="AD47" s="18" t="str">
        <f ca="1">IF(ValuesEntered4,IF(הפחתה8[[#This Row],[מס'']]&lt;=תקופת_ההלוואה4,IF(ROW()-ROW(הפחתה8[[#Headers],[תאריך]])=1,LoanStart4,IF(AJ46&gt;0,EDATE(AD46,1),"")),""),"")</f>
        <v/>
      </c>
      <c r="AE47" s="19">
        <f ca="1">IF(ROW()-ROW(הפחתה8[[#Headers],[יתרת פתיחה]])=1,סכום_הלוואה4,IF(הפחתה8[[#This Row],[תאריך]]="",0,INDEX(הפחתה8[], ROW()-4,8)))</f>
        <v>0</v>
      </c>
      <c r="AF47" s="19">
        <f ca="1">IF(ValuesEntered4,IF(ROW()-ROW(הפחתה8[[#Headers],[ריבית]])=1,-IPMT(שיעור_ריבית4/12,1,תקופת_ההלוואה4-ROWS($C$4:AD47)+1,הפחתה8[[#This Row],[יתרת פתיחה]]),IFERROR(-IPMT(שיעור_ריבית4/12,1,הפחתה8[[#This Row],[תשלומים
שנותרו]],AE48),0)),0)</f>
        <v>0</v>
      </c>
      <c r="AG47" s="19" t="str">
        <f ca="1">IFERROR(IF(AND(ValuesEntered4,הפחתה8[[#This Row],[תאריך]]&lt;&gt;""),-PPMT(שיעור_ריבית4/12,1,תקופת_ההלוואה4-ROWS($C$4:AD47)+1,הפחתה8[[#This Row],[יתרת פתיחה]]),""),0)</f>
        <v/>
      </c>
      <c r="AH47" s="19">
        <f ca="1">(הפחתה8[[#This Row],[יתרת פתיחה]])*(מדד4/12)</f>
        <v>0</v>
      </c>
      <c r="AI47" s="19">
        <f ca="1">IF(הפחתה8[[#This Row],[תאריך]]="",0,הפחתה8[[#This Row],[ריבית]]+הפחתה8[[#This Row],[קרן]]+הפחתה8[[#This Row],[מדד]])</f>
        <v>0</v>
      </c>
      <c r="AJ47" s="19">
        <f ca="1">IF(הפחתה8[[#This Row],[תאריך]]="",0,הפחתה8[[#This Row],[יתרת פתיחה]]-הפחתה8[[#This Row],[קרן]])</f>
        <v>0</v>
      </c>
      <c r="AK47" s="20">
        <f ca="1">IF(הפחתה8[[#This Row],[יתרת
סגירה]]&gt;0,LastRow4-ROW(),0)</f>
        <v>0</v>
      </c>
    </row>
    <row r="48" spans="1:37" ht="15" customHeight="1" x14ac:dyDescent="0.25">
      <c r="A48" s="8"/>
      <c r="B48" s="11">
        <f>ROWS($B$4:B48)</f>
        <v>45</v>
      </c>
      <c r="C48" s="12">
        <f>IF(ValuesEntered,IF(הפחתה[[#This Row],[מס'']]&lt;=תקופת_ההלוואה,IF(ROW()-ROW(הפחתה[[#Headers],[תאריך]])=1,LoanStart,IF(I47&gt;0,EDATE(C47,1),"")),""),"")</f>
        <v>46722</v>
      </c>
      <c r="D48" s="13">
        <f>IF(ROW()-ROW(הפחתה[[#Headers],[יתרת פתיחה]])=1,סכום_הלוואה,IF(הפחתה[[#This Row],[תאריך]]="",0,INDEX(הפחתה[], ROW()-4,8)))</f>
        <v>566966.3663611667</v>
      </c>
      <c r="E48" s="13">
        <f>IF(ValuesEntered,IF(ROW()-ROW(הפחתה[[#Headers],[ריבית]])=1,-IPMT(שיעור_ריבית/12,1,תקופת_ההלוואה-ROWS($C$4:C48)+1,הפחתה[[#This Row],[יתרת פתיחה]]),IFERROR(-IPMT(שיעור_ריבית/12,1,הפחתה[[#This Row],[תשלומים
שנותרו]],D49),0)),0)</f>
        <v>2500.4456595504275</v>
      </c>
      <c r="F48" s="13">
        <f>IFERROR(IF(AND(ValuesEntered,הפחתה[[#This Row],[תאריך]]&lt;&gt;""),-PPMT(שיעור_ריבית/12,1,תקופת_ההלוואה-ROWS($C$4:C48)+1,הפחתה[[#This Row],[יתרת פתיחה]]),""),0)</f>
        <v>827.72646295673144</v>
      </c>
      <c r="G48" s="13">
        <f>(הפחתה[[#This Row],[יתרת פתיחה]])*(מדד/12)</f>
        <v>0</v>
      </c>
      <c r="H48" s="13">
        <f>IF(הפחתה[[#This Row],[תאריך]]="",0,הפחתה[[#This Row],[ריבית]]+הפחתה[[#This Row],[קרן]]+הפחתה[[#This Row],[מדד]])</f>
        <v>3328.1721225071587</v>
      </c>
      <c r="I48" s="13">
        <f>IF(הפחתה[[#This Row],[תאריך]]="",0,הפחתה[[#This Row],[יתרת פתיחה]]-הפחתה[[#This Row],[קרן]]+הפחתה[[#This Row],[מדד]])</f>
        <v>566138.63989820995</v>
      </c>
      <c r="J48" s="11">
        <f>IF(הפחתה[[#This Row],[יתרת
סגירה]]&gt;0,LastRow-ROW(),0)</f>
        <v>315</v>
      </c>
      <c r="K48" s="11">
        <f>ROWS($K$4:K48)</f>
        <v>45</v>
      </c>
      <c r="L48" s="12">
        <f>IF(ValuesEntered2,IF(הפחתה5[[#This Row],[מס'']]&lt;=תקופת_ההלוואה2,IF(ROW()-ROW(הפחתה5[[#Headers],[תאריך]])=1,LoanStart2,IF(R47&gt;0,EDATE(L47,1),"")),""),"")</f>
        <v>46722</v>
      </c>
      <c r="M48" s="13">
        <f>IF(ROW()-ROW(הפחתה5[[#Headers],[יתרת פתיחה]])=1,סכום_הלוואה2,IF(הפחתה5[[#This Row],[תאריך]]="",0,INDEX(הפחתה5[], ROW()-4,8)))</f>
        <v>274760.53051097872</v>
      </c>
      <c r="N48" s="13">
        <f>IF(ValuesEntered2,IF(ROW()-ROW(הפחתה5[[#Headers],[ריבית]])=1,-IPMT(שיעור_ריבית2/12,1,תקופת_ההלוואה2-ROWS($L$4:L48)+1,הפחתה5[[#This Row],[יתרת פתיחה]]),IFERROR(-IPMT(שיעור_ריבית2/12,1,הפחתה5[[#This Row],[תשלומים
שנותרו]],M49),0)),0)</f>
        <v>1073.6951820722713</v>
      </c>
      <c r="O48" s="13">
        <f>IFERROR(IF(AND(ValuesEntered2,הפחתה5[[#This Row],[תאריך]]&lt;&gt;""),-PPMT(שיעור_ריבית2/12,1,תקופת_ההלוואה2-ROWS($L$4:L48)+1,הפחתה5[[#This Row],[יתרת פתיחה]]),""),0)</f>
        <v>625.59040742005959</v>
      </c>
      <c r="P48" s="13">
        <f>(הפחתה5[[#This Row],[יתרת פתיחה]])*(מדד2/12)</f>
        <v>0</v>
      </c>
      <c r="Q48" s="13">
        <f>IF(הפחתה5[[#This Row],[תאריך]]="",0,הפחתה5[[#This Row],[ריבית]]+הפחתה5[[#This Row],[קרן]]+הפחתה5[[#This Row],[מדד]])</f>
        <v>1699.2855894923309</v>
      </c>
      <c r="R48" s="13">
        <f>IF(הפחתה5[[#This Row],[תאריך]]="",0,הפחתה5[[#This Row],[יתרת פתיחה]]-הפחתה5[[#This Row],[קרן]]+הפחתה5[[#This Row],[מדד]])</f>
        <v>274134.94010355865</v>
      </c>
      <c r="S48" s="11">
        <f>IF(הפחתה5[[#This Row],[יתרת
סגירה]]&gt;0,LastRow2-ROW(),0)</f>
        <v>255</v>
      </c>
      <c r="T48" s="11">
        <f>ROWS($T$4:T48)</f>
        <v>45</v>
      </c>
      <c r="U48" s="12">
        <f ca="1">IF(ValuesEntered3,IF(הפחתה7[[#This Row],[מס'']]&lt;=תקופת_ההלוואה3,IF(ROW()-ROW(הפחתה7[[#Headers],[תאריך]])=1,LoanStart3,IF(AA47&gt;0,EDATE(U47,1),"")),""),"")</f>
        <v>46959</v>
      </c>
      <c r="V48" s="13">
        <f ca="1">IF(ROW()-ROW(הפחתה7[[#Headers],[יתרת פתיחה]])=1,סכום_הלוואה3,IF(הפחתה7[[#This Row],[תאריך]]="",0,INDEX(הפחתה7[], ROW()-4,8)))</f>
        <v>95434.886424545286</v>
      </c>
      <c r="W48" s="13">
        <f ca="1">IF(ValuesEntered3,IF(ROW()-ROW(הפחתה7[[#Headers],[ריבית]])=1,-IPMT(שיעור_ריבית3/12,1,תקופת_ההלוואה3-ROWS($C$4:U48)+1,הפחתה7[[#This Row],[יתרת פתיחה]]),IFERROR(-IPMT(שיעור_ריבית3/12,1,הפחתה7[[#This Row],[תשלומים
שנותרו]],V49),0)),0)</f>
        <v>182.66755437195525</v>
      </c>
      <c r="X48" s="13">
        <f ca="1">IFERROR(IF(AND(ValuesEntered3,הפחתה7[[#This Row],[תאריך]]&lt;&gt;""),-PPMT(שיעור_ריבית3/12,1,תקופת_ההלוואה3-ROWS($C$4:U48)+1,הפחתה7[[#This Row],[יתרת פתיחה]]),""),0)</f>
        <v>289.1335919138989</v>
      </c>
      <c r="Y48" s="13">
        <f ca="1">(הפחתה7[[#This Row],[יתרת פתיחה]])*(מדד3/12)</f>
        <v>159.05814404090881</v>
      </c>
      <c r="Z48" s="13">
        <f ca="1">IF(הפחתה7[[#This Row],[תאריך]]="",0,הפחתה7[[#This Row],[ריבית]]+הפחתה7[[#This Row],[קרן]]+הפחתה7[[#This Row],[מדד]])</f>
        <v>630.8592903267629</v>
      </c>
      <c r="AA48" s="13">
        <f ca="1">IF(הפחתה7[[#This Row],[תאריך]]="",0,הפחתה7[[#This Row],[יתרת פתיחה]]-הפחתה7[[#This Row],[קרן]]+הפחתה7[[#This Row],[מדד]])</f>
        <v>95304.810976672306</v>
      </c>
      <c r="AB48" s="11">
        <f ca="1">IF(הפחתה7[[#This Row],[יתרת
סגירה]]&gt;0,LastRow3-ROW(),0)</f>
        <v>255</v>
      </c>
      <c r="AC48" s="17">
        <f>ROWS($AC$4:AC48)</f>
        <v>45</v>
      </c>
      <c r="AD48" s="18" t="str">
        <f ca="1">IF(ValuesEntered4,IF(הפחתה8[[#This Row],[מס'']]&lt;=תקופת_ההלוואה4,IF(ROW()-ROW(הפחתה8[[#Headers],[תאריך]])=1,LoanStart4,IF(AJ47&gt;0,EDATE(AD47,1),"")),""),"")</f>
        <v/>
      </c>
      <c r="AE48" s="19">
        <f ca="1">IF(ROW()-ROW(הפחתה8[[#Headers],[יתרת פתיחה]])=1,סכום_הלוואה4,IF(הפחתה8[[#This Row],[תאריך]]="",0,INDEX(הפחתה8[], ROW()-4,8)))</f>
        <v>0</v>
      </c>
      <c r="AF48" s="19">
        <f ca="1">IF(ValuesEntered4,IF(ROW()-ROW(הפחתה8[[#Headers],[ריבית]])=1,-IPMT(שיעור_ריבית4/12,1,תקופת_ההלוואה4-ROWS($C$4:AD48)+1,הפחתה8[[#This Row],[יתרת פתיחה]]),IFERROR(-IPMT(שיעור_ריבית4/12,1,הפחתה8[[#This Row],[תשלומים
שנותרו]],AE49),0)),0)</f>
        <v>0</v>
      </c>
      <c r="AG48" s="19" t="str">
        <f ca="1">IFERROR(IF(AND(ValuesEntered4,הפחתה8[[#This Row],[תאריך]]&lt;&gt;""),-PPMT(שיעור_ריבית4/12,1,תקופת_ההלוואה4-ROWS($C$4:AD48)+1,הפחתה8[[#This Row],[יתרת פתיחה]]),""),0)</f>
        <v/>
      </c>
      <c r="AH48" s="19">
        <f ca="1">(הפחתה8[[#This Row],[יתרת פתיחה]])*(מדד4/12)</f>
        <v>0</v>
      </c>
      <c r="AI48" s="19">
        <f ca="1">IF(הפחתה8[[#This Row],[תאריך]]="",0,הפחתה8[[#This Row],[ריבית]]+הפחתה8[[#This Row],[קרן]]+הפחתה8[[#This Row],[מדד]])</f>
        <v>0</v>
      </c>
      <c r="AJ48" s="19">
        <f ca="1">IF(הפחתה8[[#This Row],[תאריך]]="",0,הפחתה8[[#This Row],[יתרת פתיחה]]-הפחתה8[[#This Row],[קרן]])</f>
        <v>0</v>
      </c>
      <c r="AK48" s="20">
        <f ca="1">IF(הפחתה8[[#This Row],[יתרת
סגירה]]&gt;0,LastRow4-ROW(),0)</f>
        <v>0</v>
      </c>
    </row>
    <row r="49" spans="1:37" ht="15" customHeight="1" x14ac:dyDescent="0.25">
      <c r="A49" s="8"/>
      <c r="B49" s="11">
        <f>ROWS($B$4:B49)</f>
        <v>46</v>
      </c>
      <c r="C49" s="12">
        <f>IF(ValuesEntered,IF(הפחתה[[#This Row],[מס'']]&lt;=תקופת_ההלוואה,IF(ROW()-ROW(הפחתה[[#Headers],[תאריך]])=1,LoanStart,IF(I48&gt;0,EDATE(C48,1),"")),""),"")</f>
        <v>46753</v>
      </c>
      <c r="D49" s="13">
        <f>IF(ROW()-ROW(הפחתה[[#Headers],[יתרת פתיחה]])=1,סכום_הלוואה,IF(הפחתה[[#This Row],[תאריך]]="",0,INDEX(הפחתה[], ROW()-4,8)))</f>
        <v>566138.63989820995</v>
      </c>
      <c r="E49" s="13">
        <f>IF(ValuesEntered,IF(ROW()-ROW(הפחתה[[#Headers],[ריבית]])=1,-IPMT(שיעור_ריבית/12,1,תקופת_ההלוואה-ROWS($C$4:C49)+1,הפחתה[[#This Row],[יתרת פתיחה]]),IFERROR(-IPMT(שיעור_ריבית/12,1,הפחתה[[#This Row],[תשלומים
שנותרו]],D50),0)),0)</f>
        <v>2496.7737212582406</v>
      </c>
      <c r="F49" s="13">
        <f>IFERROR(IF(AND(ValuesEntered,הפחתה[[#This Row],[תאריך]]&lt;&gt;""),-PPMT(שיעור_ריבית/12,1,תקופת_ההלוואה-ROWS($C$4:C49)+1,הפחתה[[#This Row],[יתרת פתיחה]]),""),0)</f>
        <v>831.38225483479016</v>
      </c>
      <c r="G49" s="13">
        <f>(הפחתה[[#This Row],[יתרת פתיחה]])*(מדד/12)</f>
        <v>0</v>
      </c>
      <c r="H49" s="13">
        <f>IF(הפחתה[[#This Row],[תאריך]]="",0,הפחתה[[#This Row],[ריבית]]+הפחתה[[#This Row],[קרן]]+הפחתה[[#This Row],[מדד]])</f>
        <v>3328.1559760930309</v>
      </c>
      <c r="I49" s="13">
        <f>IF(הפחתה[[#This Row],[תאריך]]="",0,הפחתה[[#This Row],[יתרת פתיחה]]-הפחתה[[#This Row],[קרן]]+הפחתה[[#This Row],[מדד]])</f>
        <v>565307.2576433752</v>
      </c>
      <c r="J49" s="11">
        <f>IF(הפחתה[[#This Row],[יתרת
סגירה]]&gt;0,LastRow-ROW(),0)</f>
        <v>314</v>
      </c>
      <c r="K49" s="11">
        <f>ROWS($K$4:K49)</f>
        <v>46</v>
      </c>
      <c r="L49" s="12">
        <f>IF(ValuesEntered2,IF(הפחתה5[[#This Row],[מס'']]&lt;=תקופת_ההלוואה2,IF(ROW()-ROW(הפחתה5[[#Headers],[תאריך]])=1,LoanStart2,IF(R48&gt;0,EDATE(L48,1),"")),""),"")</f>
        <v>46753</v>
      </c>
      <c r="M49" s="13">
        <f>IF(ROW()-ROW(הפחתה5[[#Headers],[יתרת פתיחה]])=1,סכום_הלוואה2,IF(הפחתה5[[#This Row],[תאריך]]="",0,INDEX(הפחתה5[], ROW()-4,8)))</f>
        <v>274134.94010355865</v>
      </c>
      <c r="N49" s="13">
        <f>IF(ValuesEntered2,IF(ROW()-ROW(הפחתה5[[#Headers],[ריבית]])=1,-IPMT(שיעור_ריבית2/12,1,תקופת_ההלוואה2-ROWS($L$4:L49)+1,הפחתה5[[#This Row],[יתרת פתיחה]]),IFERROR(-IPMT(שיעור_ריבית2/12,1,הפחתה5[[#This Row],[תשלומים
שנותרו]],M50),0)),0)</f>
        <v>1071.235356245918</v>
      </c>
      <c r="O49" s="13">
        <f>IFERROR(IF(AND(ValuesEntered2,הפחתה5[[#This Row],[תאריך]]&lt;&gt;""),-PPMT(שיעור_ריבית2/12,1,תקופת_ההלוואה2-ROWS($L$4:L49)+1,הפחתה5[[#This Row],[יתרת פתיחה]]),""),0)</f>
        <v>628.04063651578838</v>
      </c>
      <c r="P49" s="13">
        <f>(הפחתה5[[#This Row],[יתרת פתיחה]])*(מדד2/12)</f>
        <v>0</v>
      </c>
      <c r="Q49" s="13">
        <f>IF(הפחתה5[[#This Row],[תאריך]]="",0,הפחתה5[[#This Row],[ריבית]]+הפחתה5[[#This Row],[קרן]]+הפחתה5[[#This Row],[מדד]])</f>
        <v>1699.2759927617062</v>
      </c>
      <c r="R49" s="13">
        <f>IF(הפחתה5[[#This Row],[תאריך]]="",0,הפחתה5[[#This Row],[יתרת פתיחה]]-הפחתה5[[#This Row],[קרן]]+הפחתה5[[#This Row],[מדד]])</f>
        <v>273506.89946704288</v>
      </c>
      <c r="S49" s="11">
        <f>IF(הפחתה5[[#This Row],[יתרת
סגירה]]&gt;0,LastRow2-ROW(),0)</f>
        <v>254</v>
      </c>
      <c r="T49" s="11">
        <f>ROWS($T$4:T49)</f>
        <v>46</v>
      </c>
      <c r="U49" s="12">
        <f ca="1">IF(ValuesEntered3,IF(הפחתה7[[#This Row],[מס'']]&lt;=תקופת_ההלוואה3,IF(ROW()-ROW(הפחתה7[[#Headers],[תאריך]])=1,LoanStart3,IF(AA48&gt;0,EDATE(U48,1),"")),""),"")</f>
        <v>46990</v>
      </c>
      <c r="V49" s="13">
        <f ca="1">IF(ROW()-ROW(הפחתה7[[#Headers],[יתרת פתיחה]])=1,סכום_הלוואה3,IF(הפחתה7[[#This Row],[תאריך]]="",0,INDEX(הפחתה7[], ROW()-4,8)))</f>
        <v>95304.810976672306</v>
      </c>
      <c r="W49" s="13">
        <f ca="1">IF(ValuesEntered3,IF(ROW()-ROW(הפחתה7[[#Headers],[ריבית]])=1,-IPMT(שיעור_ריבית3/12,1,תקופת_ההלוואה3-ROWS($C$4:U49)+1,הפחתה7[[#This Row],[יתרת פתיחה]]),IFERROR(-IPMT(שיעור_ריבית3/12,1,הפחתה7[[#This Row],[תשלומים
שנותרו]],V50),0)),0)</f>
        <v>182.41583721010224</v>
      </c>
      <c r="X49" s="13">
        <f ca="1">IFERROR(IF(AND(ValuesEntered3,הפחתה7[[#This Row],[תאריך]]&lt;&gt;""),-PPMT(שיעור_ריבית3/12,1,תקופת_ההלוואה3-ROWS($C$4:U49)+1,הפחתה7[[#This Row],[יתרת פתיחה]]),""),0)</f>
        <v>290.17204476849139</v>
      </c>
      <c r="Y49" s="13">
        <f ca="1">(הפחתה7[[#This Row],[יתרת פתיחה]])*(מדד3/12)</f>
        <v>158.84135162778719</v>
      </c>
      <c r="Z49" s="13">
        <f ca="1">IF(הפחתה7[[#This Row],[תאריך]]="",0,הפחתה7[[#This Row],[ריבית]]+הפחתה7[[#This Row],[קרן]]+הפחתה7[[#This Row],[מדד]])</f>
        <v>631.42923360638076</v>
      </c>
      <c r="AA49" s="13">
        <f ca="1">IF(הפחתה7[[#This Row],[תאריך]]="",0,הפחתה7[[#This Row],[יתרת פתיחה]]-הפחתה7[[#This Row],[קרן]]+הפחתה7[[#This Row],[מדד]])</f>
        <v>95173.480283531608</v>
      </c>
      <c r="AB49" s="11">
        <f ca="1">IF(הפחתה7[[#This Row],[יתרת
סגירה]]&gt;0,LastRow3-ROW(),0)</f>
        <v>254</v>
      </c>
      <c r="AC49" s="17">
        <f>ROWS($AC$4:AC49)</f>
        <v>46</v>
      </c>
      <c r="AD49" s="18" t="str">
        <f ca="1">IF(ValuesEntered4,IF(הפחתה8[[#This Row],[מס'']]&lt;=תקופת_ההלוואה4,IF(ROW()-ROW(הפחתה8[[#Headers],[תאריך]])=1,LoanStart4,IF(AJ48&gt;0,EDATE(AD48,1),"")),""),"")</f>
        <v/>
      </c>
      <c r="AE49" s="19">
        <f ca="1">IF(ROW()-ROW(הפחתה8[[#Headers],[יתרת פתיחה]])=1,סכום_הלוואה4,IF(הפחתה8[[#This Row],[תאריך]]="",0,INDEX(הפחתה8[], ROW()-4,8)))</f>
        <v>0</v>
      </c>
      <c r="AF49" s="19">
        <f ca="1">IF(ValuesEntered4,IF(ROW()-ROW(הפחתה8[[#Headers],[ריבית]])=1,-IPMT(שיעור_ריבית4/12,1,תקופת_ההלוואה4-ROWS($C$4:AD49)+1,הפחתה8[[#This Row],[יתרת פתיחה]]),IFERROR(-IPMT(שיעור_ריבית4/12,1,הפחתה8[[#This Row],[תשלומים
שנותרו]],AE50),0)),0)</f>
        <v>0</v>
      </c>
      <c r="AG49" s="19" t="str">
        <f ca="1">IFERROR(IF(AND(ValuesEntered4,הפחתה8[[#This Row],[תאריך]]&lt;&gt;""),-PPMT(שיעור_ריבית4/12,1,תקופת_ההלוואה4-ROWS($C$4:AD49)+1,הפחתה8[[#This Row],[יתרת פתיחה]]),""),0)</f>
        <v/>
      </c>
      <c r="AH49" s="19">
        <f ca="1">(הפחתה8[[#This Row],[יתרת פתיחה]])*(מדד4/12)</f>
        <v>0</v>
      </c>
      <c r="AI49" s="19">
        <f ca="1">IF(הפחתה8[[#This Row],[תאריך]]="",0,הפחתה8[[#This Row],[ריבית]]+הפחתה8[[#This Row],[קרן]]+הפחתה8[[#This Row],[מדד]])</f>
        <v>0</v>
      </c>
      <c r="AJ49" s="19">
        <f ca="1">IF(הפחתה8[[#This Row],[תאריך]]="",0,הפחתה8[[#This Row],[יתרת פתיחה]]-הפחתה8[[#This Row],[קרן]])</f>
        <v>0</v>
      </c>
      <c r="AK49" s="20">
        <f ca="1">IF(הפחתה8[[#This Row],[יתרת
סגירה]]&gt;0,LastRow4-ROW(),0)</f>
        <v>0</v>
      </c>
    </row>
    <row r="50" spans="1:37" ht="15" customHeight="1" x14ac:dyDescent="0.25">
      <c r="A50" s="8"/>
      <c r="B50" s="11">
        <f>ROWS($B$4:B50)</f>
        <v>47</v>
      </c>
      <c r="C50" s="12">
        <f>IF(ValuesEntered,IF(הפחתה[[#This Row],[מס'']]&lt;=תקופת_ההלוואה,IF(ROW()-ROW(הפחתה[[#Headers],[תאריך]])=1,LoanStart,IF(I49&gt;0,EDATE(C49,1),"")),""),"")</f>
        <v>46784</v>
      </c>
      <c r="D50" s="13">
        <f>IF(ROW()-ROW(הפחתה[[#Headers],[יתרת פתיחה]])=1,סכום_הלוואה,IF(הפחתה[[#This Row],[תאריך]]="",0,INDEX(הפחתה[], ROW()-4,8)))</f>
        <v>565307.2576433752</v>
      </c>
      <c r="E50" s="13">
        <f>IF(ValuesEntered,IF(ROW()-ROW(הפחתה[[#Headers],[ריבית]])=1,-IPMT(שיעור_ריבית/12,1,תקופת_ההלוואה-ROWS($C$4:C50)+1,הפחתה[[#This Row],[יתרת פתיחה]]),IFERROR(-IPMT(שיעור_ריבית/12,1,הפחתה[[#This Row],[תשלומים
שנותרו]],D51),0)),0)</f>
        <v>2493.0855652385962</v>
      </c>
      <c r="F50" s="13">
        <f>IFERROR(IF(AND(ValuesEntered,הפחתה[[#This Row],[תאריך]]&lt;&gt;""),-PPMT(שיעור_ריבית/12,1,תקופת_ההלוואה-ROWS($C$4:C50)+1,הפחתה[[#This Row],[יתרת פתיחה]]),""),0)</f>
        <v>835.05419312697711</v>
      </c>
      <c r="G50" s="13">
        <f>(הפחתה[[#This Row],[יתרת פתיחה]])*(מדד/12)</f>
        <v>0</v>
      </c>
      <c r="H50" s="13">
        <f>IF(הפחתה[[#This Row],[תאריך]]="",0,הפחתה[[#This Row],[ריבית]]+הפחתה[[#This Row],[קרן]]+הפחתה[[#This Row],[מדד]])</f>
        <v>3328.1397583655735</v>
      </c>
      <c r="I50" s="13">
        <f>IF(הפחתה[[#This Row],[תאריך]]="",0,הפחתה[[#This Row],[יתרת פתיחה]]-הפחתה[[#This Row],[קרן]]+הפחתה[[#This Row],[מדד]])</f>
        <v>564472.20345024823</v>
      </c>
      <c r="J50" s="11">
        <f>IF(הפחתה[[#This Row],[יתרת
סגירה]]&gt;0,LastRow-ROW(),0)</f>
        <v>313</v>
      </c>
      <c r="K50" s="11">
        <f>ROWS($K$4:K50)</f>
        <v>47</v>
      </c>
      <c r="L50" s="12">
        <f>IF(ValuesEntered2,IF(הפחתה5[[#This Row],[מס'']]&lt;=תקופת_ההלוואה2,IF(ROW()-ROW(הפחתה5[[#Headers],[תאריך]])=1,LoanStart2,IF(R49&gt;0,EDATE(L49,1),"")),""),"")</f>
        <v>46784</v>
      </c>
      <c r="M50" s="13">
        <f>IF(ROW()-ROW(הפחתה5[[#Headers],[יתרת פתיחה]])=1,סכום_הלוואה2,IF(הפחתה5[[#This Row],[תאריך]]="",0,INDEX(הפחתה5[], ROW()-4,8)))</f>
        <v>273506.89946704288</v>
      </c>
      <c r="N50" s="13">
        <f>IF(ValuesEntered2,IF(ROW()-ROW(הפחתה5[[#Headers],[ריבית]])=1,-IPMT(שיעור_ריבית2/12,1,תקופת_ההלוואה2-ROWS($L$4:L50)+1,הפחתה5[[#This Row],[יתרת פתיחה]]),IFERROR(-IPMT(שיעור_ריבית2/12,1,הפחתה5[[#This Row],[תשלומים
שנותרו]],M51),0)),0)</f>
        <v>1068.7658961017444</v>
      </c>
      <c r="O50" s="13">
        <f>IFERROR(IF(AND(ValuesEntered2,הפחתה5[[#This Row],[תאריך]]&lt;&gt;""),-PPMT(שיעור_ריבית2/12,1,תקופת_ההלוואה2-ROWS($L$4:L50)+1,הפחתה5[[#This Row],[יתרת פתיחה]]),""),0)</f>
        <v>630.50046234214187</v>
      </c>
      <c r="P50" s="13">
        <f>(הפחתה5[[#This Row],[יתרת פתיחה]])*(מדד2/12)</f>
        <v>0</v>
      </c>
      <c r="Q50" s="13">
        <f>IF(הפחתה5[[#This Row],[תאריך]]="",0,הפחתה5[[#This Row],[ריבית]]+הפחתה5[[#This Row],[קרן]]+הפחתה5[[#This Row],[מדד]])</f>
        <v>1699.2663584438862</v>
      </c>
      <c r="R50" s="13">
        <f>IF(הפחתה5[[#This Row],[תאריך]]="",0,הפחתה5[[#This Row],[יתרת פתיחה]]-הפחתה5[[#This Row],[קרן]]+הפחתה5[[#This Row],[מדד]])</f>
        <v>272876.39900470071</v>
      </c>
      <c r="S50" s="11">
        <f>IF(הפחתה5[[#This Row],[יתרת
סגירה]]&gt;0,LastRow2-ROW(),0)</f>
        <v>253</v>
      </c>
      <c r="T50" s="11">
        <f>ROWS($T$4:T50)</f>
        <v>47</v>
      </c>
      <c r="U50" s="12">
        <f ca="1">IF(ValuesEntered3,IF(הפחתה7[[#This Row],[מס'']]&lt;=תקופת_ההלוואה3,IF(ROW()-ROW(הפחתה7[[#Headers],[תאריך]])=1,LoanStart3,IF(AA49&gt;0,EDATE(U49,1),"")),""),"")</f>
        <v>47021</v>
      </c>
      <c r="V50" s="13">
        <f ca="1">IF(ROW()-ROW(הפחתה7[[#Headers],[יתרת פתיחה]])=1,סכום_הלוואה3,IF(הפחתה7[[#This Row],[תאריך]]="",0,INDEX(הפחתה7[], ROW()-4,8)))</f>
        <v>95173.480283531608</v>
      </c>
      <c r="W50" s="13">
        <f ca="1">IF(ValuesEntered3,IF(ROW()-ROW(הפחתה7[[#Headers],[ריבית]])=1,-IPMT(שיעור_ריבית3/12,1,תקופת_ההלוואה3-ROWS($C$4:U50)+1,הפחתה7[[#This Row],[יתרת פתיחה]]),IFERROR(-IPMT(שיעור_ריבית3/12,1,הפחתה7[[#This Row],[תשלומים
שנותרו]],V51),0)),0)</f>
        <v>182.16170298902</v>
      </c>
      <c r="X50" s="13">
        <f ca="1">IFERROR(IF(AND(ValuesEntered3,הפחתה7[[#This Row],[תאריך]]&lt;&gt;""),-PPMT(שיעור_ריבית3/12,1,תקופת_ההלוואה3-ROWS($C$4:U50)+1,הפחתה7[[#This Row],[יתרת פתיחה]]),""),0)</f>
        <v>291.21423466038806</v>
      </c>
      <c r="Y50" s="13">
        <f ca="1">(הפחתה7[[#This Row],[יתרת פתיחה]])*(מדד3/12)</f>
        <v>158.62246713921937</v>
      </c>
      <c r="Z50" s="13">
        <f ca="1">IF(הפחתה7[[#This Row],[תאריך]]="",0,הפחתה7[[#This Row],[ריבית]]+הפחתה7[[#This Row],[קרן]]+הפחתה7[[#This Row],[מדד]])</f>
        <v>631.99840478862745</v>
      </c>
      <c r="AA50" s="13">
        <f ca="1">IF(הפחתה7[[#This Row],[תאריך]]="",0,הפחתה7[[#This Row],[יתרת פתיחה]]-הפחתה7[[#This Row],[קרן]]+הפחתה7[[#This Row],[מדד]])</f>
        <v>95040.88851601044</v>
      </c>
      <c r="AB50" s="11">
        <f ca="1">IF(הפחתה7[[#This Row],[יתרת
סגירה]]&gt;0,LastRow3-ROW(),0)</f>
        <v>253</v>
      </c>
      <c r="AC50" s="17">
        <f>ROWS($AC$4:AC50)</f>
        <v>47</v>
      </c>
      <c r="AD50" s="18" t="str">
        <f ca="1">IF(ValuesEntered4,IF(הפחתה8[[#This Row],[מס'']]&lt;=תקופת_ההלוואה4,IF(ROW()-ROW(הפחתה8[[#Headers],[תאריך]])=1,LoanStart4,IF(AJ49&gt;0,EDATE(AD49,1),"")),""),"")</f>
        <v/>
      </c>
      <c r="AE50" s="19">
        <f ca="1">IF(ROW()-ROW(הפחתה8[[#Headers],[יתרת פתיחה]])=1,סכום_הלוואה4,IF(הפחתה8[[#This Row],[תאריך]]="",0,INDEX(הפחתה8[], ROW()-4,8)))</f>
        <v>0</v>
      </c>
      <c r="AF50" s="19">
        <f ca="1">IF(ValuesEntered4,IF(ROW()-ROW(הפחתה8[[#Headers],[ריבית]])=1,-IPMT(שיעור_ריבית4/12,1,תקופת_ההלוואה4-ROWS($C$4:AD50)+1,הפחתה8[[#This Row],[יתרת פתיחה]]),IFERROR(-IPMT(שיעור_ריבית4/12,1,הפחתה8[[#This Row],[תשלומים
שנותרו]],AE51),0)),0)</f>
        <v>0</v>
      </c>
      <c r="AG50" s="19" t="str">
        <f ca="1">IFERROR(IF(AND(ValuesEntered4,הפחתה8[[#This Row],[תאריך]]&lt;&gt;""),-PPMT(שיעור_ריבית4/12,1,תקופת_ההלוואה4-ROWS($C$4:AD50)+1,הפחתה8[[#This Row],[יתרת פתיחה]]),""),0)</f>
        <v/>
      </c>
      <c r="AH50" s="19">
        <f ca="1">(הפחתה8[[#This Row],[יתרת פתיחה]])*(מדד4/12)</f>
        <v>0</v>
      </c>
      <c r="AI50" s="19">
        <f ca="1">IF(הפחתה8[[#This Row],[תאריך]]="",0,הפחתה8[[#This Row],[ריבית]]+הפחתה8[[#This Row],[קרן]]+הפחתה8[[#This Row],[מדד]])</f>
        <v>0</v>
      </c>
      <c r="AJ50" s="19">
        <f ca="1">IF(הפחתה8[[#This Row],[תאריך]]="",0,הפחתה8[[#This Row],[יתרת פתיחה]]-הפחתה8[[#This Row],[קרן]])</f>
        <v>0</v>
      </c>
      <c r="AK50" s="20">
        <f ca="1">IF(הפחתה8[[#This Row],[יתרת
סגירה]]&gt;0,LastRow4-ROW(),0)</f>
        <v>0</v>
      </c>
    </row>
    <row r="51" spans="1:37" ht="15" customHeight="1" x14ac:dyDescent="0.25">
      <c r="A51" s="8"/>
      <c r="B51" s="11">
        <f>ROWS($B$4:B51)</f>
        <v>48</v>
      </c>
      <c r="C51" s="12">
        <f>IF(ValuesEntered,IF(הפחתה[[#This Row],[מס'']]&lt;=תקופת_ההלוואה,IF(ROW()-ROW(הפחתה[[#Headers],[תאריך]])=1,LoanStart,IF(I50&gt;0,EDATE(C50,1),"")),""),"")</f>
        <v>46813</v>
      </c>
      <c r="D51" s="13">
        <f>IF(ROW()-ROW(הפחתה[[#Headers],[יתרת פתיחה]])=1,סכום_הלוואה,IF(הפחתה[[#This Row],[תאריך]]="",0,INDEX(הפחתה[], ROW()-4,8)))</f>
        <v>564472.20345024823</v>
      </c>
      <c r="E51" s="13">
        <f>IF(ValuesEntered,IF(ROW()-ROW(הפחתה[[#Headers],[ריבית]])=1,-IPMT(שיעור_ריבית/12,1,תקופת_ההלוואה-ROWS($C$4:C51)+1,הפחתה[[#This Row],[יתרת פתיחה]]),IFERROR(-IPMT(שיעור_ריבית/12,1,הפחתה[[#This Row],[תשלומים
שנותרו]],D52),0)),0)</f>
        <v>2489.3811198631988</v>
      </c>
      <c r="F51" s="13">
        <f>IFERROR(IF(AND(ValuesEntered,הפחתה[[#This Row],[תאריך]]&lt;&gt;""),-PPMT(שיעור_ריבית/12,1,תקופת_ההלוואה-ROWS($C$4:C51)+1,הפחתה[[#This Row],[יתרת פתיחה]]),""),0)</f>
        <v>838.74234914662145</v>
      </c>
      <c r="G51" s="13">
        <f>(הפחתה[[#This Row],[יתרת פתיחה]])*(מדד/12)</f>
        <v>0</v>
      </c>
      <c r="H51" s="13">
        <f>IF(הפחתה[[#This Row],[תאריך]]="",0,הפחתה[[#This Row],[ריבית]]+הפחתה[[#This Row],[קרן]]+הפחתה[[#This Row],[מדד]])</f>
        <v>3328.1234690098204</v>
      </c>
      <c r="I51" s="13">
        <f>IF(הפחתה[[#This Row],[תאריך]]="",0,הפחתה[[#This Row],[יתרת פתיחה]]-הפחתה[[#This Row],[קרן]]+הפחתה[[#This Row],[מדד]])</f>
        <v>563633.46110110159</v>
      </c>
      <c r="J51" s="11">
        <f>IF(הפחתה[[#This Row],[יתרת
סגירה]]&gt;0,LastRow-ROW(),0)</f>
        <v>312</v>
      </c>
      <c r="K51" s="11">
        <f>ROWS($K$4:K51)</f>
        <v>48</v>
      </c>
      <c r="L51" s="12">
        <f>IF(ValuesEntered2,IF(הפחתה5[[#This Row],[מס'']]&lt;=תקופת_ההלוואה2,IF(ROW()-ROW(הפחתה5[[#Headers],[תאריך]])=1,LoanStart2,IF(R50&gt;0,EDATE(L50,1),"")),""),"")</f>
        <v>46813</v>
      </c>
      <c r="M51" s="13">
        <f>IF(ROW()-ROW(הפחתה5[[#Headers],[יתרת פתיחה]])=1,סכום_הלוואה2,IF(הפחתה5[[#This Row],[תאריך]]="",0,INDEX(הפחתה5[], ROW()-4,8)))</f>
        <v>272876.39900470071</v>
      </c>
      <c r="N51" s="13">
        <f>IF(ValuesEntered2,IF(ROW()-ROW(הפחתה5[[#Headers],[ריבית]])=1,-IPMT(שיעור_ריבית2/12,1,תקופת_ההלוואה2-ROWS($L$4:L51)+1,הפחתה5[[#This Row],[יתרת פתיחה]]),IFERROR(-IPMT(שיעור_ריבית2/12,1,הפחתה5[[#This Row],[תשלומים
שנותרו]],M52),0)),0)</f>
        <v>1066.2867639053395</v>
      </c>
      <c r="O51" s="13">
        <f>IFERROR(IF(AND(ValuesEntered2,הפחתה5[[#This Row],[תאריך]]&lt;&gt;""),-PPMT(שיעור_ריבית2/12,1,תקופת_ההלוואה2-ROWS($L$4:L51)+1,הפחתה5[[#This Row],[יתרת פתיחה]]),""),0)</f>
        <v>632.96992248631523</v>
      </c>
      <c r="P51" s="13">
        <f>(הפחתה5[[#This Row],[יתרת פתיחה]])*(מדד2/12)</f>
        <v>0</v>
      </c>
      <c r="Q51" s="13">
        <f>IF(הפחתה5[[#This Row],[תאריך]]="",0,הפחתה5[[#This Row],[ריבית]]+הפחתה5[[#This Row],[קרן]]+הפחתה5[[#This Row],[מדד]])</f>
        <v>1699.2566863916547</v>
      </c>
      <c r="R51" s="13">
        <f>IF(הפחתה5[[#This Row],[תאריך]]="",0,הפחתה5[[#This Row],[יתרת פתיחה]]-הפחתה5[[#This Row],[קרן]]+הפחתה5[[#This Row],[מדד]])</f>
        <v>272243.42908221437</v>
      </c>
      <c r="S51" s="11">
        <f>IF(הפחתה5[[#This Row],[יתרת
סגירה]]&gt;0,LastRow2-ROW(),0)</f>
        <v>252</v>
      </c>
      <c r="T51" s="11">
        <f>ROWS($T$4:T51)</f>
        <v>48</v>
      </c>
      <c r="U51" s="12">
        <f ca="1">IF(ValuesEntered3,IF(הפחתה7[[#This Row],[מס'']]&lt;=תקופת_ההלוואה3,IF(ROW()-ROW(הפחתה7[[#Headers],[תאריך]])=1,LoanStart3,IF(AA50&gt;0,EDATE(U50,1),"")),""),"")</f>
        <v>47051</v>
      </c>
      <c r="V51" s="13">
        <f ca="1">IF(ROW()-ROW(הפחתה7[[#Headers],[יתרת פתיחה]])=1,סכום_הלוואה3,IF(הפחתה7[[#This Row],[תאריך]]="",0,INDEX(הפחתה7[], ROW()-4,8)))</f>
        <v>95040.88851601044</v>
      </c>
      <c r="W51" s="13">
        <f ca="1">IF(ValuesEntered3,IF(ROW()-ROW(הפחתה7[[#Headers],[ריבית]])=1,-IPMT(שיעור_ריבית3/12,1,תקופת_ההלוואה3-ROWS($C$4:U51)+1,הפחתה7[[#This Row],[יתרת פתיחה]]),IFERROR(-IPMT(שיעור_ריבית3/12,1,הפחתה7[[#This Row],[תשלומים
שנותרו]],V52),0)),0)</f>
        <v>181.90514049168172</v>
      </c>
      <c r="X51" s="13">
        <f ca="1">IFERROR(IF(AND(ValuesEntered3,הפחתה7[[#This Row],[תאריך]]&lt;&gt;""),-PPMT(שיעור_ריבית3/12,1,תקופת_ההלוואה3-ROWS($C$4:U51)+1,הפחתה7[[#This Row],[יתרת פתיחה]]),""),0)</f>
        <v>292.26017512345788</v>
      </c>
      <c r="Y51" s="13">
        <f ca="1">(הפחתה7[[#This Row],[יתרת פתיחה]])*(מדד3/12)</f>
        <v>158.40148086001741</v>
      </c>
      <c r="Z51" s="13">
        <f ca="1">IF(הפחתה7[[#This Row],[תאריך]]="",0,הפחתה7[[#This Row],[ריבית]]+הפחתה7[[#This Row],[קרן]]+הפחתה7[[#This Row],[מדד]])</f>
        <v>632.56679647515705</v>
      </c>
      <c r="AA51" s="13">
        <f ca="1">IF(הפחתה7[[#This Row],[תאריך]]="",0,הפחתה7[[#This Row],[יתרת פתיחה]]-הפחתה7[[#This Row],[קרן]]+הפחתה7[[#This Row],[מדד]])</f>
        <v>94907.029821746997</v>
      </c>
      <c r="AB51" s="11">
        <f ca="1">IF(הפחתה7[[#This Row],[יתרת
סגירה]]&gt;0,LastRow3-ROW(),0)</f>
        <v>252</v>
      </c>
      <c r="AC51" s="17">
        <f>ROWS($AC$4:AC51)</f>
        <v>48</v>
      </c>
      <c r="AD51" s="18" t="str">
        <f ca="1">IF(ValuesEntered4,IF(הפחתה8[[#This Row],[מס'']]&lt;=תקופת_ההלוואה4,IF(ROW()-ROW(הפחתה8[[#Headers],[תאריך]])=1,LoanStart4,IF(AJ50&gt;0,EDATE(AD50,1),"")),""),"")</f>
        <v/>
      </c>
      <c r="AE51" s="19">
        <f ca="1">IF(ROW()-ROW(הפחתה8[[#Headers],[יתרת פתיחה]])=1,סכום_הלוואה4,IF(הפחתה8[[#This Row],[תאריך]]="",0,INDEX(הפחתה8[], ROW()-4,8)))</f>
        <v>0</v>
      </c>
      <c r="AF51" s="19">
        <f ca="1">IF(ValuesEntered4,IF(ROW()-ROW(הפחתה8[[#Headers],[ריבית]])=1,-IPMT(שיעור_ריבית4/12,1,תקופת_ההלוואה4-ROWS($C$4:AD51)+1,הפחתה8[[#This Row],[יתרת פתיחה]]),IFERROR(-IPMT(שיעור_ריבית4/12,1,הפחתה8[[#This Row],[תשלומים
שנותרו]],AE52),0)),0)</f>
        <v>0</v>
      </c>
      <c r="AG51" s="19" t="str">
        <f ca="1">IFERROR(IF(AND(ValuesEntered4,הפחתה8[[#This Row],[תאריך]]&lt;&gt;""),-PPMT(שיעור_ריבית4/12,1,תקופת_ההלוואה4-ROWS($C$4:AD51)+1,הפחתה8[[#This Row],[יתרת פתיחה]]),""),0)</f>
        <v/>
      </c>
      <c r="AH51" s="19">
        <f ca="1">(הפחתה8[[#This Row],[יתרת פתיחה]])*(מדד4/12)</f>
        <v>0</v>
      </c>
      <c r="AI51" s="19">
        <f ca="1">IF(הפחתה8[[#This Row],[תאריך]]="",0,הפחתה8[[#This Row],[ריבית]]+הפחתה8[[#This Row],[קרן]]+הפחתה8[[#This Row],[מדד]])</f>
        <v>0</v>
      </c>
      <c r="AJ51" s="19">
        <f ca="1">IF(הפחתה8[[#This Row],[תאריך]]="",0,הפחתה8[[#This Row],[יתרת פתיחה]]-הפחתה8[[#This Row],[קרן]])</f>
        <v>0</v>
      </c>
      <c r="AK51" s="20">
        <f ca="1">IF(הפחתה8[[#This Row],[יתרת
סגירה]]&gt;0,LastRow4-ROW(),0)</f>
        <v>0</v>
      </c>
    </row>
    <row r="52" spans="1:37" ht="15" customHeight="1" x14ac:dyDescent="0.25">
      <c r="A52" s="8"/>
      <c r="B52" s="11">
        <f>ROWS($B$4:B52)</f>
        <v>49</v>
      </c>
      <c r="C52" s="12">
        <f>IF(ValuesEntered,IF(הפחתה[[#This Row],[מס'']]&lt;=תקופת_ההלוואה,IF(ROW()-ROW(הפחתה[[#Headers],[תאריך]])=1,LoanStart,IF(I51&gt;0,EDATE(C51,1),"")),""),"")</f>
        <v>46844</v>
      </c>
      <c r="D52" s="13">
        <f>IF(ROW()-ROW(הפחתה[[#Headers],[יתרת פתיחה]])=1,סכום_הלוואה,IF(הפחתה[[#This Row],[תאריך]]="",0,INDEX(הפחתה[], ROW()-4,8)))</f>
        <v>563633.46110110159</v>
      </c>
      <c r="E52" s="13">
        <f>IF(ValuesEntered,IF(ROW()-ROW(הפחתה[[#Headers],[ריבית]])=1,-IPMT(שיעור_ריבית/12,1,תקופת_ההלוואה-ROWS($C$4:C52)+1,הפחתה[[#This Row],[יתרת פתיחה]]),IFERROR(-IPMT(שיעור_ריבית/12,1,הפחתה[[#This Row],[תשלומים
שנותרו]],D53),0)),0)</f>
        <v>2485.6603131873935</v>
      </c>
      <c r="F52" s="13">
        <f>IFERROR(IF(AND(ValuesEntered,הפחתה[[#This Row],[תאריך]]&lt;&gt;""),-PPMT(שיעור_ריבית/12,1,תקופת_ההלוואה-ROWS($C$4:C52)+1,הפחתה[[#This Row],[יתרת פתיחה]]),""),0)</f>
        <v>842.44679452201888</v>
      </c>
      <c r="G52" s="13">
        <f>(הפחתה[[#This Row],[יתרת פתיחה]])*(מדד/12)</f>
        <v>0</v>
      </c>
      <c r="H52" s="13">
        <f>IF(הפחתה[[#This Row],[תאריך]]="",0,הפחתה[[#This Row],[ריבית]]+הפחתה[[#This Row],[קרן]]+הפחתה[[#This Row],[מדד]])</f>
        <v>3328.1071077094125</v>
      </c>
      <c r="I52" s="13">
        <f>IF(הפחתה[[#This Row],[תאריך]]="",0,הפחתה[[#This Row],[יתרת פתיחה]]-הפחתה[[#This Row],[קרן]]+הפחתה[[#This Row],[מדד]])</f>
        <v>562791.0143065796</v>
      </c>
      <c r="J52" s="11">
        <f>IF(הפחתה[[#This Row],[יתרת
סגירה]]&gt;0,LastRow-ROW(),0)</f>
        <v>311</v>
      </c>
      <c r="K52" s="11">
        <f>ROWS($K$4:K52)</f>
        <v>49</v>
      </c>
      <c r="L52" s="12">
        <f>IF(ValuesEntered2,IF(הפחתה5[[#This Row],[מס'']]&lt;=תקופת_ההלוואה2,IF(ROW()-ROW(הפחתה5[[#Headers],[תאריך]])=1,LoanStart2,IF(R51&gt;0,EDATE(L51,1),"")),""),"")</f>
        <v>46844</v>
      </c>
      <c r="M52" s="13">
        <f>IF(ROW()-ROW(הפחתה5[[#Headers],[יתרת פתיחה]])=1,סכום_הלוואה2,IF(הפחתה5[[#This Row],[תאריך]]="",0,INDEX(הפחתה5[], ROW()-4,8)))</f>
        <v>272243.42908221437</v>
      </c>
      <c r="N52" s="13">
        <f>IF(ValuesEntered2,IF(ROW()-ROW(הפחתה5[[#Headers],[ריבית]])=1,-IPMT(שיעור_ריבית2/12,1,תקופת_ההלוואה2-ROWS($L$4:L52)+1,הפחתה5[[#This Row],[יתרת פתיחה]]),IFERROR(-IPMT(שיעור_ריבית2/12,1,הפחתה5[[#This Row],[תשלומים
שנותרו]],M53),0)),0)</f>
        <v>1063.7979217744987</v>
      </c>
      <c r="O52" s="13">
        <f>IFERROR(IF(AND(ValuesEntered2,הפחתה5[[#This Row],[תאריך]]&lt;&gt;""),-PPMT(שיעור_ריבית2/12,1,תקופת_ההלוואה2-ROWS($L$4:L52)+1,הפחתה5[[#This Row],[יתרת פתיחה]]),""),0)</f>
        <v>635.44905468271975</v>
      </c>
      <c r="P52" s="13">
        <f>(הפחתה5[[#This Row],[יתרת פתיחה]])*(מדד2/12)</f>
        <v>0</v>
      </c>
      <c r="Q52" s="13">
        <f>IF(הפחתה5[[#This Row],[תאריך]]="",0,הפחתה5[[#This Row],[ריבית]]+הפחתה5[[#This Row],[קרן]]+הפחתה5[[#This Row],[מדד]])</f>
        <v>1699.2469764572184</v>
      </c>
      <c r="R52" s="13">
        <f>IF(הפחתה5[[#This Row],[תאריך]]="",0,הפחתה5[[#This Row],[יתרת פתיחה]]-הפחתה5[[#This Row],[קרן]]+הפחתה5[[#This Row],[מדד]])</f>
        <v>271607.98002753162</v>
      </c>
      <c r="S52" s="11">
        <f>IF(הפחתה5[[#This Row],[יתרת
סגירה]]&gt;0,LastRow2-ROW(),0)</f>
        <v>251</v>
      </c>
      <c r="T52" s="11">
        <f>ROWS($T$4:T52)</f>
        <v>49</v>
      </c>
      <c r="U52" s="12">
        <f ca="1">IF(ValuesEntered3,IF(הפחתה7[[#This Row],[מס'']]&lt;=תקופת_ההלוואה3,IF(ROW()-ROW(הפחתה7[[#Headers],[תאריך]])=1,LoanStart3,IF(AA51&gt;0,EDATE(U51,1),"")),""),"")</f>
        <v>47082</v>
      </c>
      <c r="V52" s="13">
        <f ca="1">IF(ROW()-ROW(הפחתה7[[#Headers],[יתרת פתיחה]])=1,סכום_הלוואה3,IF(הפחתה7[[#This Row],[תאריך]]="",0,INDEX(הפחתה7[], ROW()-4,8)))</f>
        <v>94907.029821746997</v>
      </c>
      <c r="W52" s="13">
        <f ca="1">IF(ValuesEntered3,IF(ROW()-ROW(הפחתה7[[#Headers],[ריבית]])=1,-IPMT(שיעור_ריבית3/12,1,תקופת_ההלוואה3-ROWS($C$4:U52)+1,הפחתה7[[#This Row],[יתרת פתיחה]]),IFERROR(-IPMT(שיעור_ריבית3/12,1,הפחתה7[[#This Row],[תשלומים
שנותרו]],V53),0)),0)</f>
        <v>181.6461384563294</v>
      </c>
      <c r="X52" s="13">
        <f ca="1">IFERROR(IF(AND(ValuesEntered3,הפחתה7[[#This Row],[תאריך]]&lt;&gt;""),-PPMT(שיעור_ריבית3/12,1,תקופת_ההלוואה3-ROWS($C$4:U52)+1,הפחתה7[[#This Row],[יתרת פתיחה]]),""),0)</f>
        <v>293.3098797418096</v>
      </c>
      <c r="Y52" s="13">
        <f ca="1">(הפחתה7[[#This Row],[יתרת פתיחה]])*(מדד3/12)</f>
        <v>158.17838303624501</v>
      </c>
      <c r="Z52" s="13">
        <f ca="1">IF(הפחתה7[[#This Row],[תאריך]]="",0,הפחתה7[[#This Row],[ריבית]]+הפחתה7[[#This Row],[קרן]]+הפחתה7[[#This Row],[מדד]])</f>
        <v>633.13440123438397</v>
      </c>
      <c r="AA52" s="13">
        <f ca="1">IF(הפחתה7[[#This Row],[תאריך]]="",0,הפחתה7[[#This Row],[יתרת פתיחה]]-הפחתה7[[#This Row],[קרן]]+הפחתה7[[#This Row],[מדד]])</f>
        <v>94771.898325041431</v>
      </c>
      <c r="AB52" s="11">
        <f ca="1">IF(הפחתה7[[#This Row],[יתרת
סגירה]]&gt;0,LastRow3-ROW(),0)</f>
        <v>251</v>
      </c>
      <c r="AC52" s="17">
        <f>ROWS($AC$4:AC52)</f>
        <v>49</v>
      </c>
      <c r="AD52" s="18" t="str">
        <f ca="1">IF(ValuesEntered4,IF(הפחתה8[[#This Row],[מס'']]&lt;=תקופת_ההלוואה4,IF(ROW()-ROW(הפחתה8[[#Headers],[תאריך]])=1,LoanStart4,IF(AJ51&gt;0,EDATE(AD51,1),"")),""),"")</f>
        <v/>
      </c>
      <c r="AE52" s="19">
        <f ca="1">IF(ROW()-ROW(הפחתה8[[#Headers],[יתרת פתיחה]])=1,סכום_הלוואה4,IF(הפחתה8[[#This Row],[תאריך]]="",0,INDEX(הפחתה8[], ROW()-4,8)))</f>
        <v>0</v>
      </c>
      <c r="AF52" s="19">
        <f ca="1">IF(ValuesEntered4,IF(ROW()-ROW(הפחתה8[[#Headers],[ריבית]])=1,-IPMT(שיעור_ריבית4/12,1,תקופת_ההלוואה4-ROWS($C$4:AD52)+1,הפחתה8[[#This Row],[יתרת פתיחה]]),IFERROR(-IPMT(שיעור_ריבית4/12,1,הפחתה8[[#This Row],[תשלומים
שנותרו]],AE53),0)),0)</f>
        <v>0</v>
      </c>
      <c r="AG52" s="19" t="str">
        <f ca="1">IFERROR(IF(AND(ValuesEntered4,הפחתה8[[#This Row],[תאריך]]&lt;&gt;""),-PPMT(שיעור_ריבית4/12,1,תקופת_ההלוואה4-ROWS($C$4:AD52)+1,הפחתה8[[#This Row],[יתרת פתיחה]]),""),0)</f>
        <v/>
      </c>
      <c r="AH52" s="19">
        <f ca="1">(הפחתה8[[#This Row],[יתרת פתיחה]])*(מדד4/12)</f>
        <v>0</v>
      </c>
      <c r="AI52" s="19">
        <f ca="1">IF(הפחתה8[[#This Row],[תאריך]]="",0,הפחתה8[[#This Row],[ריבית]]+הפחתה8[[#This Row],[קרן]]+הפחתה8[[#This Row],[מדד]])</f>
        <v>0</v>
      </c>
      <c r="AJ52" s="19">
        <f ca="1">IF(הפחתה8[[#This Row],[תאריך]]="",0,הפחתה8[[#This Row],[יתרת פתיחה]]-הפחתה8[[#This Row],[קרן]])</f>
        <v>0</v>
      </c>
      <c r="AK52" s="20">
        <f ca="1">IF(הפחתה8[[#This Row],[יתרת
סגירה]]&gt;0,LastRow4-ROW(),0)</f>
        <v>0</v>
      </c>
    </row>
    <row r="53" spans="1:37" ht="15" customHeight="1" x14ac:dyDescent="0.25">
      <c r="A53" s="8"/>
      <c r="B53" s="11">
        <f>ROWS($B$4:B53)</f>
        <v>50</v>
      </c>
      <c r="C53" s="12">
        <f>IF(ValuesEntered,IF(הפחתה[[#This Row],[מס'']]&lt;=תקופת_ההלוואה,IF(ROW()-ROW(הפחתה[[#Headers],[תאריך]])=1,LoanStart,IF(I52&gt;0,EDATE(C52,1),"")),""),"")</f>
        <v>46874</v>
      </c>
      <c r="D53" s="13">
        <f>IF(ROW()-ROW(הפחתה[[#Headers],[יתרת פתיחה]])=1,סכום_הלוואה,IF(הפחתה[[#This Row],[תאריך]]="",0,INDEX(הפחתה[], ROW()-4,8)))</f>
        <v>562791.0143065796</v>
      </c>
      <c r="E53" s="13">
        <f>IF(ValuesEntered,IF(ROW()-ROW(הפחתה[[#Headers],[ריבית]])=1,-IPMT(שיעור_ריבית/12,1,תקופת_ההלוואה-ROWS($C$4:C53)+1,הפחתה[[#This Row],[יתרת פתיחה]]),IFERROR(-IPMT(שיעור_ריבית/12,1,הפחתה[[#This Row],[תשלומים
שנותרו]],D54),0)),0)</f>
        <v>2481.9230729487695</v>
      </c>
      <c r="F53" s="13">
        <f>IFERROR(IF(AND(ValuesEntered,הפחתה[[#This Row],[תאריך]]&lt;&gt;""),-PPMT(שיעור_ריבית/12,1,תקופת_ההלוואה-ROWS($C$4:C53)+1,הפחתה[[#This Row],[יתרת פתיחה]]),""),0)</f>
        <v>846.16760119782441</v>
      </c>
      <c r="G53" s="13">
        <f>(הפחתה[[#This Row],[יתרת פתיחה]])*(מדד/12)</f>
        <v>0</v>
      </c>
      <c r="H53" s="13">
        <f>IF(הפחתה[[#This Row],[תאריך]]="",0,הפחתה[[#This Row],[ריבית]]+הפחתה[[#This Row],[קרן]]+הפחתה[[#This Row],[מדד]])</f>
        <v>3328.0906741465938</v>
      </c>
      <c r="I53" s="13">
        <f>IF(הפחתה[[#This Row],[תאריך]]="",0,הפחתה[[#This Row],[יתרת פתיחה]]-הפחתה[[#This Row],[קרן]]+הפחתה[[#This Row],[מדד]])</f>
        <v>561944.84670538176</v>
      </c>
      <c r="J53" s="11">
        <f>IF(הפחתה[[#This Row],[יתרת
סגירה]]&gt;0,LastRow-ROW(),0)</f>
        <v>310</v>
      </c>
      <c r="K53" s="11">
        <f>ROWS($K$4:K53)</f>
        <v>50</v>
      </c>
      <c r="L53" s="12">
        <f>IF(ValuesEntered2,IF(הפחתה5[[#This Row],[מס'']]&lt;=תקופת_ההלוואה2,IF(ROW()-ROW(הפחתה5[[#Headers],[תאריך]])=1,LoanStart2,IF(R52&gt;0,EDATE(L52,1),"")),""),"")</f>
        <v>46874</v>
      </c>
      <c r="M53" s="13">
        <f>IF(ROW()-ROW(הפחתה5[[#Headers],[יתרת פתיחה]])=1,סכום_הלוואה2,IF(הפחתה5[[#This Row],[תאריך]]="",0,INDEX(הפחתה5[], ROW()-4,8)))</f>
        <v>271607.98002753162</v>
      </c>
      <c r="N53" s="13">
        <f>IF(ValuesEntered2,IF(ROW()-ROW(הפחתה5[[#Headers],[ריבית]])=1,-IPMT(שיעור_ריבית2/12,1,תקופת_ההלוואה2-ROWS($L$4:L53)+1,הפחתה5[[#This Row],[יתרת פתיחה]]),IFERROR(-IPMT(שיעור_ריבית2/12,1,הפחתה5[[#This Row],[תשלומים
שנותרו]],M54),0)),0)</f>
        <v>1061.2993316786458</v>
      </c>
      <c r="O53" s="13">
        <f>IFERROR(IF(AND(ValuesEntered2,הפחתה5[[#This Row],[תאריך]]&lt;&gt;""),-PPMT(שיעור_ריבית2/12,1,תקופת_ההלוואה2-ROWS($L$4:L53)+1,הפחתה5[[#This Row],[יתרת פתיחה]]),""),0)</f>
        <v>637.93789681356043</v>
      </c>
      <c r="P53" s="13">
        <f>(הפחתה5[[#This Row],[יתרת פתיחה]])*(מדד2/12)</f>
        <v>0</v>
      </c>
      <c r="Q53" s="13">
        <f>IF(הפחתה5[[#This Row],[תאריך]]="",0,הפחתה5[[#This Row],[ריבית]]+הפחתה5[[#This Row],[קרן]]+הפחתה5[[#This Row],[מדד]])</f>
        <v>1699.2372284922062</v>
      </c>
      <c r="R53" s="13">
        <f>IF(הפחתה5[[#This Row],[תאריך]]="",0,הפחתה5[[#This Row],[יתרת פתיחה]]-הפחתה5[[#This Row],[קרן]]+הפחתה5[[#This Row],[מדד]])</f>
        <v>270970.04213071807</v>
      </c>
      <c r="S53" s="11">
        <f>IF(הפחתה5[[#This Row],[יתרת
סגירה]]&gt;0,LastRow2-ROW(),0)</f>
        <v>250</v>
      </c>
      <c r="T53" s="11">
        <f>ROWS($T$4:T53)</f>
        <v>50</v>
      </c>
      <c r="U53" s="12">
        <f ca="1">IF(ValuesEntered3,IF(הפחתה7[[#This Row],[מס'']]&lt;=תקופת_ההלוואה3,IF(ROW()-ROW(הפחתה7[[#Headers],[תאריך]])=1,LoanStart3,IF(AA52&gt;0,EDATE(U52,1),"")),""),"")</f>
        <v>47112</v>
      </c>
      <c r="V53" s="13">
        <f ca="1">IF(ROW()-ROW(הפחתה7[[#Headers],[יתרת פתיחה]])=1,סכום_הלוואה3,IF(הפחתה7[[#This Row],[תאריך]]="",0,INDEX(הפחתה7[], ROW()-4,8)))</f>
        <v>94771.898325041431</v>
      </c>
      <c r="W53" s="13">
        <f ca="1">IF(ValuesEntered3,IF(ROW()-ROW(הפחתה7[[#Headers],[ריבית]])=1,-IPMT(שיעור_ריבית3/12,1,תקופת_ההלוואה3-ROWS($C$4:U53)+1,הפחתה7[[#This Row],[יתרת פתיחה]]),IFERROR(-IPMT(שיעור_ריבית3/12,1,הפחתה7[[#This Row],[תשלומים
שנותרו]],V54),0)),0)</f>
        <v>181.38468557630242</v>
      </c>
      <c r="X53" s="13">
        <f ca="1">IFERROR(IF(AND(ValuesEntered3,הפחתה7[[#This Row],[תאריך]]&lt;&gt;""),-PPMT(שיעור_ריבית3/12,1,תקופת_ההלוואה3-ROWS($C$4:U53)+1,הפחתה7[[#This Row],[יתרת פתיחה]]),""),0)</f>
        <v>294.36336214999949</v>
      </c>
      <c r="Y53" s="13">
        <f ca="1">(הפחתה7[[#This Row],[יתרת פתיחה]])*(מדד3/12)</f>
        <v>157.95316387506907</v>
      </c>
      <c r="Z53" s="13">
        <f ca="1">IF(הפחתה7[[#This Row],[תאריך]]="",0,הפחתה7[[#This Row],[ריבית]]+הפחתה7[[#This Row],[קרן]]+הפחתה7[[#This Row],[מדד]])</f>
        <v>633.70121160137103</v>
      </c>
      <c r="AA53" s="13">
        <f ca="1">IF(הפחתה7[[#This Row],[תאריך]]="",0,הפחתה7[[#This Row],[יתרת פתיחה]]-הפחתה7[[#This Row],[קרן]]+הפחתה7[[#This Row],[מדד]])</f>
        <v>94635.48812676649</v>
      </c>
      <c r="AB53" s="11">
        <f ca="1">IF(הפחתה7[[#This Row],[יתרת
סגירה]]&gt;0,LastRow3-ROW(),0)</f>
        <v>250</v>
      </c>
      <c r="AC53" s="17">
        <f>ROWS($AC$4:AC53)</f>
        <v>50</v>
      </c>
      <c r="AD53" s="18" t="str">
        <f ca="1">IF(ValuesEntered4,IF(הפחתה8[[#This Row],[מס'']]&lt;=תקופת_ההלוואה4,IF(ROW()-ROW(הפחתה8[[#Headers],[תאריך]])=1,LoanStart4,IF(AJ52&gt;0,EDATE(AD52,1),"")),""),"")</f>
        <v/>
      </c>
      <c r="AE53" s="19">
        <f ca="1">IF(ROW()-ROW(הפחתה8[[#Headers],[יתרת פתיחה]])=1,סכום_הלוואה4,IF(הפחתה8[[#This Row],[תאריך]]="",0,INDEX(הפחתה8[], ROW()-4,8)))</f>
        <v>0</v>
      </c>
      <c r="AF53" s="19">
        <f ca="1">IF(ValuesEntered4,IF(ROW()-ROW(הפחתה8[[#Headers],[ריבית]])=1,-IPMT(שיעור_ריבית4/12,1,תקופת_ההלוואה4-ROWS($C$4:AD53)+1,הפחתה8[[#This Row],[יתרת פתיחה]]),IFERROR(-IPMT(שיעור_ריבית4/12,1,הפחתה8[[#This Row],[תשלומים
שנותרו]],AE54),0)),0)</f>
        <v>0</v>
      </c>
      <c r="AG53" s="19" t="str">
        <f ca="1">IFERROR(IF(AND(ValuesEntered4,הפחתה8[[#This Row],[תאריך]]&lt;&gt;""),-PPMT(שיעור_ריבית4/12,1,תקופת_ההלוואה4-ROWS($C$4:AD53)+1,הפחתה8[[#This Row],[יתרת פתיחה]]),""),0)</f>
        <v/>
      </c>
      <c r="AH53" s="19">
        <f ca="1">(הפחתה8[[#This Row],[יתרת פתיחה]])*(מדד4/12)</f>
        <v>0</v>
      </c>
      <c r="AI53" s="19">
        <f ca="1">IF(הפחתה8[[#This Row],[תאריך]]="",0,הפחתה8[[#This Row],[ריבית]]+הפחתה8[[#This Row],[קרן]]+הפחתה8[[#This Row],[מדד]])</f>
        <v>0</v>
      </c>
      <c r="AJ53" s="19">
        <f ca="1">IF(הפחתה8[[#This Row],[תאריך]]="",0,הפחתה8[[#This Row],[יתרת פתיחה]]-הפחתה8[[#This Row],[קרן]])</f>
        <v>0</v>
      </c>
      <c r="AK53" s="20">
        <f ca="1">IF(הפחתה8[[#This Row],[יתרת
סגירה]]&gt;0,LastRow4-ROW(),0)</f>
        <v>0</v>
      </c>
    </row>
    <row r="54" spans="1:37" ht="15" customHeight="1" x14ac:dyDescent="0.25">
      <c r="A54" s="8"/>
      <c r="B54" s="11">
        <f>ROWS($B$4:B54)</f>
        <v>51</v>
      </c>
      <c r="C54" s="12">
        <f>IF(ValuesEntered,IF(הפחתה[[#This Row],[מס'']]&lt;=תקופת_ההלוואה,IF(ROW()-ROW(הפחתה[[#Headers],[תאריך]])=1,LoanStart,IF(I53&gt;0,EDATE(C53,1),"")),""),"")</f>
        <v>46905</v>
      </c>
      <c r="D54" s="13">
        <f>IF(ROW()-ROW(הפחתה[[#Headers],[יתרת פתיחה]])=1,סכום_הלוואה,IF(הפחתה[[#This Row],[תאריך]]="",0,INDEX(הפחתה[], ROW()-4,8)))</f>
        <v>561944.84670538176</v>
      </c>
      <c r="E54" s="13">
        <f>IF(ValuesEntered,IF(ROW()-ROW(הפחתה[[#Headers],[ריבית]])=1,-IPMT(שיעור_ריבית/12,1,תקופת_ההלוואה-ROWS($C$4:C54)+1,הפחתה[[#This Row],[יתרת פתיחה]]),IFERROR(-IPMT(שיעור_ריבית/12,1,הפחתה[[#This Row],[תשלומים
שנותרו]],D55),0)),0)</f>
        <v>2478.1693265657586</v>
      </c>
      <c r="F54" s="13">
        <f>IFERROR(IF(AND(ValuesEntered,הפחתה[[#This Row],[תאריך]]&lt;&gt;""),-PPMT(שיעור_ריבית/12,1,תקופת_ההלוואה-ROWS($C$4:C54)+1,הפחתה[[#This Row],[יתרת פתיחה]]),""),0)</f>
        <v>849.90484143644812</v>
      </c>
      <c r="G54" s="13">
        <f>(הפחתה[[#This Row],[יתרת פתיחה]])*(מדד/12)</f>
        <v>0</v>
      </c>
      <c r="H54" s="13">
        <f>IF(הפחתה[[#This Row],[תאריך]]="",0,הפחתה[[#This Row],[ריבית]]+הפחתה[[#This Row],[קרן]]+הפחתה[[#This Row],[מדד]])</f>
        <v>3328.0741680022065</v>
      </c>
      <c r="I54" s="13">
        <f>IF(הפחתה[[#This Row],[תאריך]]="",0,הפחתה[[#This Row],[יתרת פתיחה]]-הפחתה[[#This Row],[קרן]]+הפחתה[[#This Row],[מדד]])</f>
        <v>561094.94186394534</v>
      </c>
      <c r="J54" s="11">
        <f>IF(הפחתה[[#This Row],[יתרת
סגירה]]&gt;0,LastRow-ROW(),0)</f>
        <v>309</v>
      </c>
      <c r="K54" s="11">
        <f>ROWS($K$4:K54)</f>
        <v>51</v>
      </c>
      <c r="L54" s="12">
        <f>IF(ValuesEntered2,IF(הפחתה5[[#This Row],[מס'']]&lt;=תקופת_ההלוואה2,IF(ROW()-ROW(הפחתה5[[#Headers],[תאריך]])=1,LoanStart2,IF(R53&gt;0,EDATE(L53,1),"")),""),"")</f>
        <v>46905</v>
      </c>
      <c r="M54" s="13">
        <f>IF(ROW()-ROW(הפחתה5[[#Headers],[יתרת פתיחה]])=1,סכום_הלוואה2,IF(הפחתה5[[#This Row],[תאריך]]="",0,INDEX(הפחתה5[], ROW()-4,8)))</f>
        <v>270970.04213071807</v>
      </c>
      <c r="N54" s="13">
        <f>IF(ValuesEntered2,IF(ROW()-ROW(הפחתה5[[#Headers],[ריבית]])=1,-IPMT(שיעור_ריבית2/12,1,תקופת_ההלוואה2-ROWS($L$4:L54)+1,הפחתה5[[#This Row],[יתרת פתיחה]]),IFERROR(-IPMT(שיעור_ריבית2/12,1,הפחתה5[[#This Row],[תשלומים
שנותרו]],M55),0)),0)</f>
        <v>1058.7909554382506</v>
      </c>
      <c r="O54" s="13">
        <f>IFERROR(IF(AND(ValuesEntered2,הפחתה5[[#This Row],[תאריך]]&lt;&gt;""),-PPMT(שיעור_ריבית2/12,1,תקופת_ההלוואה2-ROWS($L$4:L54)+1,הפחתה5[[#This Row],[יתרת פתיחה]]),""),0)</f>
        <v>640.43648690941359</v>
      </c>
      <c r="P54" s="13">
        <f>(הפחתה5[[#This Row],[יתרת פתיחה]])*(מדד2/12)</f>
        <v>0</v>
      </c>
      <c r="Q54" s="13">
        <f>IF(הפחתה5[[#This Row],[תאריך]]="",0,הפחתה5[[#This Row],[ריבית]]+הפחתה5[[#This Row],[קרן]]+הפחתה5[[#This Row],[מדד]])</f>
        <v>1699.2274423476642</v>
      </c>
      <c r="R54" s="13">
        <f>IF(הפחתה5[[#This Row],[תאריך]]="",0,הפחתה5[[#This Row],[יתרת פתיחה]]-הפחתה5[[#This Row],[קרן]]+הפחתה5[[#This Row],[מדד]])</f>
        <v>270329.60564380867</v>
      </c>
      <c r="S54" s="11">
        <f>IF(הפחתה5[[#This Row],[יתרת
סגירה]]&gt;0,LastRow2-ROW(),0)</f>
        <v>249</v>
      </c>
      <c r="T54" s="11">
        <f>ROWS($T$4:T54)</f>
        <v>51</v>
      </c>
      <c r="U54" s="12">
        <f ca="1">IF(ValuesEntered3,IF(הפחתה7[[#This Row],[מס'']]&lt;=תקופת_ההלוואה3,IF(ROW()-ROW(הפחתה7[[#Headers],[תאריך]])=1,LoanStart3,IF(AA53&gt;0,EDATE(U53,1),"")),""),"")</f>
        <v>47143</v>
      </c>
      <c r="V54" s="13">
        <f ca="1">IF(ROW()-ROW(הפחתה7[[#Headers],[יתרת פתיחה]])=1,סכום_הלוואה3,IF(הפחתה7[[#This Row],[תאריך]]="",0,INDEX(הפחתה7[], ROW()-4,8)))</f>
        <v>94635.48812676649</v>
      </c>
      <c r="W54" s="13">
        <f ca="1">IF(ValuesEntered3,IF(ROW()-ROW(הפחתה7[[#Headers],[ריבית]])=1,-IPMT(שיעור_ריבית3/12,1,תקופת_ההלוואה3-ROWS($C$4:U54)+1,הפחתה7[[#This Row],[יתרת פתיחה]]),IFERROR(-IPMT(שיעור_ריבית3/12,1,הפחתה7[[#This Row],[תשלומים
שנותרו]],V55),0)),0)</f>
        <v>181.1207704998659</v>
      </c>
      <c r="X54" s="13">
        <f ca="1">IFERROR(IF(AND(ValuesEntered3,הפחתה7[[#This Row],[תאריך]]&lt;&gt;""),-PPMT(שיעור_ריבית3/12,1,תקופת_ההלוואה3-ROWS($C$4:U54)+1,הפחתה7[[#This Row],[יתרת פתיחה]]),""),0)</f>
        <v>295.42063603324044</v>
      </c>
      <c r="Y54" s="13">
        <f ca="1">(הפחתה7[[#This Row],[יתרת פתיחה]])*(מדד3/12)</f>
        <v>157.72581354461082</v>
      </c>
      <c r="Z54" s="13">
        <f ca="1">IF(הפחתה7[[#This Row],[תאריך]]="",0,הפחתה7[[#This Row],[ריבית]]+הפחתה7[[#This Row],[קרן]]+הפחתה7[[#This Row],[מדד]])</f>
        <v>634.26722007771718</v>
      </c>
      <c r="AA54" s="13">
        <f ca="1">IF(הפחתה7[[#This Row],[תאריך]]="",0,הפחתה7[[#This Row],[יתרת פתיחה]]-הפחתה7[[#This Row],[קרן]]+הפחתה7[[#This Row],[מדד]])</f>
        <v>94497.79330427786</v>
      </c>
      <c r="AB54" s="11">
        <f ca="1">IF(הפחתה7[[#This Row],[יתרת
סגירה]]&gt;0,LastRow3-ROW(),0)</f>
        <v>249</v>
      </c>
      <c r="AC54" s="17">
        <f>ROWS($AC$4:AC54)</f>
        <v>51</v>
      </c>
      <c r="AD54" s="18" t="str">
        <f ca="1">IF(ValuesEntered4,IF(הפחתה8[[#This Row],[מס'']]&lt;=תקופת_ההלוואה4,IF(ROW()-ROW(הפחתה8[[#Headers],[תאריך]])=1,LoanStart4,IF(AJ53&gt;0,EDATE(AD53,1),"")),""),"")</f>
        <v/>
      </c>
      <c r="AE54" s="19">
        <f ca="1">IF(ROW()-ROW(הפחתה8[[#Headers],[יתרת פתיחה]])=1,סכום_הלוואה4,IF(הפחתה8[[#This Row],[תאריך]]="",0,INDEX(הפחתה8[], ROW()-4,8)))</f>
        <v>0</v>
      </c>
      <c r="AF54" s="19">
        <f ca="1">IF(ValuesEntered4,IF(ROW()-ROW(הפחתה8[[#Headers],[ריבית]])=1,-IPMT(שיעור_ריבית4/12,1,תקופת_ההלוואה4-ROWS($C$4:AD54)+1,הפחתה8[[#This Row],[יתרת פתיחה]]),IFERROR(-IPMT(שיעור_ריבית4/12,1,הפחתה8[[#This Row],[תשלומים
שנותרו]],AE55),0)),0)</f>
        <v>0</v>
      </c>
      <c r="AG54" s="19" t="str">
        <f ca="1">IFERROR(IF(AND(ValuesEntered4,הפחתה8[[#This Row],[תאריך]]&lt;&gt;""),-PPMT(שיעור_ריבית4/12,1,תקופת_ההלוואה4-ROWS($C$4:AD54)+1,הפחתה8[[#This Row],[יתרת פתיחה]]),""),0)</f>
        <v/>
      </c>
      <c r="AH54" s="19">
        <f ca="1">(הפחתה8[[#This Row],[יתרת פתיחה]])*(מדד4/12)</f>
        <v>0</v>
      </c>
      <c r="AI54" s="19">
        <f ca="1">IF(הפחתה8[[#This Row],[תאריך]]="",0,הפחתה8[[#This Row],[ריבית]]+הפחתה8[[#This Row],[קרן]]+הפחתה8[[#This Row],[מדד]])</f>
        <v>0</v>
      </c>
      <c r="AJ54" s="19">
        <f ca="1">IF(הפחתה8[[#This Row],[תאריך]]="",0,הפחתה8[[#This Row],[יתרת פתיחה]]-הפחתה8[[#This Row],[קרן]])</f>
        <v>0</v>
      </c>
      <c r="AK54" s="20">
        <f ca="1">IF(הפחתה8[[#This Row],[יתרת
סגירה]]&gt;0,LastRow4-ROW(),0)</f>
        <v>0</v>
      </c>
    </row>
    <row r="55" spans="1:37" ht="15" customHeight="1" x14ac:dyDescent="0.25">
      <c r="A55" s="8"/>
      <c r="B55" s="11">
        <f>ROWS($B$4:B55)</f>
        <v>52</v>
      </c>
      <c r="C55" s="12">
        <f>IF(ValuesEntered,IF(הפחתה[[#This Row],[מס'']]&lt;=תקופת_ההלוואה,IF(ROW()-ROW(הפחתה[[#Headers],[תאריך]])=1,LoanStart,IF(I54&gt;0,EDATE(C54,1),"")),""),"")</f>
        <v>46935</v>
      </c>
      <c r="D55" s="13">
        <f>IF(ROW()-ROW(הפחתה[[#Headers],[יתרת פתיחה]])=1,סכום_הלוואה,IF(הפחתה[[#This Row],[תאריך]]="",0,INDEX(הפחתה[], ROW()-4,8)))</f>
        <v>561094.94186394534</v>
      </c>
      <c r="E55" s="13">
        <f>IF(ValuesEntered,IF(ROW()-ROW(הפחתה[[#Headers],[ריבית]])=1,-IPMT(שיעור_ריבית/12,1,תקופת_ההלוואה-ROWS($C$4:C55)+1,הפחתה[[#This Row],[יתרת פתיחה]]),IFERROR(-IPMT(שיעור_ריבית/12,1,הפחתה[[#This Row],[תשלומים
שנותרו]],D56),0)),0)</f>
        <v>2474.399001136223</v>
      </c>
      <c r="F55" s="13">
        <f>IFERROR(IF(AND(ValuesEntered,הפחתה[[#This Row],[תאריך]]&lt;&gt;""),-PPMT(שיעור_ריבית/12,1,תקופת_ההלוואה-ROWS($C$4:C55)+1,הפחתה[[#This Row],[יתרת פתיחה]]),""),0)</f>
        <v>853.65858781945906</v>
      </c>
      <c r="G55" s="13">
        <f>(הפחתה[[#This Row],[יתרת פתיחה]])*(מדד/12)</f>
        <v>0</v>
      </c>
      <c r="H55" s="13">
        <f>IF(הפחתה[[#This Row],[תאריך]]="",0,הפחתה[[#This Row],[ריבית]]+הפחתה[[#This Row],[קרן]]+הפחתה[[#This Row],[מדד]])</f>
        <v>3328.0575889556821</v>
      </c>
      <c r="I55" s="13">
        <f>IF(הפחתה[[#This Row],[תאריך]]="",0,הפחתה[[#This Row],[יתרת פתיחה]]-הפחתה[[#This Row],[קרן]]+הפחתה[[#This Row],[מדד]])</f>
        <v>560241.28327612591</v>
      </c>
      <c r="J55" s="11">
        <f>IF(הפחתה[[#This Row],[יתרת
סגירה]]&gt;0,LastRow-ROW(),0)</f>
        <v>308</v>
      </c>
      <c r="K55" s="11">
        <f>ROWS($K$4:K55)</f>
        <v>52</v>
      </c>
      <c r="L55" s="12">
        <f>IF(ValuesEntered2,IF(הפחתה5[[#This Row],[מס'']]&lt;=תקופת_ההלוואה2,IF(ROW()-ROW(הפחתה5[[#Headers],[תאריך]])=1,LoanStart2,IF(R54&gt;0,EDATE(L54,1),"")),""),"")</f>
        <v>46935</v>
      </c>
      <c r="M55" s="13">
        <f>IF(ROW()-ROW(הפחתה5[[#Headers],[יתרת פתיחה]])=1,סכום_הלוואה2,IF(הפחתה5[[#This Row],[תאריך]]="",0,INDEX(הפחתה5[], ROW()-4,8)))</f>
        <v>270329.60564380867</v>
      </c>
      <c r="N55" s="13">
        <f>IF(ValuesEntered2,IF(ROW()-ROW(הפחתה5[[#Headers],[ריבית]])=1,-IPMT(שיעור_ריבית2/12,1,תקופת_ההלוואה2-ROWS($L$4:L55)+1,הפחתה5[[#This Row],[יתרת פתיחה]]),IFERROR(-IPMT(שיעור_ריבית2/12,1,הפחתה5[[#This Row],[תשלומים
שנותרו]],M56),0)),0)</f>
        <v>1056.2727547242473</v>
      </c>
      <c r="O55" s="13">
        <f>IFERROR(IF(AND(ValuesEntered2,הפחתה5[[#This Row],[תאריך]]&lt;&gt;""),-PPMT(שיעור_ריבית2/12,1,תקופת_ההלוואה2-ROWS($L$4:L55)+1,הפחתה5[[#This Row],[יתרת פתיחה]]),""),0)</f>
        <v>642.94486314980884</v>
      </c>
      <c r="P55" s="13">
        <f>(הפחתה5[[#This Row],[יתרת פתיחה]])*(מדד2/12)</f>
        <v>0</v>
      </c>
      <c r="Q55" s="13">
        <f>IF(הפחתה5[[#This Row],[תאריך]]="",0,הפחתה5[[#This Row],[ריבית]]+הפחתה5[[#This Row],[קרן]]+הפחתה5[[#This Row],[מדד]])</f>
        <v>1699.217617874056</v>
      </c>
      <c r="R55" s="13">
        <f>IF(הפחתה5[[#This Row],[תאריך]]="",0,הפחתה5[[#This Row],[יתרת פתיחה]]-הפחתה5[[#This Row],[קרן]]+הפחתה5[[#This Row],[מדד]])</f>
        <v>269686.66078065889</v>
      </c>
      <c r="S55" s="11">
        <f>IF(הפחתה5[[#This Row],[יתרת
סגירה]]&gt;0,LastRow2-ROW(),0)</f>
        <v>248</v>
      </c>
      <c r="T55" s="11">
        <f>ROWS($T$4:T55)</f>
        <v>52</v>
      </c>
      <c r="U55" s="12">
        <f ca="1">IF(ValuesEntered3,IF(הפחתה7[[#This Row],[מס'']]&lt;=תקופת_ההלוואה3,IF(ROW()-ROW(הפחתה7[[#Headers],[תאריך]])=1,LoanStart3,IF(AA54&gt;0,EDATE(U54,1),"")),""),"")</f>
        <v>47174</v>
      </c>
      <c r="V55" s="13">
        <f ca="1">IF(ROW()-ROW(הפחתה7[[#Headers],[יתרת פתיחה]])=1,סכום_הלוואה3,IF(הפחתה7[[#This Row],[תאריך]]="",0,INDEX(הפחתה7[], ROW()-4,8)))</f>
        <v>94497.79330427786</v>
      </c>
      <c r="W55" s="13">
        <f ca="1">IF(ValuesEntered3,IF(ROW()-ROW(הפחתה7[[#Headers],[ריבית]])=1,-IPMT(שיעור_ריבית3/12,1,תקופת_ההלוואה3-ROWS($C$4:U55)+1,הפחתה7[[#This Row],[יתרת פתיחה]]),IFERROR(-IPMT(שיעור_ריבית3/12,1,הפחתה7[[#This Row],[תשלומים
שנותרו]],V56),0)),0)</f>
        <v>180.85438183003777</v>
      </c>
      <c r="X55" s="13">
        <f ca="1">IFERROR(IF(AND(ValuesEntered3,הפחתה7[[#This Row],[תאריך]]&lt;&gt;""),-PPMT(שיעור_ריבית3/12,1,תקופת_ההלוואה3-ROWS($C$4:U55)+1,הפחתה7[[#This Row],[יתרת פתיחה]]),""),0)</f>
        <v>296.48171512761297</v>
      </c>
      <c r="Y55" s="13">
        <f ca="1">(הפחתה7[[#This Row],[יתרת פתיחה]])*(מדד3/12)</f>
        <v>157.49632217379644</v>
      </c>
      <c r="Z55" s="13">
        <f ca="1">IF(הפחתה7[[#This Row],[תאריך]]="",0,הפחתה7[[#This Row],[ריבית]]+הפחתה7[[#This Row],[קרן]]+הפחתה7[[#This Row],[מדד]])</f>
        <v>634.83241913144718</v>
      </c>
      <c r="AA55" s="13">
        <f ca="1">IF(הפחתה7[[#This Row],[תאריך]]="",0,הפחתה7[[#This Row],[יתרת פתיחה]]-הפחתה7[[#This Row],[קרן]]+הפחתה7[[#This Row],[מדד]])</f>
        <v>94358.807911324053</v>
      </c>
      <c r="AB55" s="11">
        <f ca="1">IF(הפחתה7[[#This Row],[יתרת
סגירה]]&gt;0,LastRow3-ROW(),0)</f>
        <v>248</v>
      </c>
      <c r="AC55" s="17">
        <f>ROWS($AC$4:AC55)</f>
        <v>52</v>
      </c>
      <c r="AD55" s="18" t="str">
        <f ca="1">IF(ValuesEntered4,IF(הפחתה8[[#This Row],[מס'']]&lt;=תקופת_ההלוואה4,IF(ROW()-ROW(הפחתה8[[#Headers],[תאריך]])=1,LoanStart4,IF(AJ54&gt;0,EDATE(AD54,1),"")),""),"")</f>
        <v/>
      </c>
      <c r="AE55" s="19">
        <f ca="1">IF(ROW()-ROW(הפחתה8[[#Headers],[יתרת פתיחה]])=1,סכום_הלוואה4,IF(הפחתה8[[#This Row],[תאריך]]="",0,INDEX(הפחתה8[], ROW()-4,8)))</f>
        <v>0</v>
      </c>
      <c r="AF55" s="19">
        <f ca="1">IF(ValuesEntered4,IF(ROW()-ROW(הפחתה8[[#Headers],[ריבית]])=1,-IPMT(שיעור_ריבית4/12,1,תקופת_ההלוואה4-ROWS($C$4:AD55)+1,הפחתה8[[#This Row],[יתרת פתיחה]]),IFERROR(-IPMT(שיעור_ריבית4/12,1,הפחתה8[[#This Row],[תשלומים
שנותרו]],AE56),0)),0)</f>
        <v>0</v>
      </c>
      <c r="AG55" s="19" t="str">
        <f ca="1">IFERROR(IF(AND(ValuesEntered4,הפחתה8[[#This Row],[תאריך]]&lt;&gt;""),-PPMT(שיעור_ריבית4/12,1,תקופת_ההלוואה4-ROWS($C$4:AD55)+1,הפחתה8[[#This Row],[יתרת פתיחה]]),""),0)</f>
        <v/>
      </c>
      <c r="AH55" s="19">
        <f ca="1">(הפחתה8[[#This Row],[יתרת פתיחה]])*(מדד4/12)</f>
        <v>0</v>
      </c>
      <c r="AI55" s="19">
        <f ca="1">IF(הפחתה8[[#This Row],[תאריך]]="",0,הפחתה8[[#This Row],[ריבית]]+הפחתה8[[#This Row],[קרן]]+הפחתה8[[#This Row],[מדד]])</f>
        <v>0</v>
      </c>
      <c r="AJ55" s="19">
        <f ca="1">IF(הפחתה8[[#This Row],[תאריך]]="",0,הפחתה8[[#This Row],[יתרת פתיחה]]-הפחתה8[[#This Row],[קרן]])</f>
        <v>0</v>
      </c>
      <c r="AK55" s="20">
        <f ca="1">IF(הפחתה8[[#This Row],[יתרת
סגירה]]&gt;0,LastRow4-ROW(),0)</f>
        <v>0</v>
      </c>
    </row>
    <row r="56" spans="1:37" ht="15" customHeight="1" x14ac:dyDescent="0.25">
      <c r="A56" s="8"/>
      <c r="B56" s="11">
        <f>ROWS($B$4:B56)</f>
        <v>53</v>
      </c>
      <c r="C56" s="12">
        <f>IF(ValuesEntered,IF(הפחתה[[#This Row],[מס'']]&lt;=תקופת_ההלוואה,IF(ROW()-ROW(הפחתה[[#Headers],[תאריך]])=1,LoanStart,IF(I55&gt;0,EDATE(C55,1),"")),""),"")</f>
        <v>46966</v>
      </c>
      <c r="D56" s="13">
        <f>IF(ROW()-ROW(הפחתה[[#Headers],[יתרת פתיחה]])=1,סכום_הלוואה,IF(הפחתה[[#This Row],[תאריך]]="",0,INDEX(הפחתה[], ROW()-4,8)))</f>
        <v>560241.28327612591</v>
      </c>
      <c r="E56" s="13">
        <f>IF(ValuesEntered,IF(ROW()-ROW(הפחתה[[#Headers],[ריבית]])=1,-IPMT(שיעור_ריבית/12,1,תקופת_ההלוואה-ROWS($C$4:C56)+1,הפחתה[[#This Row],[יתרת פתיחה]]),IFERROR(-IPMT(שיעור_ריבית/12,1,הפחתה[[#This Row],[תשלומים
שנותרו]],D57),0)),0)</f>
        <v>2470.6120234360396</v>
      </c>
      <c r="F56" s="13">
        <f>IFERROR(IF(AND(ValuesEntered,הפחתה[[#This Row],[תאריך]]&lt;&gt;""),-PPMT(שיעור_ריבית/12,1,תקופת_ההלוואה-ROWS($C$4:C56)+1,הפחתה[[#This Row],[יתרת פתיחה]]),""),0)</f>
        <v>857.42891324899529</v>
      </c>
      <c r="G56" s="13">
        <f>(הפחתה[[#This Row],[יתרת פתיחה]])*(מדד/12)</f>
        <v>0</v>
      </c>
      <c r="H56" s="13">
        <f>IF(הפחתה[[#This Row],[תאריך]]="",0,הפחתה[[#This Row],[ריבית]]+הפחתה[[#This Row],[קרן]]+הפחתה[[#This Row],[מדד]])</f>
        <v>3328.0409366850349</v>
      </c>
      <c r="I56" s="13">
        <f>IF(הפחתה[[#This Row],[תאריך]]="",0,הפחתה[[#This Row],[יתרת פתיחה]]-הפחתה[[#This Row],[קרן]]+הפחתה[[#This Row],[מדד]])</f>
        <v>559383.85436287685</v>
      </c>
      <c r="J56" s="11">
        <f>IF(הפחתה[[#This Row],[יתרת
סגירה]]&gt;0,LastRow-ROW(),0)</f>
        <v>307</v>
      </c>
      <c r="K56" s="11">
        <f>ROWS($K$4:K56)</f>
        <v>53</v>
      </c>
      <c r="L56" s="12">
        <f>IF(ValuesEntered2,IF(הפחתה5[[#This Row],[מס'']]&lt;=תקופת_ההלוואה2,IF(ROW()-ROW(הפחתה5[[#Headers],[תאריך]])=1,LoanStart2,IF(R55&gt;0,EDATE(L55,1),"")),""),"")</f>
        <v>46966</v>
      </c>
      <c r="M56" s="13">
        <f>IF(ROW()-ROW(הפחתה5[[#Headers],[יתרת פתיחה]])=1,סכום_הלוואה2,IF(הפחתה5[[#This Row],[תאריך]]="",0,INDEX(הפחתה5[], ROW()-4,8)))</f>
        <v>269686.66078065889</v>
      </c>
      <c r="N56" s="13">
        <f>IF(ValuesEntered2,IF(ROW()-ROW(הפחתה5[[#Headers],[ריבית]])=1,-IPMT(שיעור_ריבית2/12,1,תקופת_ההלוואה2-ROWS($L$4:L56)+1,הפחתה5[[#This Row],[יתרת פתיחה]]),IFERROR(-IPMT(שיעור_ריבית2/12,1,הפחתה5[[#This Row],[תשלומים
שנותרו]],M57),0)),0)</f>
        <v>1053.7446910574474</v>
      </c>
      <c r="O56" s="13">
        <f>IFERROR(IF(AND(ValuesEntered2,הפחתה5[[#This Row],[תאריך]]&lt;&gt;""),-PPMT(שיעור_ריבית2/12,1,תקופת_ההלוואה2-ROWS($L$4:L56)+1,הפחתה5[[#This Row],[יתרת פתיחה]]),""),0)</f>
        <v>645.46306386381229</v>
      </c>
      <c r="P56" s="13">
        <f>(הפחתה5[[#This Row],[יתרת פתיחה]])*(מדד2/12)</f>
        <v>0</v>
      </c>
      <c r="Q56" s="13">
        <f>IF(הפחתה5[[#This Row],[תאריך]]="",0,הפחתה5[[#This Row],[ריבית]]+הפחתה5[[#This Row],[קרן]]+הפחתה5[[#This Row],[מדד]])</f>
        <v>1699.2077549212597</v>
      </c>
      <c r="R56" s="13">
        <f>IF(הפחתה5[[#This Row],[תאריך]]="",0,הפחתה5[[#This Row],[יתרת פתיחה]]-הפחתה5[[#This Row],[קרן]]+הפחתה5[[#This Row],[מדד]])</f>
        <v>269041.19771679508</v>
      </c>
      <c r="S56" s="11">
        <f>IF(הפחתה5[[#This Row],[יתרת
סגירה]]&gt;0,LastRow2-ROW(),0)</f>
        <v>247</v>
      </c>
      <c r="T56" s="11">
        <f>ROWS($T$4:T56)</f>
        <v>53</v>
      </c>
      <c r="U56" s="12">
        <f ca="1">IF(ValuesEntered3,IF(הפחתה7[[#This Row],[מס'']]&lt;=תקופת_ההלוואה3,IF(ROW()-ROW(הפחתה7[[#Headers],[תאריך]])=1,LoanStart3,IF(AA55&gt;0,EDATE(U55,1),"")),""),"")</f>
        <v>47202</v>
      </c>
      <c r="V56" s="13">
        <f ca="1">IF(ROW()-ROW(הפחתה7[[#Headers],[יתרת פתיחה]])=1,סכום_הלוואה3,IF(הפחתה7[[#This Row],[תאריך]]="",0,INDEX(הפחתה7[], ROW()-4,8)))</f>
        <v>94358.807911324053</v>
      </c>
      <c r="W56" s="13">
        <f ca="1">IF(ValuesEntered3,IF(ROW()-ROW(הפחתה7[[#Headers],[ריבית]])=1,-IPMT(שיעור_ריבית3/12,1,תקופת_ההלוואה3-ROWS($C$4:U56)+1,הפחתה7[[#This Row],[יתרת פתיחה]]),IFERROR(-IPMT(שיעור_ריבית3/12,1,הפחתה7[[#This Row],[תשלומים
שנותרו]],V57),0)),0)</f>
        <v>180.58550812441564</v>
      </c>
      <c r="X56" s="13">
        <f ca="1">IFERROR(IF(AND(ValuesEntered3,הפחתה7[[#This Row],[תאריך]]&lt;&gt;""),-PPMT(שיעור_ריבית3/12,1,תקופת_ההלוואה3-ROWS($C$4:U56)+1,הפחתה7[[#This Row],[יתרת פתיחה]]),""),0)</f>
        <v>297.54661322027653</v>
      </c>
      <c r="Y56" s="13">
        <f ca="1">(הפחתה7[[#This Row],[יתרת פתיחה]])*(מדד3/12)</f>
        <v>157.26467985220677</v>
      </c>
      <c r="Z56" s="13">
        <f ca="1">IF(הפחתה7[[#This Row],[תאריך]]="",0,הפחתה7[[#This Row],[ריבית]]+הפחתה7[[#This Row],[קרן]]+הפחתה7[[#This Row],[מדד]])</f>
        <v>635.39680119689888</v>
      </c>
      <c r="AA56" s="13">
        <f ca="1">IF(הפחתה7[[#This Row],[תאריך]]="",0,הפחתה7[[#This Row],[יתרת פתיחה]]-הפחתה7[[#This Row],[קרן]]+הפחתה7[[#This Row],[מדד]])</f>
        <v>94218.525977955986</v>
      </c>
      <c r="AB56" s="11">
        <f ca="1">IF(הפחתה7[[#This Row],[יתרת
סגירה]]&gt;0,LastRow3-ROW(),0)</f>
        <v>247</v>
      </c>
      <c r="AC56" s="17">
        <f>ROWS($AC$4:AC56)</f>
        <v>53</v>
      </c>
      <c r="AD56" s="18" t="str">
        <f ca="1">IF(ValuesEntered4,IF(הפחתה8[[#This Row],[מס'']]&lt;=תקופת_ההלוואה4,IF(ROW()-ROW(הפחתה8[[#Headers],[תאריך]])=1,LoanStart4,IF(AJ55&gt;0,EDATE(AD55,1),"")),""),"")</f>
        <v/>
      </c>
      <c r="AE56" s="19">
        <f ca="1">IF(ROW()-ROW(הפחתה8[[#Headers],[יתרת פתיחה]])=1,סכום_הלוואה4,IF(הפחתה8[[#This Row],[תאריך]]="",0,INDEX(הפחתה8[], ROW()-4,8)))</f>
        <v>0</v>
      </c>
      <c r="AF56" s="19">
        <f ca="1">IF(ValuesEntered4,IF(ROW()-ROW(הפחתה8[[#Headers],[ריבית]])=1,-IPMT(שיעור_ריבית4/12,1,תקופת_ההלוואה4-ROWS($C$4:AD56)+1,הפחתה8[[#This Row],[יתרת פתיחה]]),IFERROR(-IPMT(שיעור_ריבית4/12,1,הפחתה8[[#This Row],[תשלומים
שנותרו]],AE57),0)),0)</f>
        <v>0</v>
      </c>
      <c r="AG56" s="19" t="str">
        <f ca="1">IFERROR(IF(AND(ValuesEntered4,הפחתה8[[#This Row],[תאריך]]&lt;&gt;""),-PPMT(שיעור_ריבית4/12,1,תקופת_ההלוואה4-ROWS($C$4:AD56)+1,הפחתה8[[#This Row],[יתרת פתיחה]]),""),0)</f>
        <v/>
      </c>
      <c r="AH56" s="19">
        <f ca="1">(הפחתה8[[#This Row],[יתרת פתיחה]])*(מדד4/12)</f>
        <v>0</v>
      </c>
      <c r="AI56" s="19">
        <f ca="1">IF(הפחתה8[[#This Row],[תאריך]]="",0,הפחתה8[[#This Row],[ריבית]]+הפחתה8[[#This Row],[קרן]]+הפחתה8[[#This Row],[מדד]])</f>
        <v>0</v>
      </c>
      <c r="AJ56" s="19">
        <f ca="1">IF(הפחתה8[[#This Row],[תאריך]]="",0,הפחתה8[[#This Row],[יתרת פתיחה]]-הפחתה8[[#This Row],[קרן]])</f>
        <v>0</v>
      </c>
      <c r="AK56" s="20">
        <f ca="1">IF(הפחתה8[[#This Row],[יתרת
סגירה]]&gt;0,LastRow4-ROW(),0)</f>
        <v>0</v>
      </c>
    </row>
    <row r="57" spans="1:37" ht="15" customHeight="1" x14ac:dyDescent="0.25">
      <c r="A57" s="8"/>
      <c r="B57" s="11">
        <f>ROWS($B$4:B57)</f>
        <v>54</v>
      </c>
      <c r="C57" s="12">
        <f>IF(ValuesEntered,IF(הפחתה[[#This Row],[מס'']]&lt;=תקופת_ההלוואה,IF(ROW()-ROW(הפחתה[[#Headers],[תאריך]])=1,LoanStart,IF(I56&gt;0,EDATE(C56,1),"")),""),"")</f>
        <v>46997</v>
      </c>
      <c r="D57" s="13">
        <f>IF(ROW()-ROW(הפחתה[[#Headers],[יתרת פתיחה]])=1,סכום_הלוואה,IF(הפחתה[[#This Row],[תאריך]]="",0,INDEX(הפחתה[], ROW()-4,8)))</f>
        <v>559383.85436287685</v>
      </c>
      <c r="E57" s="13">
        <f>IF(ValuesEntered,IF(ROW()-ROW(הפחתה[[#Headers],[ריבית]])=1,-IPMT(שיעור_ריבית/12,1,תקופת_ההלוואה-ROWS($C$4:C57)+1,הפחתה[[#This Row],[יתרת פתיחה]]),IFERROR(-IPMT(שיעור_ריבית/12,1,הפחתה[[#This Row],[תשלומים
שנותרו]],D58),0)),0)</f>
        <v>2466.8083199176808</v>
      </c>
      <c r="F57" s="13">
        <f>IFERROR(IF(AND(ValuesEntered,הפחתה[[#This Row],[תאריך]]&lt;&gt;""),-PPMT(שיעור_ריבית/12,1,תקופת_ההלוואה-ROWS($C$4:C57)+1,הפחתה[[#This Row],[יתרת פתיחה]]),""),0)</f>
        <v>861.2158909491784</v>
      </c>
      <c r="G57" s="13">
        <f>(הפחתה[[#This Row],[יתרת פתיחה]])*(מדד/12)</f>
        <v>0</v>
      </c>
      <c r="H57" s="13">
        <f>IF(הפחתה[[#This Row],[תאריך]]="",0,הפחתה[[#This Row],[ריבית]]+הפחתה[[#This Row],[קרן]]+הפחתה[[#This Row],[מדד]])</f>
        <v>3328.024210866859</v>
      </c>
      <c r="I57" s="13">
        <f>IF(הפחתה[[#This Row],[תאריך]]="",0,הפחתה[[#This Row],[יתרת פתיחה]]-הפחתה[[#This Row],[קרן]]+הפחתה[[#This Row],[מדד]])</f>
        <v>558522.63847192773</v>
      </c>
      <c r="J57" s="11">
        <f>IF(הפחתה[[#This Row],[יתרת
סגירה]]&gt;0,LastRow-ROW(),0)</f>
        <v>306</v>
      </c>
      <c r="K57" s="11">
        <f>ROWS($K$4:K57)</f>
        <v>54</v>
      </c>
      <c r="L57" s="12">
        <f>IF(ValuesEntered2,IF(הפחתה5[[#This Row],[מס'']]&lt;=תקופת_ההלוואה2,IF(ROW()-ROW(הפחתה5[[#Headers],[תאריך]])=1,LoanStart2,IF(R56&gt;0,EDATE(L56,1),"")),""),"")</f>
        <v>46997</v>
      </c>
      <c r="M57" s="13">
        <f>IF(ROW()-ROW(הפחתה5[[#Headers],[יתרת פתיחה]])=1,סכום_הלוואה2,IF(הפחתה5[[#This Row],[תאריך]]="",0,INDEX(הפחתה5[], ROW()-4,8)))</f>
        <v>269041.19771679508</v>
      </c>
      <c r="N57" s="13">
        <f>IF(ValuesEntered2,IF(ROW()-ROW(הפחתה5[[#Headers],[ריבית]])=1,-IPMT(שיעור_ריבית2/12,1,תקופת_ההלוואה2-ROWS($L$4:L57)+1,הפחתה5[[#This Row],[יתרת פתיחה]]),IFERROR(-IPMT(שיעור_ריבית2/12,1,הפחתה5[[#This Row],[תשלומים
שנותרו]],M58),0)),0)</f>
        <v>1051.2067258079524</v>
      </c>
      <c r="O57" s="13">
        <f>IFERROR(IF(AND(ValuesEntered2,הפחתה5[[#This Row],[תאריך]]&lt;&gt;""),-PPMT(שיעור_ריבית2/12,1,תקופת_ההלוואה2-ROWS($L$4:L57)+1,הפחתה5[[#This Row],[יתרת פתיחה]]),""),0)</f>
        <v>647.9911275306124</v>
      </c>
      <c r="P57" s="13">
        <f>(הפחתה5[[#This Row],[יתרת פתיחה]])*(מדד2/12)</f>
        <v>0</v>
      </c>
      <c r="Q57" s="13">
        <f>IF(הפחתה5[[#This Row],[תאריך]]="",0,הפחתה5[[#This Row],[ריבית]]+הפחתה5[[#This Row],[קרן]]+הפחתה5[[#This Row],[מדד]])</f>
        <v>1699.1978533385648</v>
      </c>
      <c r="R57" s="13">
        <f>IF(הפחתה5[[#This Row],[תאריך]]="",0,הפחתה5[[#This Row],[יתרת פתיחה]]-הפחתה5[[#This Row],[קרן]]+הפחתה5[[#This Row],[מדד]])</f>
        <v>268393.20658926445</v>
      </c>
      <c r="S57" s="11">
        <f>IF(הפחתה5[[#This Row],[יתרת
סגירה]]&gt;0,LastRow2-ROW(),0)</f>
        <v>246</v>
      </c>
      <c r="T57" s="11">
        <f>ROWS($T$4:T57)</f>
        <v>54</v>
      </c>
      <c r="U57" s="12">
        <f ca="1">IF(ValuesEntered3,IF(הפחתה7[[#This Row],[מס'']]&lt;=תקופת_ההלוואה3,IF(ROW()-ROW(הפחתה7[[#Headers],[תאריך]])=1,LoanStart3,IF(AA56&gt;0,EDATE(U56,1),"")),""),"")</f>
        <v>47233</v>
      </c>
      <c r="V57" s="13">
        <f ca="1">IF(ROW()-ROW(הפחתה7[[#Headers],[יתרת פתיחה]])=1,סכום_הלוואה3,IF(הפחתה7[[#This Row],[תאריך]]="",0,INDEX(הפחתה7[], ROW()-4,8)))</f>
        <v>94218.525977955986</v>
      </c>
      <c r="W57" s="13">
        <f ca="1">IF(ValuesEntered3,IF(ROW()-ROW(הפחתה7[[#Headers],[ריבית]])=1,-IPMT(שיעור_ריבית3/12,1,תקופת_ההלוואה3-ROWS($C$4:U57)+1,הפחתה7[[#This Row],[יתרת פתיחה]]),IFERROR(-IPMT(שיעור_ריבית3/12,1,הפחתה7[[#This Row],[תשלומים
שנותרו]],V58),0)),0)</f>
        <v>180.31413789500274</v>
      </c>
      <c r="X57" s="13">
        <f ca="1">IFERROR(IF(AND(ValuesEntered3,הפחתה7[[#This Row],[תאריך]]&lt;&gt;""),-PPMT(שיעור_ריבית3/12,1,תקופת_ההלוואה3-ROWS($C$4:U57)+1,הפחתה7[[#This Row],[יתרת פתיחה]]),""),0)</f>
        <v>298.61534414968315</v>
      </c>
      <c r="Y57" s="13">
        <f ca="1">(הפחתה7[[#This Row],[יתרת פתיחה]])*(מדד3/12)</f>
        <v>157.03087662992667</v>
      </c>
      <c r="Z57" s="13">
        <f ca="1">IF(הפחתה7[[#This Row],[תאריך]]="",0,הפחתה7[[#This Row],[ריבית]]+הפחתה7[[#This Row],[קרן]]+הפחתה7[[#This Row],[מדד]])</f>
        <v>635.96035867461251</v>
      </c>
      <c r="AA57" s="13">
        <f ca="1">IF(הפחתה7[[#This Row],[תאריך]]="",0,הפחתה7[[#This Row],[יתרת פתיחה]]-הפחתה7[[#This Row],[קרן]]+הפחתה7[[#This Row],[מדד]])</f>
        <v>94076.941510436227</v>
      </c>
      <c r="AB57" s="11">
        <f ca="1">IF(הפחתה7[[#This Row],[יתרת
סגירה]]&gt;0,LastRow3-ROW(),0)</f>
        <v>246</v>
      </c>
      <c r="AC57" s="17">
        <f>ROWS($AC$4:AC57)</f>
        <v>54</v>
      </c>
      <c r="AD57" s="18" t="str">
        <f ca="1">IF(ValuesEntered4,IF(הפחתה8[[#This Row],[מס'']]&lt;=תקופת_ההלוואה4,IF(ROW()-ROW(הפחתה8[[#Headers],[תאריך]])=1,LoanStart4,IF(AJ56&gt;0,EDATE(AD56,1),"")),""),"")</f>
        <v/>
      </c>
      <c r="AE57" s="19">
        <f ca="1">IF(ROW()-ROW(הפחתה8[[#Headers],[יתרת פתיחה]])=1,סכום_הלוואה4,IF(הפחתה8[[#This Row],[תאריך]]="",0,INDEX(הפחתה8[], ROW()-4,8)))</f>
        <v>0</v>
      </c>
      <c r="AF57" s="19">
        <f ca="1">IF(ValuesEntered4,IF(ROW()-ROW(הפחתה8[[#Headers],[ריבית]])=1,-IPMT(שיעור_ריבית4/12,1,תקופת_ההלוואה4-ROWS($C$4:AD57)+1,הפחתה8[[#This Row],[יתרת פתיחה]]),IFERROR(-IPMT(שיעור_ריבית4/12,1,הפחתה8[[#This Row],[תשלומים
שנותרו]],AE58),0)),0)</f>
        <v>0</v>
      </c>
      <c r="AG57" s="19" t="str">
        <f ca="1">IFERROR(IF(AND(ValuesEntered4,הפחתה8[[#This Row],[תאריך]]&lt;&gt;""),-PPMT(שיעור_ריבית4/12,1,תקופת_ההלוואה4-ROWS($C$4:AD57)+1,הפחתה8[[#This Row],[יתרת פתיחה]]),""),0)</f>
        <v/>
      </c>
      <c r="AH57" s="19">
        <f ca="1">(הפחתה8[[#This Row],[יתרת פתיחה]])*(מדד4/12)</f>
        <v>0</v>
      </c>
      <c r="AI57" s="19">
        <f ca="1">IF(הפחתה8[[#This Row],[תאריך]]="",0,הפחתה8[[#This Row],[ריבית]]+הפחתה8[[#This Row],[קרן]]+הפחתה8[[#This Row],[מדד]])</f>
        <v>0</v>
      </c>
      <c r="AJ57" s="19">
        <f ca="1">IF(הפחתה8[[#This Row],[תאריך]]="",0,הפחתה8[[#This Row],[יתרת פתיחה]]-הפחתה8[[#This Row],[קרן]])</f>
        <v>0</v>
      </c>
      <c r="AK57" s="20">
        <f ca="1">IF(הפחתה8[[#This Row],[יתרת
סגירה]]&gt;0,LastRow4-ROW(),0)</f>
        <v>0</v>
      </c>
    </row>
    <row r="58" spans="1:37" ht="15" customHeight="1" x14ac:dyDescent="0.25">
      <c r="A58" s="8"/>
      <c r="B58" s="11">
        <f>ROWS($B$4:B58)</f>
        <v>55</v>
      </c>
      <c r="C58" s="12">
        <f>IF(ValuesEntered,IF(הפחתה[[#This Row],[מס'']]&lt;=תקופת_ההלוואה,IF(ROW()-ROW(הפחתה[[#Headers],[תאריך]])=1,LoanStart,IF(I57&gt;0,EDATE(C57,1),"")),""),"")</f>
        <v>47027</v>
      </c>
      <c r="D58" s="13">
        <f>IF(ROW()-ROW(הפחתה[[#Headers],[יתרת פתיחה]])=1,סכום_הלוואה,IF(הפחתה[[#This Row],[תאריך]]="",0,INDEX(הפחתה[], ROW()-4,8)))</f>
        <v>558522.63847192773</v>
      </c>
      <c r="E58" s="13">
        <f>IF(ValuesEntered,IF(ROW()-ROW(הפחתה[[#Headers],[ריבית]])=1,-IPMT(שיעור_ריבית/12,1,תקופת_ההלוואה-ROWS($C$4:C58)+1,הפחתה[[#This Row],[יתרת פתיחה]]),IFERROR(-IPMT(שיעור_ריבית/12,1,הפחתה[[#This Row],[תשלומים
שנותרו]],D59),0)),0)</f>
        <v>2462.9878167087822</v>
      </c>
      <c r="F58" s="13">
        <f>IFERROR(IF(AND(ValuesEntered,הפחתה[[#This Row],[תאריך]]&lt;&gt;""),-PPMT(שיעור_ריבית/12,1,תקופת_ההלוואה-ROWS($C$4:C58)+1,הפחתה[[#This Row],[יתרת פתיחה]]),""),0)</f>
        <v>865.0195944675371</v>
      </c>
      <c r="G58" s="13">
        <f>(הפחתה[[#This Row],[יתרת פתיחה]])*(מדד/12)</f>
        <v>0</v>
      </c>
      <c r="H58" s="13">
        <f>IF(הפחתה[[#This Row],[תאריך]]="",0,הפחתה[[#This Row],[ריבית]]+הפחתה[[#This Row],[קרן]]+הפחתה[[#This Row],[מדד]])</f>
        <v>3328.0074111763192</v>
      </c>
      <c r="I58" s="13">
        <f>IF(הפחתה[[#This Row],[תאריך]]="",0,הפחתה[[#This Row],[יתרת פתיחה]]-הפחתה[[#This Row],[קרן]]+הפחתה[[#This Row],[מדד]])</f>
        <v>557657.61887746013</v>
      </c>
      <c r="J58" s="11">
        <f>IF(הפחתה[[#This Row],[יתרת
סגירה]]&gt;0,LastRow-ROW(),0)</f>
        <v>305</v>
      </c>
      <c r="K58" s="11">
        <f>ROWS($K$4:K58)</f>
        <v>55</v>
      </c>
      <c r="L58" s="12">
        <f>IF(ValuesEntered2,IF(הפחתה5[[#This Row],[מס'']]&lt;=תקופת_ההלוואה2,IF(ROW()-ROW(הפחתה5[[#Headers],[תאריך]])=1,LoanStart2,IF(R57&gt;0,EDATE(L57,1),"")),""),"")</f>
        <v>47027</v>
      </c>
      <c r="M58" s="13">
        <f>IF(ROW()-ROW(הפחתה5[[#Headers],[יתרת פתיחה]])=1,סכום_הלוואה2,IF(הפחתה5[[#This Row],[תאריך]]="",0,INDEX(הפחתה5[], ROW()-4,8)))</f>
        <v>268393.20658926445</v>
      </c>
      <c r="N58" s="13">
        <f>IF(ValuesEntered2,IF(ROW()-ROW(הפחתה5[[#Headers],[ריבית]])=1,-IPMT(שיעור_ריבית2/12,1,תקופת_ההלוואה2-ROWS($L$4:L58)+1,הפחתה5[[#This Row],[יתרת פתיחה]]),IFERROR(-IPMT(שיעור_ריבית2/12,1,הפחתה5[[#This Row],[תשלומים
שנותרו]],M59),0)),0)</f>
        <v>1048.6588201945638</v>
      </c>
      <c r="O58" s="13">
        <f>IFERROR(IF(AND(ValuesEntered2,הפחתה5[[#This Row],[תאריך]]&lt;&gt;""),-PPMT(שיעור_ריבית2/12,1,תקופת_ההלוואה2-ROWS($L$4:L58)+1,הפחתה5[[#This Row],[יתרת פתיחה]]),""),0)</f>
        <v>650.52909278010713</v>
      </c>
      <c r="P58" s="13">
        <f>(הפחתה5[[#This Row],[יתרת פתיחה]])*(מדד2/12)</f>
        <v>0</v>
      </c>
      <c r="Q58" s="13">
        <f>IF(הפחתה5[[#This Row],[תאריך]]="",0,הפחתה5[[#This Row],[ריבית]]+הפחתה5[[#This Row],[קרן]]+הפחתה5[[#This Row],[מדד]])</f>
        <v>1699.1879129746708</v>
      </c>
      <c r="R58" s="13">
        <f>IF(הפחתה5[[#This Row],[תאריך]]="",0,הפחתה5[[#This Row],[יתרת פתיחה]]-הפחתה5[[#This Row],[קרן]]+הפחתה5[[#This Row],[מדד]])</f>
        <v>267742.67749648436</v>
      </c>
      <c r="S58" s="11">
        <f>IF(הפחתה5[[#This Row],[יתרת
סגירה]]&gt;0,LastRow2-ROW(),0)</f>
        <v>245</v>
      </c>
      <c r="T58" s="11">
        <f>ROWS($T$4:T58)</f>
        <v>55</v>
      </c>
      <c r="U58" s="12">
        <f ca="1">IF(ValuesEntered3,IF(הפחתה7[[#This Row],[מס'']]&lt;=תקופת_ההלוואה3,IF(ROW()-ROW(הפחתה7[[#Headers],[תאריך]])=1,LoanStart3,IF(AA57&gt;0,EDATE(U57,1),"")),""),"")</f>
        <v>47263</v>
      </c>
      <c r="V58" s="13">
        <f ca="1">IF(ROW()-ROW(הפחתה7[[#Headers],[יתרת פתיחה]])=1,סכום_הלוואה3,IF(הפחתה7[[#This Row],[תאריך]]="",0,INDEX(הפחתה7[], ROW()-4,8)))</f>
        <v>94076.941510436227</v>
      </c>
      <c r="W58" s="13">
        <f ca="1">IF(ValuesEntered3,IF(ROW()-ROW(הפחתה7[[#Headers],[ריבית]])=1,-IPMT(שיעור_ריבית3/12,1,תקופת_ההלוואה3-ROWS($C$4:U58)+1,הפחתה7[[#This Row],[יתרת פתיחה]]),IFERROR(-IPMT(שיעור_ריבית3/12,1,הפחתה7[[#This Row],[תשלומים
שנותרו]],V59),0)),0)</f>
        <v>180.04025960803332</v>
      </c>
      <c r="X58" s="13">
        <f ca="1">IFERROR(IF(AND(ValuesEntered3,הפחתה7[[#This Row],[תאריך]]&lt;&gt;""),-PPMT(שיעור_ריבית3/12,1,תקופת_ההלוואה3-ROWS($C$4:U58)+1,הפחתה7[[#This Row],[יתרת פתיחה]]),""),0)</f>
        <v>299.68792180579186</v>
      </c>
      <c r="Y58" s="13">
        <f ca="1">(הפחתה7[[#This Row],[יתרת פתיחה]])*(מדד3/12)</f>
        <v>156.79490251739372</v>
      </c>
      <c r="Z58" s="13">
        <f ca="1">IF(הפחתה7[[#This Row],[תאריך]]="",0,הפחתה7[[#This Row],[ריבית]]+הפחתה7[[#This Row],[קרן]]+הפחתה7[[#This Row],[מדד]])</f>
        <v>636.52308393121893</v>
      </c>
      <c r="AA58" s="13">
        <f ca="1">IF(הפחתה7[[#This Row],[תאריך]]="",0,הפחתה7[[#This Row],[יתרת פתיחה]]-הפחתה7[[#This Row],[קרן]]+הפחתה7[[#This Row],[מדד]])</f>
        <v>93934.048491147827</v>
      </c>
      <c r="AB58" s="11">
        <f ca="1">IF(הפחתה7[[#This Row],[יתרת
סגירה]]&gt;0,LastRow3-ROW(),0)</f>
        <v>245</v>
      </c>
      <c r="AC58" s="17">
        <f>ROWS($AC$4:AC58)</f>
        <v>55</v>
      </c>
      <c r="AD58" s="18" t="str">
        <f ca="1">IF(ValuesEntered4,IF(הפחתה8[[#This Row],[מס'']]&lt;=תקופת_ההלוואה4,IF(ROW()-ROW(הפחתה8[[#Headers],[תאריך]])=1,LoanStart4,IF(AJ57&gt;0,EDATE(AD57,1),"")),""),"")</f>
        <v/>
      </c>
      <c r="AE58" s="19">
        <f ca="1">IF(ROW()-ROW(הפחתה8[[#Headers],[יתרת פתיחה]])=1,סכום_הלוואה4,IF(הפחתה8[[#This Row],[תאריך]]="",0,INDEX(הפחתה8[], ROW()-4,8)))</f>
        <v>0</v>
      </c>
      <c r="AF58" s="19">
        <f ca="1">IF(ValuesEntered4,IF(ROW()-ROW(הפחתה8[[#Headers],[ריבית]])=1,-IPMT(שיעור_ריבית4/12,1,תקופת_ההלוואה4-ROWS($C$4:AD58)+1,הפחתה8[[#This Row],[יתרת פתיחה]]),IFERROR(-IPMT(שיעור_ריבית4/12,1,הפחתה8[[#This Row],[תשלומים
שנותרו]],AE59),0)),0)</f>
        <v>0</v>
      </c>
      <c r="AG58" s="19" t="str">
        <f ca="1">IFERROR(IF(AND(ValuesEntered4,הפחתה8[[#This Row],[תאריך]]&lt;&gt;""),-PPMT(שיעור_ריבית4/12,1,תקופת_ההלוואה4-ROWS($C$4:AD58)+1,הפחתה8[[#This Row],[יתרת פתיחה]]),""),0)</f>
        <v/>
      </c>
      <c r="AH58" s="19">
        <f ca="1">(הפחתה8[[#This Row],[יתרת פתיחה]])*(מדד4/12)</f>
        <v>0</v>
      </c>
      <c r="AI58" s="19">
        <f ca="1">IF(הפחתה8[[#This Row],[תאריך]]="",0,הפחתה8[[#This Row],[ריבית]]+הפחתה8[[#This Row],[קרן]]+הפחתה8[[#This Row],[מדד]])</f>
        <v>0</v>
      </c>
      <c r="AJ58" s="19">
        <f ca="1">IF(הפחתה8[[#This Row],[תאריך]]="",0,הפחתה8[[#This Row],[יתרת פתיחה]]-הפחתה8[[#This Row],[קרן]])</f>
        <v>0</v>
      </c>
      <c r="AK58" s="20">
        <f ca="1">IF(הפחתה8[[#This Row],[יתרת
סגירה]]&gt;0,LastRow4-ROW(),0)</f>
        <v>0</v>
      </c>
    </row>
    <row r="59" spans="1:37" ht="15" customHeight="1" x14ac:dyDescent="0.25">
      <c r="A59" s="8"/>
      <c r="B59" s="11">
        <f>ROWS($B$4:B59)</f>
        <v>56</v>
      </c>
      <c r="C59" s="12">
        <f>IF(ValuesEntered,IF(הפחתה[[#This Row],[מס'']]&lt;=תקופת_ההלוואה,IF(ROW()-ROW(הפחתה[[#Headers],[תאריך]])=1,LoanStart,IF(I58&gt;0,EDATE(C58,1),"")),""),"")</f>
        <v>47058</v>
      </c>
      <c r="D59" s="13">
        <f>IF(ROW()-ROW(הפחתה[[#Headers],[יתרת פתיחה]])=1,סכום_הלוואה,IF(הפחתה[[#This Row],[תאריך]]="",0,INDEX(הפחתה[], ROW()-4,8)))</f>
        <v>557657.61887746013</v>
      </c>
      <c r="E59" s="13">
        <f>IF(ValuesEntered,IF(ROW()-ROW(הפחתה[[#Headers],[ריבית]])=1,-IPMT(שיעור_ריבית/12,1,תקופת_ההלוואה-ROWS($C$4:C59)+1,הפחתה[[#This Row],[יתרת פתיחה]]),IFERROR(-IPMT(שיעור_ריבית/12,1,הפחתה[[#This Row],[תשלומים
שנותרו]],D60),0)),0)</f>
        <v>2459.1504396107116</v>
      </c>
      <c r="F59" s="13">
        <f>IFERROR(IF(AND(ValuesEntered,הפחתה[[#This Row],[תאריך]]&lt;&gt;""),-PPMT(שיעור_ריבית/12,1,תקופת_ההלוואה-ROWS($C$4:C59)+1,הפחתה[[#This Row],[יתרת פתיחה]]),""),0)</f>
        <v>868.84009767643533</v>
      </c>
      <c r="G59" s="13">
        <f>(הפחתה[[#This Row],[יתרת פתיחה]])*(מדד/12)</f>
        <v>0</v>
      </c>
      <c r="H59" s="13">
        <f>IF(הפחתה[[#This Row],[תאריך]]="",0,הפחתה[[#This Row],[ריבית]]+הפחתה[[#This Row],[קרן]]+הפחתה[[#This Row],[מדד]])</f>
        <v>3327.9905372871472</v>
      </c>
      <c r="I59" s="13">
        <f>IF(הפחתה[[#This Row],[תאריך]]="",0,הפחתה[[#This Row],[יתרת פתיחה]]-הפחתה[[#This Row],[קרן]]+הפחתה[[#This Row],[מדד]])</f>
        <v>556788.77877978375</v>
      </c>
      <c r="J59" s="11">
        <f>IF(הפחתה[[#This Row],[יתרת
סגירה]]&gt;0,LastRow-ROW(),0)</f>
        <v>304</v>
      </c>
      <c r="K59" s="11">
        <f>ROWS($K$4:K59)</f>
        <v>56</v>
      </c>
      <c r="L59" s="12">
        <f>IF(ValuesEntered2,IF(הפחתה5[[#This Row],[מס'']]&lt;=תקופת_ההלוואה2,IF(ROW()-ROW(הפחתה5[[#Headers],[תאריך]])=1,LoanStart2,IF(R58&gt;0,EDATE(L58,1),"")),""),"")</f>
        <v>47058</v>
      </c>
      <c r="M59" s="13">
        <f>IF(ROW()-ROW(הפחתה5[[#Headers],[יתרת פתיחה]])=1,סכום_הלוואה2,IF(הפחתה5[[#This Row],[תאריך]]="",0,INDEX(הפחתה5[], ROW()-4,8)))</f>
        <v>267742.67749648436</v>
      </c>
      <c r="N59" s="13">
        <f>IF(ValuesEntered2,IF(ROW()-ROW(הפחתה5[[#Headers],[ריבית]])=1,-IPMT(שיעור_ריבית2/12,1,תקופת_ההלוואה2-ROWS($L$4:L59)+1,הפחתה5[[#This Row],[יתרת פתיחה]]),IFERROR(-IPMT(שיעור_ריבית2/12,1,הפחתה5[[#This Row],[תשלומים
שנותרו]],M60),0)),0)</f>
        <v>1046.1009352841891</v>
      </c>
      <c r="O59" s="13">
        <f>IFERROR(IF(AND(ValuesEntered2,הפחתה5[[#This Row],[תאריך]]&lt;&gt;""),-PPMT(שיעור_ריבית2/12,1,תקופת_ההלוואה2-ROWS($L$4:L59)+1,הפחתה5[[#This Row],[יתרת פתיחה]]),""),0)</f>
        <v>653.07699839349596</v>
      </c>
      <c r="P59" s="13">
        <f>(הפחתה5[[#This Row],[יתרת פתיחה]])*(מדד2/12)</f>
        <v>0</v>
      </c>
      <c r="Q59" s="13">
        <f>IF(הפחתה5[[#This Row],[תאריך]]="",0,הפחתה5[[#This Row],[ריבית]]+הפחתה5[[#This Row],[קרן]]+הפחתה5[[#This Row],[מדד]])</f>
        <v>1699.1779336776849</v>
      </c>
      <c r="R59" s="13">
        <f>IF(הפחתה5[[#This Row],[תאריך]]="",0,הפחתה5[[#This Row],[יתרת פתיחה]]-הפחתה5[[#This Row],[קרן]]+הפחתה5[[#This Row],[מדד]])</f>
        <v>267089.60049809085</v>
      </c>
      <c r="S59" s="11">
        <f>IF(הפחתה5[[#This Row],[יתרת
סגירה]]&gt;0,LastRow2-ROW(),0)</f>
        <v>244</v>
      </c>
      <c r="T59" s="11">
        <f>ROWS($T$4:T59)</f>
        <v>56</v>
      </c>
      <c r="U59" s="12">
        <f ca="1">IF(ValuesEntered3,IF(הפחתה7[[#This Row],[מס'']]&lt;=תקופת_ההלוואה3,IF(ROW()-ROW(הפחתה7[[#Headers],[תאריך]])=1,LoanStart3,IF(AA58&gt;0,EDATE(U58,1),"")),""),"")</f>
        <v>47294</v>
      </c>
      <c r="V59" s="13">
        <f ca="1">IF(ROW()-ROW(הפחתה7[[#Headers],[יתרת פתיחה]])=1,סכום_הלוואה3,IF(הפחתה7[[#This Row],[תאריך]]="",0,INDEX(הפחתה7[], ROW()-4,8)))</f>
        <v>93934.048491147827</v>
      </c>
      <c r="W59" s="13">
        <f ca="1">IF(ValuesEntered3,IF(ROW()-ROW(הפחתה7[[#Headers],[ריבית]])=1,-IPMT(שיעור_ריבית3/12,1,תקופת_ההלוואה3-ROWS($C$4:U59)+1,הפחתה7[[#This Row],[יתרת פתיחה]]),IFERROR(-IPMT(שיעור_ריבית3/12,1,הפחתה7[[#This Row],[תשלומים
שנותרו]],V60),0)),0)</f>
        <v>179.76386168379699</v>
      </c>
      <c r="X59" s="13">
        <f ca="1">IFERROR(IF(AND(ValuesEntered3,הפחתה7[[#This Row],[תאריך]]&lt;&gt;""),-PPMT(שיעור_ריבית3/12,1,תקופת_ההלוואה3-ROWS($C$4:U59)+1,הפחתה7[[#This Row],[יתרת פתיחה]]),""),0)</f>
        <v>300.76436013028462</v>
      </c>
      <c r="Y59" s="13">
        <f ca="1">(הפחתה7[[#This Row],[יתרת פתיחה]])*(מדד3/12)</f>
        <v>156.55674748524638</v>
      </c>
      <c r="Z59" s="13">
        <f ca="1">IF(הפחתה7[[#This Row],[תאריך]]="",0,הפחתה7[[#This Row],[ריבית]]+הפחתה7[[#This Row],[קרן]]+הפחתה7[[#This Row],[מדד]])</f>
        <v>637.08496929932789</v>
      </c>
      <c r="AA59" s="13">
        <f ca="1">IF(הפחתה7[[#This Row],[תאריך]]="",0,הפחתה7[[#This Row],[יתרת פתיחה]]-הפחתה7[[#This Row],[קרן]]+הפחתה7[[#This Row],[מדד]])</f>
        <v>93789.840878502786</v>
      </c>
      <c r="AB59" s="11">
        <f ca="1">IF(הפחתה7[[#This Row],[יתרת
סגירה]]&gt;0,LastRow3-ROW(),0)</f>
        <v>244</v>
      </c>
      <c r="AC59" s="17">
        <f>ROWS($AC$4:AC59)</f>
        <v>56</v>
      </c>
      <c r="AD59" s="18" t="str">
        <f ca="1">IF(ValuesEntered4,IF(הפחתה8[[#This Row],[מס'']]&lt;=תקופת_ההלוואה4,IF(ROW()-ROW(הפחתה8[[#Headers],[תאריך]])=1,LoanStart4,IF(AJ58&gt;0,EDATE(AD58,1),"")),""),"")</f>
        <v/>
      </c>
      <c r="AE59" s="19">
        <f ca="1">IF(ROW()-ROW(הפחתה8[[#Headers],[יתרת פתיחה]])=1,סכום_הלוואה4,IF(הפחתה8[[#This Row],[תאריך]]="",0,INDEX(הפחתה8[], ROW()-4,8)))</f>
        <v>0</v>
      </c>
      <c r="AF59" s="19">
        <f ca="1">IF(ValuesEntered4,IF(ROW()-ROW(הפחתה8[[#Headers],[ריבית]])=1,-IPMT(שיעור_ריבית4/12,1,תקופת_ההלוואה4-ROWS($C$4:AD59)+1,הפחתה8[[#This Row],[יתרת פתיחה]]),IFERROR(-IPMT(שיעור_ריבית4/12,1,הפחתה8[[#This Row],[תשלומים
שנותרו]],AE60),0)),0)</f>
        <v>0</v>
      </c>
      <c r="AG59" s="19" t="str">
        <f ca="1">IFERROR(IF(AND(ValuesEntered4,הפחתה8[[#This Row],[תאריך]]&lt;&gt;""),-PPMT(שיעור_ריבית4/12,1,תקופת_ההלוואה4-ROWS($C$4:AD59)+1,הפחתה8[[#This Row],[יתרת פתיחה]]),""),0)</f>
        <v/>
      </c>
      <c r="AH59" s="19">
        <f ca="1">(הפחתה8[[#This Row],[יתרת פתיחה]])*(מדד4/12)</f>
        <v>0</v>
      </c>
      <c r="AI59" s="19">
        <f ca="1">IF(הפחתה8[[#This Row],[תאריך]]="",0,הפחתה8[[#This Row],[ריבית]]+הפחתה8[[#This Row],[קרן]]+הפחתה8[[#This Row],[מדד]])</f>
        <v>0</v>
      </c>
      <c r="AJ59" s="19">
        <f ca="1">IF(הפחתה8[[#This Row],[תאריך]]="",0,הפחתה8[[#This Row],[יתרת פתיחה]]-הפחתה8[[#This Row],[קרן]])</f>
        <v>0</v>
      </c>
      <c r="AK59" s="20">
        <f ca="1">IF(הפחתה8[[#This Row],[יתרת
סגירה]]&gt;0,LastRow4-ROW(),0)</f>
        <v>0</v>
      </c>
    </row>
    <row r="60" spans="1:37" ht="15" customHeight="1" x14ac:dyDescent="0.25">
      <c r="A60" s="8"/>
      <c r="B60" s="11">
        <f>ROWS($B$4:B60)</f>
        <v>57</v>
      </c>
      <c r="C60" s="12">
        <f>IF(ValuesEntered,IF(הפחתה[[#This Row],[מס'']]&lt;=תקופת_ההלוואה,IF(ROW()-ROW(הפחתה[[#Headers],[תאריך]])=1,LoanStart,IF(I59&gt;0,EDATE(C59,1),"")),""),"")</f>
        <v>47088</v>
      </c>
      <c r="D60" s="13">
        <f>IF(ROW()-ROW(הפחתה[[#Headers],[יתרת פתיחה]])=1,סכום_הלוואה,IF(הפחתה[[#This Row],[תאריך]]="",0,INDEX(הפחתה[], ROW()-4,8)))</f>
        <v>556788.77877978375</v>
      </c>
      <c r="E60" s="13">
        <f>IF(ValuesEntered,IF(ROW()-ROW(הפחתה[[#Headers],[ריבית]])=1,-IPMT(שיעור_ריבית/12,1,תקופת_ההלוואה-ROWS($C$4:C60)+1,הפחתה[[#This Row],[יתרת פתיחה]]),IFERROR(-IPMT(שיעור_ריבית/12,1,הפחתה[[#This Row],[תשלומים
שנותרו]],D61),0)),0)</f>
        <v>2455.2961140971242</v>
      </c>
      <c r="F60" s="13">
        <f>IFERROR(IF(AND(ValuesEntered,הפחתה[[#This Row],[תאריך]]&lt;&gt;""),-PPMT(שיעור_ריבית/12,1,תקופת_ההלוואה-ROWS($C$4:C60)+1,הפחתה[[#This Row],[יתרת פתיחה]]),""),0)</f>
        <v>872.67747477450632</v>
      </c>
      <c r="G60" s="13">
        <f>(הפחתה[[#This Row],[יתרת פתיחה]])*(מדד/12)</f>
        <v>0</v>
      </c>
      <c r="H60" s="13">
        <f>IF(הפחתה[[#This Row],[תאריך]]="",0,הפחתה[[#This Row],[ריבית]]+הפחתה[[#This Row],[קרן]]+הפחתה[[#This Row],[מדד]])</f>
        <v>3327.9735888716305</v>
      </c>
      <c r="I60" s="13">
        <f>IF(הפחתה[[#This Row],[תאריך]]="",0,הפחתה[[#This Row],[יתרת פתיחה]]-הפחתה[[#This Row],[קרן]]+הפחתה[[#This Row],[מדד]])</f>
        <v>555916.10130500922</v>
      </c>
      <c r="J60" s="11">
        <f>IF(הפחתה[[#This Row],[יתרת
סגירה]]&gt;0,LastRow-ROW(),0)</f>
        <v>303</v>
      </c>
      <c r="K60" s="11">
        <f>ROWS($K$4:K60)</f>
        <v>57</v>
      </c>
      <c r="L60" s="12">
        <f>IF(ValuesEntered2,IF(הפחתה5[[#This Row],[מס'']]&lt;=תקופת_ההלוואה2,IF(ROW()-ROW(הפחתה5[[#Headers],[תאריך]])=1,LoanStart2,IF(R59&gt;0,EDATE(L59,1),"")),""),"")</f>
        <v>47088</v>
      </c>
      <c r="M60" s="13">
        <f>IF(ROW()-ROW(הפחתה5[[#Headers],[יתרת פתיחה]])=1,סכום_הלוואה2,IF(הפחתה5[[#This Row],[תאריך]]="",0,INDEX(הפחתה5[], ROW()-4,8)))</f>
        <v>267089.60049809085</v>
      </c>
      <c r="N60" s="13">
        <f>IF(ValuesEntered2,IF(ROW()-ROW(הפחתה5[[#Headers],[ריבית]])=1,-IPMT(שיעור_ריבית2/12,1,תקופת_ההלוואה2-ROWS($L$4:L60)+1,הפחתה5[[#This Row],[יתרת פתיחה]]),IFERROR(-IPMT(שיעור_ריבית2/12,1,הפחתה5[[#This Row],[תשלומים
שנותרו]],M61),0)),0)</f>
        <v>1043.5330319912489</v>
      </c>
      <c r="O60" s="13">
        <f>IFERROR(IF(AND(ValuesEntered2,הפחתה5[[#This Row],[תאריך]]&lt;&gt;""),-PPMT(שיעור_ריבית2/12,1,תקופת_ההלוואה2-ROWS($L$4:L60)+1,הפחתה5[[#This Row],[יתרת פתיחה]]),""),0)</f>
        <v>655.63488330387031</v>
      </c>
      <c r="P60" s="13">
        <f>(הפחתה5[[#This Row],[יתרת פתיחה]])*(מדד2/12)</f>
        <v>0</v>
      </c>
      <c r="Q60" s="13">
        <f>IF(הפחתה5[[#This Row],[תאריך]]="",0,הפחתה5[[#This Row],[ריבית]]+הפחתה5[[#This Row],[קרן]]+הפחתה5[[#This Row],[מדד]])</f>
        <v>1699.1679152951192</v>
      </c>
      <c r="R60" s="13">
        <f>IF(הפחתה5[[#This Row],[תאריך]]="",0,הפחתה5[[#This Row],[יתרת פתיחה]]-הפחתה5[[#This Row],[קרן]]+הפחתה5[[#This Row],[מדד]])</f>
        <v>266433.96561478695</v>
      </c>
      <c r="S60" s="11">
        <f>IF(הפחתה5[[#This Row],[יתרת
סגירה]]&gt;0,LastRow2-ROW(),0)</f>
        <v>243</v>
      </c>
      <c r="T60" s="11">
        <f>ROWS($T$4:T60)</f>
        <v>57</v>
      </c>
      <c r="U60" s="12">
        <f ca="1">IF(ValuesEntered3,IF(הפחתה7[[#This Row],[מס'']]&lt;=תקופת_ההלוואה3,IF(ROW()-ROW(הפחתה7[[#Headers],[תאריך]])=1,LoanStart3,IF(AA59&gt;0,EDATE(U59,1),"")),""),"")</f>
        <v>47324</v>
      </c>
      <c r="V60" s="13">
        <f ca="1">IF(ROW()-ROW(הפחתה7[[#Headers],[יתרת פתיחה]])=1,סכום_הלוואה3,IF(הפחתה7[[#This Row],[תאריך]]="",0,INDEX(הפחתה7[], ROW()-4,8)))</f>
        <v>93789.840878502786</v>
      </c>
      <c r="W60" s="13">
        <f ca="1">IF(ValuesEntered3,IF(ROW()-ROW(הפחתה7[[#Headers],[ריבית]])=1,-IPMT(שיעור_ריבית3/12,1,תקופת_ההלוואה3-ROWS($C$4:U60)+1,הפחתה7[[#This Row],[יתרת פתיחה]]),IFERROR(-IPMT(שיעור_ריבית3/12,1,הפחתה7[[#This Row],[תשלומים
שנותרו]],V61),0)),0)</f>
        <v>179.48493249646282</v>
      </c>
      <c r="X60" s="13">
        <f ca="1">IFERROR(IF(AND(ValuesEntered3,הפחתה7[[#This Row],[תאריך]]&lt;&gt;""),-PPMT(שיעור_ריבית3/12,1,תקופת_ההלוואה3-ROWS($C$4:U60)+1,הפחתה7[[#This Row],[יתרת פתיחה]]),""),0)</f>
        <v>301.84467311678429</v>
      </c>
      <c r="Y60" s="13">
        <f ca="1">(הפחתה7[[#This Row],[יתרת פתיחה]])*(מדד3/12)</f>
        <v>156.31640146417132</v>
      </c>
      <c r="Z60" s="13">
        <f ca="1">IF(הפחתה7[[#This Row],[תאריך]]="",0,הפחתה7[[#This Row],[ריבית]]+הפחתה7[[#This Row],[קרן]]+הפחתה7[[#This Row],[מדד]])</f>
        <v>637.6460070774184</v>
      </c>
      <c r="AA60" s="13">
        <f ca="1">IF(הפחתה7[[#This Row],[תאריך]]="",0,הפחתה7[[#This Row],[יתרת פתיחה]]-הפחתה7[[#This Row],[קרן]]+הפחתה7[[#This Row],[מדד]])</f>
        <v>93644.312606850173</v>
      </c>
      <c r="AB60" s="11">
        <f ca="1">IF(הפחתה7[[#This Row],[יתרת
סגירה]]&gt;0,LastRow3-ROW(),0)</f>
        <v>243</v>
      </c>
      <c r="AC60" s="17">
        <f>ROWS($AC$4:AC60)</f>
        <v>57</v>
      </c>
      <c r="AD60" s="18" t="str">
        <f ca="1">IF(ValuesEntered4,IF(הפחתה8[[#This Row],[מס'']]&lt;=תקופת_ההלוואה4,IF(ROW()-ROW(הפחתה8[[#Headers],[תאריך]])=1,LoanStart4,IF(AJ59&gt;0,EDATE(AD59,1),"")),""),"")</f>
        <v/>
      </c>
      <c r="AE60" s="19">
        <f ca="1">IF(ROW()-ROW(הפחתה8[[#Headers],[יתרת פתיחה]])=1,סכום_הלוואה4,IF(הפחתה8[[#This Row],[תאריך]]="",0,INDEX(הפחתה8[], ROW()-4,8)))</f>
        <v>0</v>
      </c>
      <c r="AF60" s="19">
        <f ca="1">IF(ValuesEntered4,IF(ROW()-ROW(הפחתה8[[#Headers],[ריבית]])=1,-IPMT(שיעור_ריבית4/12,1,תקופת_ההלוואה4-ROWS($C$4:AD60)+1,הפחתה8[[#This Row],[יתרת פתיחה]]),IFERROR(-IPMT(שיעור_ריבית4/12,1,הפחתה8[[#This Row],[תשלומים
שנותרו]],AE61),0)),0)</f>
        <v>0</v>
      </c>
      <c r="AG60" s="19" t="str">
        <f ca="1">IFERROR(IF(AND(ValuesEntered4,הפחתה8[[#This Row],[תאריך]]&lt;&gt;""),-PPMT(שיעור_ריבית4/12,1,תקופת_ההלוואה4-ROWS($C$4:AD60)+1,הפחתה8[[#This Row],[יתרת פתיחה]]),""),0)</f>
        <v/>
      </c>
      <c r="AH60" s="19">
        <f ca="1">(הפחתה8[[#This Row],[יתרת פתיחה]])*(מדד4/12)</f>
        <v>0</v>
      </c>
      <c r="AI60" s="19">
        <f ca="1">IF(הפחתה8[[#This Row],[תאריך]]="",0,הפחתה8[[#This Row],[ריבית]]+הפחתה8[[#This Row],[קרן]]+הפחתה8[[#This Row],[מדד]])</f>
        <v>0</v>
      </c>
      <c r="AJ60" s="19">
        <f ca="1">IF(הפחתה8[[#This Row],[תאריך]]="",0,הפחתה8[[#This Row],[יתרת פתיחה]]-הפחתה8[[#This Row],[קרן]])</f>
        <v>0</v>
      </c>
      <c r="AK60" s="20">
        <f ca="1">IF(הפחתה8[[#This Row],[יתרת
סגירה]]&gt;0,LastRow4-ROW(),0)</f>
        <v>0</v>
      </c>
    </row>
    <row r="61" spans="1:37" ht="15" customHeight="1" x14ac:dyDescent="0.25">
      <c r="A61" s="8"/>
      <c r="B61" s="11">
        <f>ROWS($B$4:B61)</f>
        <v>58</v>
      </c>
      <c r="C61" s="12">
        <f>IF(ValuesEntered,IF(הפחתה[[#This Row],[מס'']]&lt;=תקופת_ההלוואה,IF(ROW()-ROW(הפחתה[[#Headers],[תאריך]])=1,LoanStart,IF(I60&gt;0,EDATE(C60,1),"")),""),"")</f>
        <v>47119</v>
      </c>
      <c r="D61" s="13">
        <f>IF(ROW()-ROW(הפחתה[[#Headers],[יתרת פתיחה]])=1,סכום_הלוואה,IF(הפחתה[[#This Row],[תאריך]]="",0,INDEX(הפחתה[], ROW()-4,8)))</f>
        <v>555916.10130500922</v>
      </c>
      <c r="E61" s="13">
        <f>IF(ValuesEntered,IF(ROW()-ROW(הפחתה[[#Headers],[ריבית]])=1,-IPMT(שיעור_ריבית/12,1,תקופת_ההלוואה-ROWS($C$4:C61)+1,הפחתה[[#This Row],[יתרת פתיחה]]),IFERROR(-IPMT(שיעור_ריבית/12,1,הפחתה[[#This Row],[תשלומים
שנותרו]],D62),0)),0)</f>
        <v>2451.424765312518</v>
      </c>
      <c r="F61" s="13">
        <f>IFERROR(IF(AND(ValuesEntered,הפחתה[[#This Row],[תאריך]]&lt;&gt;""),-PPMT(שיעור_ריבית/12,1,תקופת_ההלוואה-ROWS($C$4:C61)+1,הפחתה[[#This Row],[יתרת פתיחה]]),""),0)</f>
        <v>876.53180028809368</v>
      </c>
      <c r="G61" s="13">
        <f>(הפחתה[[#This Row],[יתרת פתיחה]])*(מדד/12)</f>
        <v>0</v>
      </c>
      <c r="H61" s="13">
        <f>IF(הפחתה[[#This Row],[תאריך]]="",0,הפחתה[[#This Row],[ריבית]]+הפחתה[[#This Row],[קרן]]+הפחתה[[#This Row],[מדד]])</f>
        <v>3327.9565656006116</v>
      </c>
      <c r="I61" s="13">
        <f>IF(הפחתה[[#This Row],[תאריך]]="",0,הפחתה[[#This Row],[יתרת פתיחה]]-הפחתה[[#This Row],[קרן]]+הפחתה[[#This Row],[מדד]])</f>
        <v>555039.56950472109</v>
      </c>
      <c r="J61" s="11">
        <f>IF(הפחתה[[#This Row],[יתרת
סגירה]]&gt;0,LastRow-ROW(),0)</f>
        <v>302</v>
      </c>
      <c r="K61" s="11">
        <f>ROWS($K$4:K61)</f>
        <v>58</v>
      </c>
      <c r="L61" s="12">
        <f>IF(ValuesEntered2,IF(הפחתה5[[#This Row],[מס'']]&lt;=תקופת_ההלוואה2,IF(ROW()-ROW(הפחתה5[[#Headers],[תאריך]])=1,LoanStart2,IF(R60&gt;0,EDATE(L60,1),"")),""),"")</f>
        <v>47119</v>
      </c>
      <c r="M61" s="13">
        <f>IF(ROW()-ROW(הפחתה5[[#Headers],[יתרת פתיחה]])=1,סכום_הלוואה2,IF(הפחתה5[[#This Row],[תאריך]]="",0,INDEX(הפחתה5[], ROW()-4,8)))</f>
        <v>266433.96561478695</v>
      </c>
      <c r="N61" s="13">
        <f>IF(ValuesEntered2,IF(ROW()-ROW(הפחתה5[[#Headers],[ריבית]])=1,-IPMT(שיעור_ריבית2/12,1,תקופת_ההלוואה2-ROWS($L$4:L61)+1,הפחתה5[[#This Row],[יתרת פתיחה]]),IFERROR(-IPMT(שיעור_ריבית2/12,1,הפחתה5[[#This Row],[תשלומים
שנותרו]],M62),0)),0)</f>
        <v>1040.9550710770782</v>
      </c>
      <c r="O61" s="13">
        <f>IFERROR(IF(AND(ValuesEntered2,הפחתה5[[#This Row],[תאריך]]&lt;&gt;""),-PPMT(שיעור_ריבית2/12,1,תקופת_ההלוואה2-ROWS($L$4:L61)+1,הפחתה5[[#This Row],[יתרת פתיחה]]),""),0)</f>
        <v>658.20278659681037</v>
      </c>
      <c r="P61" s="13">
        <f>(הפחתה5[[#This Row],[יתרת פתיחה]])*(מדד2/12)</f>
        <v>0</v>
      </c>
      <c r="Q61" s="13">
        <f>IF(הפחתה5[[#This Row],[תאריך]]="",0,הפחתה5[[#This Row],[ריבית]]+הפחתה5[[#This Row],[קרן]]+הפחתה5[[#This Row],[מדד]])</f>
        <v>1699.1578576738884</v>
      </c>
      <c r="R61" s="13">
        <f>IF(הפחתה5[[#This Row],[תאריך]]="",0,הפחתה5[[#This Row],[יתרת פתיחה]]-הפחתה5[[#This Row],[קרן]]+הפחתה5[[#This Row],[מדד]])</f>
        <v>265775.76282819017</v>
      </c>
      <c r="S61" s="11">
        <f>IF(הפחתה5[[#This Row],[יתרת
סגירה]]&gt;0,LastRow2-ROW(),0)</f>
        <v>242</v>
      </c>
      <c r="T61" s="11">
        <f>ROWS($T$4:T61)</f>
        <v>58</v>
      </c>
      <c r="U61" s="12">
        <f ca="1">IF(ValuesEntered3,IF(הפחתה7[[#This Row],[מס'']]&lt;=תקופת_ההלוואה3,IF(ROW()-ROW(הפחתה7[[#Headers],[תאריך]])=1,LoanStart3,IF(AA60&gt;0,EDATE(U60,1),"")),""),"")</f>
        <v>47355</v>
      </c>
      <c r="V61" s="13">
        <f ca="1">IF(ROW()-ROW(הפחתה7[[#Headers],[יתרת פתיחה]])=1,סכום_הלוואה3,IF(הפחתה7[[#This Row],[תאריך]]="",0,INDEX(הפחתה7[], ROW()-4,8)))</f>
        <v>93644.312606850173</v>
      </c>
      <c r="W61" s="13">
        <f ca="1">IF(ValuesEntered3,IF(ROW()-ROW(הפחתה7[[#Headers],[ריבית]])=1,-IPMT(שיעור_ריבית3/12,1,תקופת_ההלוואה3-ROWS($C$4:U61)+1,הפחתה7[[#This Row],[יתרת פתיחה]]),IFERROR(-IPMT(שיעור_ריבית3/12,1,הפחתה7[[#This Row],[תשלומים
שנותרו]],V62),0)),0)</f>
        <v>179.20346037390237</v>
      </c>
      <c r="X61" s="13">
        <f ca="1">IFERROR(IF(AND(ValuesEntered3,הפחתה7[[#This Row],[תאריך]]&lt;&gt;""),-PPMT(שיעור_ריבית3/12,1,תקופת_ההלוואה3-ROWS($C$4:U61)+1,הפחתה7[[#This Row],[יתרת פתיחה]]),""),0)</f>
        <v>302.92887481107294</v>
      </c>
      <c r="Y61" s="13">
        <f ca="1">(הפחתה7[[#This Row],[יתרת פתיחה]])*(מדד3/12)</f>
        <v>156.07385434475029</v>
      </c>
      <c r="Z61" s="13">
        <f ca="1">IF(הפחתה7[[#This Row],[תאריך]]="",0,הפחתה7[[#This Row],[ריבית]]+הפחתה7[[#This Row],[קרן]]+הפחתה7[[#This Row],[מדד]])</f>
        <v>638.20618952972563</v>
      </c>
      <c r="AA61" s="13">
        <f ca="1">IF(הפחתה7[[#This Row],[תאריך]]="",0,הפחתה7[[#This Row],[יתרת פתיחה]]-הפחתה7[[#This Row],[קרן]]+הפחתה7[[#This Row],[מדד]])</f>
        <v>93497.457586383855</v>
      </c>
      <c r="AB61" s="11">
        <f ca="1">IF(הפחתה7[[#This Row],[יתרת
סגירה]]&gt;0,LastRow3-ROW(),0)</f>
        <v>242</v>
      </c>
      <c r="AC61" s="17">
        <f>ROWS($AC$4:AC61)</f>
        <v>58</v>
      </c>
      <c r="AD61" s="18" t="str">
        <f ca="1">IF(ValuesEntered4,IF(הפחתה8[[#This Row],[מס'']]&lt;=תקופת_ההלוואה4,IF(ROW()-ROW(הפחתה8[[#Headers],[תאריך]])=1,LoanStart4,IF(AJ60&gt;0,EDATE(AD60,1),"")),""),"")</f>
        <v/>
      </c>
      <c r="AE61" s="19">
        <f ca="1">IF(ROW()-ROW(הפחתה8[[#Headers],[יתרת פתיחה]])=1,סכום_הלוואה4,IF(הפחתה8[[#This Row],[תאריך]]="",0,INDEX(הפחתה8[], ROW()-4,8)))</f>
        <v>0</v>
      </c>
      <c r="AF61" s="19">
        <f ca="1">IF(ValuesEntered4,IF(ROW()-ROW(הפחתה8[[#Headers],[ריבית]])=1,-IPMT(שיעור_ריבית4/12,1,תקופת_ההלוואה4-ROWS($C$4:AD61)+1,הפחתה8[[#This Row],[יתרת פתיחה]]),IFERROR(-IPMT(שיעור_ריבית4/12,1,הפחתה8[[#This Row],[תשלומים
שנותרו]],AE62),0)),0)</f>
        <v>0</v>
      </c>
      <c r="AG61" s="19" t="str">
        <f ca="1">IFERROR(IF(AND(ValuesEntered4,הפחתה8[[#This Row],[תאריך]]&lt;&gt;""),-PPMT(שיעור_ריבית4/12,1,תקופת_ההלוואה4-ROWS($C$4:AD61)+1,הפחתה8[[#This Row],[יתרת פתיחה]]),""),0)</f>
        <v/>
      </c>
      <c r="AH61" s="19">
        <f ca="1">(הפחתה8[[#This Row],[יתרת פתיחה]])*(מדד4/12)</f>
        <v>0</v>
      </c>
      <c r="AI61" s="19">
        <f ca="1">IF(הפחתה8[[#This Row],[תאריך]]="",0,הפחתה8[[#This Row],[ריבית]]+הפחתה8[[#This Row],[קרן]]+הפחתה8[[#This Row],[מדד]])</f>
        <v>0</v>
      </c>
      <c r="AJ61" s="19">
        <f ca="1">IF(הפחתה8[[#This Row],[תאריך]]="",0,הפחתה8[[#This Row],[יתרת פתיחה]]-הפחתה8[[#This Row],[קרן]])</f>
        <v>0</v>
      </c>
      <c r="AK61" s="20">
        <f ca="1">IF(הפחתה8[[#This Row],[יתרת
סגירה]]&gt;0,LastRow4-ROW(),0)</f>
        <v>0</v>
      </c>
    </row>
    <row r="62" spans="1:37" ht="15" customHeight="1" x14ac:dyDescent="0.25">
      <c r="A62" s="8"/>
      <c r="B62" s="11">
        <f>ROWS($B$4:B62)</f>
        <v>59</v>
      </c>
      <c r="C62" s="12">
        <f>IF(ValuesEntered,IF(הפחתה[[#This Row],[מס'']]&lt;=תקופת_ההלוואה,IF(ROW()-ROW(הפחתה[[#Headers],[תאריך]])=1,LoanStart,IF(I61&gt;0,EDATE(C61,1),"")),""),"")</f>
        <v>47150</v>
      </c>
      <c r="D62" s="13">
        <f>IF(ROW()-ROW(הפחתה[[#Headers],[יתרת פתיחה]])=1,סכום_הלוואה,IF(הפחתה[[#This Row],[תאריך]]="",0,INDEX(הפחתה[], ROW()-4,8)))</f>
        <v>555039.56950472109</v>
      </c>
      <c r="E62" s="13">
        <f>IF(ValuesEntered,IF(ROW()-ROW(הפחתה[[#Headers],[ריבית]])=1,-IPMT(שיעור_ריבית/12,1,תקופת_ההלוואה-ROWS($C$4:C62)+1,הפחתה[[#This Row],[יתרת פתיחה]]),IFERROR(-IPMT(שיעור_ריבית/12,1,הפחתה[[#This Row],[תשלומים
שנותרו]],D63),0)),0)</f>
        <v>2447.5363180707805</v>
      </c>
      <c r="F62" s="13">
        <f>IFERROR(IF(AND(ValuesEntered,הפחתה[[#This Row],[תאריך]]&lt;&gt;""),-PPMT(שיעור_ריבית/12,1,תקופת_ההלוואה-ROWS($C$4:C62)+1,הפחתה[[#This Row],[יתרת פתיחה]]),""),0)</f>
        <v>880.40314907269942</v>
      </c>
      <c r="G62" s="13">
        <f>(הפחתה[[#This Row],[יתרת פתיחה]])*(מדד/12)</f>
        <v>0</v>
      </c>
      <c r="H62" s="13">
        <f>IF(הפחתה[[#This Row],[תאריך]]="",0,הפחתה[[#This Row],[ריבית]]+הפחתה[[#This Row],[קרן]]+הפחתה[[#This Row],[מדד]])</f>
        <v>3327.9394671434798</v>
      </c>
      <c r="I62" s="13">
        <f>IF(הפחתה[[#This Row],[תאריך]]="",0,הפחתה[[#This Row],[יתרת פתיחה]]-הפחתה[[#This Row],[קרן]]+הפחתה[[#This Row],[מדד]])</f>
        <v>554159.16635564843</v>
      </c>
      <c r="J62" s="11">
        <f>IF(הפחתה[[#This Row],[יתרת
סגירה]]&gt;0,LastRow-ROW(),0)</f>
        <v>301</v>
      </c>
      <c r="K62" s="11">
        <f>ROWS($K$4:K62)</f>
        <v>59</v>
      </c>
      <c r="L62" s="12">
        <f>IF(ValuesEntered2,IF(הפחתה5[[#This Row],[מס'']]&lt;=תקופת_ההלוואה2,IF(ROW()-ROW(הפחתה5[[#Headers],[תאריך]])=1,LoanStart2,IF(R61&gt;0,EDATE(L61,1),"")),""),"")</f>
        <v>47150</v>
      </c>
      <c r="M62" s="13">
        <f>IF(ROW()-ROW(הפחתה5[[#Headers],[יתרת פתיחה]])=1,סכום_הלוואה2,IF(הפחתה5[[#This Row],[תאריך]]="",0,INDEX(הפחתה5[], ROW()-4,8)))</f>
        <v>265775.76282819017</v>
      </c>
      <c r="N62" s="13">
        <f>IF(ValuesEntered2,IF(ROW()-ROW(הפחתה5[[#Headers],[ריבית]])=1,-IPMT(שיעור_ריבית2/12,1,תקופת_ההלוואה2-ROWS($L$4:L62)+1,הפחתה5[[#This Row],[יתרת פתיחה]]),IFERROR(-IPMT(שיעור_ריבית2/12,1,הפחתה5[[#This Row],[תשלומים
שנותרו]],M63),0)),0)</f>
        <v>1038.3670131493268</v>
      </c>
      <c r="O62" s="13">
        <f>IFERROR(IF(AND(ValuesEntered2,הפחתה5[[#This Row],[תאריך]]&lt;&gt;""),-PPMT(שיעור_ריבית2/12,1,תקופת_ההלוואה2-ROWS($L$4:L62)+1,הפחתה5[[#This Row],[יתרת פתיחה]]),""),0)</f>
        <v>660.78074751098154</v>
      </c>
      <c r="P62" s="13">
        <f>(הפחתה5[[#This Row],[יתרת פתיחה]])*(מדד2/12)</f>
        <v>0</v>
      </c>
      <c r="Q62" s="13">
        <f>IF(הפחתה5[[#This Row],[תאריך]]="",0,הפחתה5[[#This Row],[ריבית]]+הפחתה5[[#This Row],[קרן]]+הפחתה5[[#This Row],[מדד]])</f>
        <v>1699.1477606603084</v>
      </c>
      <c r="R62" s="13">
        <f>IF(הפחתה5[[#This Row],[תאריך]]="",0,הפחתה5[[#This Row],[יתרת פתיחה]]-הפחתה5[[#This Row],[קרן]]+הפחתה5[[#This Row],[מדד]])</f>
        <v>265114.98208067921</v>
      </c>
      <c r="S62" s="11">
        <f>IF(הפחתה5[[#This Row],[יתרת
סגירה]]&gt;0,LastRow2-ROW(),0)</f>
        <v>241</v>
      </c>
      <c r="T62" s="11">
        <f>ROWS($T$4:T62)</f>
        <v>59</v>
      </c>
      <c r="U62" s="12">
        <f ca="1">IF(ValuesEntered3,IF(הפחתה7[[#This Row],[מס'']]&lt;=תקופת_ההלוואה3,IF(ROW()-ROW(הפחתה7[[#Headers],[תאריך]])=1,LoanStart3,IF(AA61&gt;0,EDATE(U61,1),"")),""),"")</f>
        <v>47386</v>
      </c>
      <c r="V62" s="13">
        <f ca="1">IF(ROW()-ROW(הפחתה7[[#Headers],[יתרת פתיחה]])=1,סכום_הלוואה3,IF(הפחתה7[[#This Row],[תאריך]]="",0,INDEX(הפחתה7[], ROW()-4,8)))</f>
        <v>93497.457586383855</v>
      </c>
      <c r="W62" s="13">
        <f ca="1">IF(ValuesEntered3,IF(ROW()-ROW(הפחתה7[[#Headers],[ריבית]])=1,-IPMT(שיעור_ריבית3/12,1,תקופת_ההלוואה3-ROWS($C$4:U62)+1,הפחתה7[[#This Row],[יתרת פתיחה]]),IFERROR(-IPMT(שיעור_ריבית3/12,1,הפחתה7[[#This Row],[תשלומים
שנותרו]],V63),0)),0)</f>
        <v>178.91943359751218</v>
      </c>
      <c r="X62" s="13">
        <f ca="1">IFERROR(IF(AND(ValuesEntered3,הפחתה7[[#This Row],[תאריך]]&lt;&gt;""),-PPMT(שיעור_ריבית3/12,1,תקופת_ההלוואה3-ROWS($C$4:U62)+1,הפחתה7[[#This Row],[יתרת פתיחה]]),""),0)</f>
        <v>304.01697931131224</v>
      </c>
      <c r="Y62" s="13">
        <f ca="1">(הפחתה7[[#This Row],[יתרת פתיחה]])*(מדד3/12)</f>
        <v>155.82909597730642</v>
      </c>
      <c r="Z62" s="13">
        <f ca="1">IF(הפחתה7[[#This Row],[תאריך]]="",0,הפחתה7[[#This Row],[ריבית]]+הפחתה7[[#This Row],[קרן]]+הפחתה7[[#This Row],[מדד]])</f>
        <v>638.76550888613087</v>
      </c>
      <c r="AA62" s="13">
        <f ca="1">IF(הפחתה7[[#This Row],[תאריך]]="",0,הפחתה7[[#This Row],[יתרת פתיחה]]-הפחתה7[[#This Row],[קרן]]+הפחתה7[[#This Row],[מדד]])</f>
        <v>93349.269703049838</v>
      </c>
      <c r="AB62" s="11">
        <f ca="1">IF(הפחתה7[[#This Row],[יתרת
סגירה]]&gt;0,LastRow3-ROW(),0)</f>
        <v>241</v>
      </c>
      <c r="AC62" s="17">
        <f>ROWS($AC$4:AC62)</f>
        <v>59</v>
      </c>
      <c r="AD62" s="18" t="str">
        <f ca="1">IF(ValuesEntered4,IF(הפחתה8[[#This Row],[מס'']]&lt;=תקופת_ההלוואה4,IF(ROW()-ROW(הפחתה8[[#Headers],[תאריך]])=1,LoanStart4,IF(AJ61&gt;0,EDATE(AD61,1),"")),""),"")</f>
        <v/>
      </c>
      <c r="AE62" s="19">
        <f ca="1">IF(ROW()-ROW(הפחתה8[[#Headers],[יתרת פתיחה]])=1,סכום_הלוואה4,IF(הפחתה8[[#This Row],[תאריך]]="",0,INDEX(הפחתה8[], ROW()-4,8)))</f>
        <v>0</v>
      </c>
      <c r="AF62" s="19">
        <f ca="1">IF(ValuesEntered4,IF(ROW()-ROW(הפחתה8[[#Headers],[ריבית]])=1,-IPMT(שיעור_ריבית4/12,1,תקופת_ההלוואה4-ROWS($C$4:AD62)+1,הפחתה8[[#This Row],[יתרת פתיחה]]),IFERROR(-IPMT(שיעור_ריבית4/12,1,הפחתה8[[#This Row],[תשלומים
שנותרו]],AE63),0)),0)</f>
        <v>0</v>
      </c>
      <c r="AG62" s="19" t="str">
        <f ca="1">IFERROR(IF(AND(ValuesEntered4,הפחתה8[[#This Row],[תאריך]]&lt;&gt;""),-PPMT(שיעור_ריבית4/12,1,תקופת_ההלוואה4-ROWS($C$4:AD62)+1,הפחתה8[[#This Row],[יתרת פתיחה]]),""),0)</f>
        <v/>
      </c>
      <c r="AH62" s="19">
        <f ca="1">(הפחתה8[[#This Row],[יתרת פתיחה]])*(מדד4/12)</f>
        <v>0</v>
      </c>
      <c r="AI62" s="19">
        <f ca="1">IF(הפחתה8[[#This Row],[תאריך]]="",0,הפחתה8[[#This Row],[ריבית]]+הפחתה8[[#This Row],[קרן]]+הפחתה8[[#This Row],[מדד]])</f>
        <v>0</v>
      </c>
      <c r="AJ62" s="19">
        <f ca="1">IF(הפחתה8[[#This Row],[תאריך]]="",0,הפחתה8[[#This Row],[יתרת פתיחה]]-הפחתה8[[#This Row],[קרן]])</f>
        <v>0</v>
      </c>
      <c r="AK62" s="20">
        <f ca="1">IF(הפחתה8[[#This Row],[יתרת
סגירה]]&gt;0,LastRow4-ROW(),0)</f>
        <v>0</v>
      </c>
    </row>
    <row r="63" spans="1:37" ht="15" customHeight="1" x14ac:dyDescent="0.25">
      <c r="A63" s="8"/>
      <c r="B63" s="11">
        <f>ROWS($B$4:B63)</f>
        <v>60</v>
      </c>
      <c r="C63" s="12">
        <f>IF(ValuesEntered,IF(הפחתה[[#This Row],[מס'']]&lt;=תקופת_ההלוואה,IF(ROW()-ROW(הפחתה[[#Headers],[תאריך]])=1,LoanStart,IF(I62&gt;0,EDATE(C62,1),"")),""),"")</f>
        <v>47178</v>
      </c>
      <c r="D63" s="13">
        <f>IF(ROW()-ROW(הפחתה[[#Headers],[יתרת פתיחה]])=1,סכום_הלוואה,IF(הפחתה[[#This Row],[תאריך]]="",0,INDEX(הפחתה[], ROW()-4,8)))</f>
        <v>554159.16635564843</v>
      </c>
      <c r="E63" s="13">
        <f>IF(ValuesEntered,IF(ROW()-ROW(הפחתה[[#Headers],[ריבית]])=1,-IPMT(שיעור_ריבית/12,1,תקופת_ההלוואה-ROWS($C$4:C63)+1,הפחתה[[#This Row],[יתרת פתיחה]]),IFERROR(-IPMT(שיעור_ריבית/12,1,הפחתה[[#This Row],[תשלומים
שנותרו]],D64),0)),0)</f>
        <v>2443.6306968537256</v>
      </c>
      <c r="F63" s="13">
        <f>IFERROR(IF(AND(ValuesEntered,הפחתה[[#This Row],[תאריך]]&lt;&gt;""),-PPMT(שיעור_ריבית/12,1,תקופת_ההלוואה-ROWS($C$4:C63)+1,הפחתה[[#This Row],[יתרת פתיחה]]),""),0)</f>
        <v>884.29159631443724</v>
      </c>
      <c r="G63" s="13">
        <f>(הפחתה[[#This Row],[יתרת פתיחה]])*(מדד/12)</f>
        <v>0</v>
      </c>
      <c r="H63" s="13">
        <f>IF(הפחתה[[#This Row],[תאריך]]="",0,הפחתה[[#This Row],[ריבית]]+הפחתה[[#This Row],[קרן]]+הפחתה[[#This Row],[מדד]])</f>
        <v>3327.9222931681629</v>
      </c>
      <c r="I63" s="13">
        <f>IF(הפחתה[[#This Row],[תאריך]]="",0,הפחתה[[#This Row],[יתרת פתיחה]]-הפחתה[[#This Row],[קרן]]+הפחתה[[#This Row],[מדד]])</f>
        <v>553274.87475933402</v>
      </c>
      <c r="J63" s="11">
        <f>IF(הפחתה[[#This Row],[יתרת
סגירה]]&gt;0,LastRow-ROW(),0)</f>
        <v>300</v>
      </c>
      <c r="K63" s="11">
        <f>ROWS($K$4:K63)</f>
        <v>60</v>
      </c>
      <c r="L63" s="12">
        <f>IF(ValuesEntered2,IF(הפחתה5[[#This Row],[מס'']]&lt;=תקופת_ההלוואה2,IF(ROW()-ROW(הפחתה5[[#Headers],[תאריך]])=1,LoanStart2,IF(R62&gt;0,EDATE(L62,1),"")),""),"")</f>
        <v>47178</v>
      </c>
      <c r="M63" s="13">
        <f>IF(ROW()-ROW(הפחתה5[[#Headers],[יתרת פתיחה]])=1,סכום_הלוואה2,IF(הפחתה5[[#This Row],[תאריך]]="",0,INDEX(הפחתה5[], ROW()-4,8)))</f>
        <v>265114.98208067921</v>
      </c>
      <c r="N63" s="13">
        <f>IF(ValuesEntered2,IF(ROW()-ROW(הפחתה5[[#Headers],[ריבית]])=1,-IPMT(שיעור_ריבית2/12,1,תקופת_ההלוואה2-ROWS($L$4:L63)+1,הפחתה5[[#This Row],[יתרת פתיחה]]),IFERROR(-IPMT(שיעור_ריבית2/12,1,הפחתה5[[#This Row],[תשלומים
שנותרו]],M64),0)),0)</f>
        <v>1035.7688186613584</v>
      </c>
      <c r="O63" s="13">
        <f>IFERROR(IF(AND(ValuesEntered2,הפחתה5[[#This Row],[תאריך]]&lt;&gt;""),-PPMT(שיעור_ריבית2/12,1,תקופת_ההלוואה2-ROWS($L$4:L63)+1,הפחתה5[[#This Row],[יתרת פתיחה]]),""),0)</f>
        <v>663.36880543873281</v>
      </c>
      <c r="P63" s="13">
        <f>(הפחתה5[[#This Row],[יתרת פתיחה]])*(מדד2/12)</f>
        <v>0</v>
      </c>
      <c r="Q63" s="13">
        <f>IF(הפחתה5[[#This Row],[תאריך]]="",0,הפחתה5[[#This Row],[ריבית]]+הפחתה5[[#This Row],[קרן]]+הפחתה5[[#This Row],[מדד]])</f>
        <v>1699.1376241000912</v>
      </c>
      <c r="R63" s="13">
        <f>IF(הפחתה5[[#This Row],[תאריך]]="",0,הפחתה5[[#This Row],[יתרת פתיחה]]-הפחתה5[[#This Row],[קרן]]+הפחתה5[[#This Row],[מדד]])</f>
        <v>264451.61327524047</v>
      </c>
      <c r="S63" s="11">
        <f>IF(הפחתה5[[#This Row],[יתרת
סגירה]]&gt;0,LastRow2-ROW(),0)</f>
        <v>240</v>
      </c>
      <c r="T63" s="11">
        <f>ROWS($T$4:T63)</f>
        <v>60</v>
      </c>
      <c r="U63" s="12">
        <f ca="1">IF(ValuesEntered3,IF(הפחתה7[[#This Row],[מס'']]&lt;=תקופת_ההלוואה3,IF(ROW()-ROW(הפחתה7[[#Headers],[תאריך]])=1,LoanStart3,IF(AA62&gt;0,EDATE(U62,1),"")),""),"")</f>
        <v>47416</v>
      </c>
      <c r="V63" s="13">
        <f ca="1">IF(ROW()-ROW(הפחתה7[[#Headers],[יתרת פתיחה]])=1,סכום_הלוואה3,IF(הפחתה7[[#This Row],[תאריך]]="",0,INDEX(הפחתה7[], ROW()-4,8)))</f>
        <v>93349.269703049838</v>
      </c>
      <c r="W63" s="13">
        <f ca="1">IF(ValuesEntered3,IF(ROW()-ROW(הפחתה7[[#Headers],[ריבית]])=1,-IPMT(שיעור_ריבית3/12,1,תקופת_ההלוואה3-ROWS($C$4:U63)+1,הפחתה7[[#This Row],[יתרת פתיחה]]),IFERROR(-IPMT(שיעור_ריבית3/12,1,הפחתה7[[#This Row],[תשלומים
שנותרו]],V64),0)),0)</f>
        <v>178.63284040203553</v>
      </c>
      <c r="X63" s="13">
        <f ca="1">IFERROR(IF(AND(ValuesEntered3,הפחתה7[[#This Row],[תאריך]]&lt;&gt;""),-PPMT(שיעור_ריבית3/12,1,תקופת_ההלוואה3-ROWS($C$4:U63)+1,הפחתה7[[#This Row],[יתרת פתיחה]]),""),0)</f>
        <v>305.10900076826573</v>
      </c>
      <c r="Y63" s="13">
        <f ca="1">(הפחתה7[[#This Row],[יתרת פתיחה]])*(מדד3/12)</f>
        <v>155.58211617174973</v>
      </c>
      <c r="Z63" s="13">
        <f ca="1">IF(הפחתה7[[#This Row],[תאריך]]="",0,הפחתה7[[#This Row],[ריבית]]+הפחתה7[[#This Row],[קרן]]+הפחתה7[[#This Row],[מדד]])</f>
        <v>639.32395734205102</v>
      </c>
      <c r="AA63" s="13">
        <f ca="1">IF(הפחתה7[[#This Row],[תאריך]]="",0,הפחתה7[[#This Row],[יתרת פתיחה]]-הפחתה7[[#This Row],[קרן]]+הפחתה7[[#This Row],[מדד]])</f>
        <v>93199.74281845332</v>
      </c>
      <c r="AB63" s="11">
        <f ca="1">IF(הפחתה7[[#This Row],[יתרת
סגירה]]&gt;0,LastRow3-ROW(),0)</f>
        <v>240</v>
      </c>
      <c r="AC63" s="17">
        <f>ROWS($AC$4:AC63)</f>
        <v>60</v>
      </c>
      <c r="AD63" s="18" t="str">
        <f ca="1">IF(ValuesEntered4,IF(הפחתה8[[#This Row],[מס'']]&lt;=תקופת_ההלוואה4,IF(ROW()-ROW(הפחתה8[[#Headers],[תאריך]])=1,LoanStart4,IF(AJ62&gt;0,EDATE(AD62,1),"")),""),"")</f>
        <v/>
      </c>
      <c r="AE63" s="19">
        <f ca="1">IF(ROW()-ROW(הפחתה8[[#Headers],[יתרת פתיחה]])=1,סכום_הלוואה4,IF(הפחתה8[[#This Row],[תאריך]]="",0,INDEX(הפחתה8[], ROW()-4,8)))</f>
        <v>0</v>
      </c>
      <c r="AF63" s="19">
        <f ca="1">IF(ValuesEntered4,IF(ROW()-ROW(הפחתה8[[#Headers],[ריבית]])=1,-IPMT(שיעור_ריבית4/12,1,תקופת_ההלוואה4-ROWS($C$4:AD63)+1,הפחתה8[[#This Row],[יתרת פתיחה]]),IFERROR(-IPMT(שיעור_ריבית4/12,1,הפחתה8[[#This Row],[תשלומים
שנותרו]],AE64),0)),0)</f>
        <v>0</v>
      </c>
      <c r="AG63" s="19" t="str">
        <f ca="1">IFERROR(IF(AND(ValuesEntered4,הפחתה8[[#This Row],[תאריך]]&lt;&gt;""),-PPMT(שיעור_ריבית4/12,1,תקופת_ההלוואה4-ROWS($C$4:AD63)+1,הפחתה8[[#This Row],[יתרת פתיחה]]),""),0)</f>
        <v/>
      </c>
      <c r="AH63" s="19">
        <f ca="1">(הפחתה8[[#This Row],[יתרת פתיחה]])*(מדד4/12)</f>
        <v>0</v>
      </c>
      <c r="AI63" s="19">
        <f ca="1">IF(הפחתה8[[#This Row],[תאריך]]="",0,הפחתה8[[#This Row],[ריבית]]+הפחתה8[[#This Row],[קרן]]+הפחתה8[[#This Row],[מדד]])</f>
        <v>0</v>
      </c>
      <c r="AJ63" s="19">
        <f ca="1">IF(הפחתה8[[#This Row],[תאריך]]="",0,הפחתה8[[#This Row],[יתרת פתיחה]]-הפחתה8[[#This Row],[קרן]])</f>
        <v>0</v>
      </c>
      <c r="AK63" s="20">
        <f ca="1">IF(הפחתה8[[#This Row],[יתרת
סגירה]]&gt;0,LastRow4-ROW(),0)</f>
        <v>0</v>
      </c>
    </row>
    <row r="64" spans="1:37" ht="15" customHeight="1" x14ac:dyDescent="0.25">
      <c r="A64" s="8"/>
      <c r="B64" s="11">
        <f>ROWS($B$4:B64)</f>
        <v>61</v>
      </c>
      <c r="C64" s="12">
        <f>IF(ValuesEntered,IF(הפחתה[[#This Row],[מס'']]&lt;=תקופת_ההלוואה,IF(ROW()-ROW(הפחתה[[#Headers],[תאריך]])=1,LoanStart,IF(I63&gt;0,EDATE(C63,1),"")),""),"")</f>
        <v>47209</v>
      </c>
      <c r="D64" s="13">
        <f>IF(ROW()-ROW(הפחתה[[#Headers],[יתרת פתיחה]])=1,סכום_הלוואה,IF(הפחתה[[#This Row],[תאריך]]="",0,INDEX(הפחתה[], ROW()-4,8)))</f>
        <v>553274.87475933402</v>
      </c>
      <c r="E64" s="13">
        <f>IF(ValuesEntered,IF(ROW()-ROW(הפחתה[[#Headers],[ריבית]])=1,-IPMT(שיעור_ריבית/12,1,תקופת_ההלוואה-ROWS($C$4:C64)+1,הפחתה[[#This Row],[יתרת פתיחה]]),IFERROR(-IPMT(שיעור_ריבית/12,1,הפחתה[[#This Row],[תשלומים
שנותרו]],D65),0)),0)</f>
        <v>2439.707825809628</v>
      </c>
      <c r="F64" s="13">
        <f>IFERROR(IF(AND(ValuesEntered,הפחתה[[#This Row],[תאריך]]&lt;&gt;""),-PPMT(שיעור_ריבית/12,1,תקופת_ההלוואה-ROWS($C$4:C64)+1,הפחתה[[#This Row],[יתרת פתיחה]]),""),0)</f>
        <v>888.19721753149281</v>
      </c>
      <c r="G64" s="13">
        <f>(הפחתה[[#This Row],[יתרת פתיחה]])*(מדד/12)</f>
        <v>0</v>
      </c>
      <c r="H64" s="13">
        <f>IF(הפחתה[[#This Row],[תאריך]]="",0,הפחתה[[#This Row],[ריבית]]+הפחתה[[#This Row],[קרן]]+הפחתה[[#This Row],[מדד]])</f>
        <v>3327.9050433411207</v>
      </c>
      <c r="I64" s="13">
        <f>IF(הפחתה[[#This Row],[תאריך]]="",0,הפחתה[[#This Row],[יתרת פתיחה]]-הפחתה[[#This Row],[קרן]]+הפחתה[[#This Row],[מדד]])</f>
        <v>552386.67754180252</v>
      </c>
      <c r="J64" s="11">
        <f>IF(הפחתה[[#This Row],[יתרת
סגירה]]&gt;0,LastRow-ROW(),0)</f>
        <v>299</v>
      </c>
      <c r="K64" s="11">
        <f>ROWS($K$4:K64)</f>
        <v>61</v>
      </c>
      <c r="L64" s="12">
        <f>IF(ValuesEntered2,IF(הפחתה5[[#This Row],[מס'']]&lt;=תקופת_ההלוואה2,IF(ROW()-ROW(הפחתה5[[#Headers],[תאריך]])=1,LoanStart2,IF(R63&gt;0,EDATE(L63,1),"")),""),"")</f>
        <v>47209</v>
      </c>
      <c r="M64" s="13">
        <f>IF(ROW()-ROW(הפחתה5[[#Headers],[יתרת פתיחה]])=1,סכום_הלוואה2,IF(הפחתה5[[#This Row],[תאריך]]="",0,INDEX(הפחתה5[], ROW()-4,8)))</f>
        <v>264451.61327524047</v>
      </c>
      <c r="N64" s="13">
        <f>IF(ValuesEntered2,IF(ROW()-ROW(הפחתה5[[#Headers],[ריבית]])=1,-IPMT(שיעור_ריבית2/12,1,תקופת_ההלוואה2-ROWS($L$4:L64)+1,הפחתה5[[#This Row],[יתרת פתיחה]]),IFERROR(-IPMT(שיעור_ריבית2/12,1,הפחתה5[[#This Row],[תשלומים
שנותרו]],M65),0)),0)</f>
        <v>1033.1604479116454</v>
      </c>
      <c r="O64" s="13">
        <f>IFERROR(IF(AND(ValuesEntered2,הפחתה5[[#This Row],[תאריך]]&lt;&gt;""),-PPMT(שיעור_ריבית2/12,1,תקופת_ההלוואה2-ROWS($L$4:L64)+1,הפחתה5[[#This Row],[יתרת פתיחה]]),""),0)</f>
        <v>665.96699992670108</v>
      </c>
      <c r="P64" s="13">
        <f>(הפחתה5[[#This Row],[יתרת פתיחה]])*(מדד2/12)</f>
        <v>0</v>
      </c>
      <c r="Q64" s="13">
        <f>IF(הפחתה5[[#This Row],[תאריך]]="",0,הפחתה5[[#This Row],[ריבית]]+הפחתה5[[#This Row],[קרן]]+הפחתה5[[#This Row],[מדד]])</f>
        <v>1699.1274478383466</v>
      </c>
      <c r="R64" s="13">
        <f>IF(הפחתה5[[#This Row],[תאריך]]="",0,הפחתה5[[#This Row],[יתרת פתיחה]]-הפחתה5[[#This Row],[קרן]]+הפחתה5[[#This Row],[מדד]])</f>
        <v>263785.64627531375</v>
      </c>
      <c r="S64" s="11">
        <f>IF(הפחתה5[[#This Row],[יתרת
סגירה]]&gt;0,LastRow2-ROW(),0)</f>
        <v>239</v>
      </c>
      <c r="T64" s="11">
        <f>ROWS($T$4:T64)</f>
        <v>61</v>
      </c>
      <c r="U64" s="12">
        <f ca="1">IF(ValuesEntered3,IF(הפחתה7[[#This Row],[מס'']]&lt;=תקופת_ההלוואה3,IF(ROW()-ROW(הפחתה7[[#Headers],[תאריך]])=1,LoanStart3,IF(AA63&gt;0,EDATE(U63,1),"")),""),"")</f>
        <v>47447</v>
      </c>
      <c r="V64" s="13">
        <f ca="1">IF(ROW()-ROW(הפחתה7[[#Headers],[יתרת פתיחה]])=1,סכום_הלוואה3,IF(הפחתה7[[#This Row],[תאריך]]="",0,INDEX(הפחתה7[], ROW()-4,8)))</f>
        <v>93199.74281845332</v>
      </c>
      <c r="W64" s="13">
        <f ca="1">IF(ValuesEntered3,IF(ROW()-ROW(הפחתה7[[#Headers],[ריבית]])=1,-IPMT(שיעור_ריבית3/12,1,תקופת_ההלוואה3-ROWS($C$4:U64)+1,הפחתה7[[#This Row],[יתרת פתיחה]]),IFERROR(-IPMT(שיעור_ריבית3/12,1,הפחתה7[[#This Row],[תשלומים
שנותרו]],V65),0)),0)</f>
        <v>178.34366897538334</v>
      </c>
      <c r="X64" s="13">
        <f ca="1">IFERROR(IF(AND(ValuesEntered3,הפחתה7[[#This Row],[תאריך]]&lt;&gt;""),-PPMT(שיעור_ריבית3/12,1,תקופת_ההלוואה3-ROWS($C$4:U64)+1,הפחתה7[[#This Row],[יתרת פתיחה]]),""),0)</f>
        <v>306.20495338552155</v>
      </c>
      <c r="Y64" s="13">
        <f ca="1">(הפחתה7[[#This Row],[יתרת פתיחה]])*(מדד3/12)</f>
        <v>155.33290469742221</v>
      </c>
      <c r="Z64" s="13">
        <f ca="1">IF(הפחתה7[[#This Row],[תאריך]]="",0,הפחתה7[[#This Row],[ריבית]]+הפחתה7[[#This Row],[קרן]]+הפחתה7[[#This Row],[מדד]])</f>
        <v>639.88152705832715</v>
      </c>
      <c r="AA64" s="13">
        <f ca="1">IF(הפחתה7[[#This Row],[תאריך]]="",0,הפחתה7[[#This Row],[יתרת פתיחה]]-הפחתה7[[#This Row],[קרן]]+הפחתה7[[#This Row],[מדד]])</f>
        <v>93048.870769765228</v>
      </c>
      <c r="AB64" s="11">
        <f ca="1">IF(הפחתה7[[#This Row],[יתרת
סגירה]]&gt;0,LastRow3-ROW(),0)</f>
        <v>239</v>
      </c>
      <c r="AC64" s="17">
        <f>ROWS($AC$4:AC64)</f>
        <v>61</v>
      </c>
      <c r="AD64" s="18" t="str">
        <f ca="1">IF(ValuesEntered4,IF(הפחתה8[[#This Row],[מס'']]&lt;=תקופת_ההלוואה4,IF(ROW()-ROW(הפחתה8[[#Headers],[תאריך]])=1,LoanStart4,IF(AJ63&gt;0,EDATE(AD63,1),"")),""),"")</f>
        <v/>
      </c>
      <c r="AE64" s="19">
        <f ca="1">IF(ROW()-ROW(הפחתה8[[#Headers],[יתרת פתיחה]])=1,סכום_הלוואה4,IF(הפחתה8[[#This Row],[תאריך]]="",0,INDEX(הפחתה8[], ROW()-4,8)))</f>
        <v>0</v>
      </c>
      <c r="AF64" s="19">
        <f ca="1">IF(ValuesEntered4,IF(ROW()-ROW(הפחתה8[[#Headers],[ריבית]])=1,-IPMT(שיעור_ריבית4/12,1,תקופת_ההלוואה4-ROWS($C$4:AD64)+1,הפחתה8[[#This Row],[יתרת פתיחה]]),IFERROR(-IPMT(שיעור_ריבית4/12,1,הפחתה8[[#This Row],[תשלומים
שנותרו]],AE65),0)),0)</f>
        <v>0</v>
      </c>
      <c r="AG64" s="19" t="str">
        <f ca="1">IFERROR(IF(AND(ValuesEntered4,הפחתה8[[#This Row],[תאריך]]&lt;&gt;""),-PPMT(שיעור_ריבית4/12,1,תקופת_ההלוואה4-ROWS($C$4:AD64)+1,הפחתה8[[#This Row],[יתרת פתיחה]]),""),0)</f>
        <v/>
      </c>
      <c r="AH64" s="19">
        <f ca="1">(הפחתה8[[#This Row],[יתרת פתיחה]])*(מדד4/12)</f>
        <v>0</v>
      </c>
      <c r="AI64" s="19">
        <f ca="1">IF(הפחתה8[[#This Row],[תאריך]]="",0,הפחתה8[[#This Row],[ריבית]]+הפחתה8[[#This Row],[קרן]]+הפחתה8[[#This Row],[מדד]])</f>
        <v>0</v>
      </c>
      <c r="AJ64" s="19">
        <f ca="1">IF(הפחתה8[[#This Row],[תאריך]]="",0,הפחתה8[[#This Row],[יתרת פתיחה]]-הפחתה8[[#This Row],[קרן]])</f>
        <v>0</v>
      </c>
      <c r="AK64" s="20">
        <f ca="1">IF(הפחתה8[[#This Row],[יתרת
סגירה]]&gt;0,LastRow4-ROW(),0)</f>
        <v>0</v>
      </c>
    </row>
    <row r="65" spans="1:37" ht="15" customHeight="1" x14ac:dyDescent="0.25">
      <c r="A65" s="8"/>
      <c r="B65" s="11">
        <f>ROWS($B$4:B65)</f>
        <v>62</v>
      </c>
      <c r="C65" s="12">
        <f>IF(ValuesEntered,IF(הפחתה[[#This Row],[מס'']]&lt;=תקופת_ההלוואה,IF(ROW()-ROW(הפחתה[[#Headers],[תאריך]])=1,LoanStart,IF(I64&gt;0,EDATE(C64,1),"")),""),"")</f>
        <v>47239</v>
      </c>
      <c r="D65" s="13">
        <f>IF(ROW()-ROW(הפחתה[[#Headers],[יתרת פתיחה]])=1,סכום_הלוואה,IF(הפחתה[[#This Row],[תאריך]]="",0,INDEX(הפחתה[], ROW()-4,8)))</f>
        <v>552386.67754180252</v>
      </c>
      <c r="E65" s="13">
        <f>IF(ValuesEntered,IF(ROW()-ROW(הפחתה[[#Headers],[ריבית]])=1,-IPMT(שיעור_ריבית/12,1,תקופת_ההלוואה-ROWS($C$4:C65)+1,הפחתה[[#This Row],[יתרת פתיחה]]),IFERROR(-IPMT(שיעור_ריבית/12,1,הפחתה[[#This Row],[תשלומים
שנותרו]],D66),0)),0)</f>
        <v>2435.767628751752</v>
      </c>
      <c r="F65" s="13">
        <f>IFERROR(IF(AND(ValuesEntered,הפחתה[[#This Row],[תאריך]]&lt;&gt;""),-PPMT(שיעור_ריבית/12,1,תקופת_ההלוואה-ROWS($C$4:C65)+1,הפחתה[[#This Row],[יתרת פתיחה]]),""),0)</f>
        <v>892.1200885755901</v>
      </c>
      <c r="G65" s="13">
        <f>(הפחתה[[#This Row],[יתרת פתיחה]])*(מדד/12)</f>
        <v>0</v>
      </c>
      <c r="H65" s="13">
        <f>IF(הפחתה[[#This Row],[תאריך]]="",0,הפחתה[[#This Row],[ריבית]]+הפחתה[[#This Row],[קרן]]+הפחתה[[#This Row],[מדד]])</f>
        <v>3327.8877173273422</v>
      </c>
      <c r="I65" s="13">
        <f>IF(הפחתה[[#This Row],[תאריך]]="",0,הפחתה[[#This Row],[יתרת פתיחה]]-הפחתה[[#This Row],[קרן]]+הפחתה[[#This Row],[מדד]])</f>
        <v>551494.55745322688</v>
      </c>
      <c r="J65" s="11">
        <f>IF(הפחתה[[#This Row],[יתרת
סגירה]]&gt;0,LastRow-ROW(),0)</f>
        <v>298</v>
      </c>
      <c r="K65" s="11">
        <f>ROWS($K$4:K65)</f>
        <v>62</v>
      </c>
      <c r="L65" s="12">
        <f>IF(ValuesEntered2,IF(הפחתה5[[#This Row],[מס'']]&lt;=תקופת_ההלוואה2,IF(ROW()-ROW(הפחתה5[[#Headers],[תאריך]])=1,LoanStart2,IF(R64&gt;0,EDATE(L64,1),"")),""),"")</f>
        <v>47239</v>
      </c>
      <c r="M65" s="13">
        <f>IF(ROW()-ROW(הפחתה5[[#Headers],[יתרת פתיחה]])=1,סכום_הלוואה2,IF(הפחתה5[[#This Row],[תאריך]]="",0,INDEX(הפחתה5[], ROW()-4,8)))</f>
        <v>263785.64627531375</v>
      </c>
      <c r="N65" s="13">
        <f>IF(ValuesEntered2,IF(ROW()-ROW(הפחתה5[[#Headers],[ריבית]])=1,-IPMT(שיעור_ריבית2/12,1,תקופת_ההלוואה2-ROWS($L$4:L65)+1,הפחתה5[[#This Row],[יתרת פתיחה]]),IFERROR(-IPMT(שיעור_ריבית2/12,1,הפחתה5[[#This Row],[תשלומים
שנותרו]],M66),0)),0)</f>
        <v>1030.5418610431627</v>
      </c>
      <c r="O65" s="13">
        <f>IFERROR(IF(AND(ValuesEntered2,הפחתה5[[#This Row],[תאריך]]&lt;&gt;""),-PPMT(שיעור_ריבית2/12,1,תקופת_ההלוואה2-ROWS($L$4:L65)+1,הפחתה5[[#This Row],[יתרת פתיחה]]),""),0)</f>
        <v>668.57537067641397</v>
      </c>
      <c r="P65" s="13">
        <f>(הפחתה5[[#This Row],[יתרת פתיחה]])*(מדד2/12)</f>
        <v>0</v>
      </c>
      <c r="Q65" s="13">
        <f>IF(הפחתה5[[#This Row],[תאריך]]="",0,הפחתה5[[#This Row],[ריבית]]+הפחתה5[[#This Row],[קרן]]+הפחתה5[[#This Row],[מדד]])</f>
        <v>1699.1172317195767</v>
      </c>
      <c r="R65" s="13">
        <f>IF(הפחתה5[[#This Row],[תאריך]]="",0,הפחתה5[[#This Row],[יתרת פתיחה]]-הפחתה5[[#This Row],[קרן]]+הפחתה5[[#This Row],[מדד]])</f>
        <v>263117.07090463734</v>
      </c>
      <c r="S65" s="11">
        <f>IF(הפחתה5[[#This Row],[יתרת
סגירה]]&gt;0,LastRow2-ROW(),0)</f>
        <v>238</v>
      </c>
      <c r="T65" s="11">
        <f>ROWS($T$4:T65)</f>
        <v>62</v>
      </c>
      <c r="U65" s="12">
        <f ca="1">IF(ValuesEntered3,IF(הפחתה7[[#This Row],[מס'']]&lt;=תקופת_ההלוואה3,IF(ROW()-ROW(הפחתה7[[#Headers],[תאריך]])=1,LoanStart3,IF(AA64&gt;0,EDATE(U64,1),"")),""),"")</f>
        <v>47477</v>
      </c>
      <c r="V65" s="13">
        <f ca="1">IF(ROW()-ROW(הפחתה7[[#Headers],[יתרת פתיחה]])=1,סכום_הלוואה3,IF(הפחתה7[[#This Row],[תאריך]]="",0,INDEX(הפחתה7[], ROW()-4,8)))</f>
        <v>93048.870769765228</v>
      </c>
      <c r="W65" s="13">
        <f ca="1">IF(ValuesEntered3,IF(ROW()-ROW(הפחתה7[[#Headers],[ריבית]])=1,-IPMT(שיעור_ריבית3/12,1,תקופת_ההלוואה3-ROWS($C$4:U65)+1,הפחתה7[[#This Row],[יתרת פתיחה]]),IFERROR(-IPMT(שיעור_ריבית3/12,1,הפחתה7[[#This Row],[תשלומים
שנותרו]],V66),0)),0)</f>
        <v>178.05190745845454</v>
      </c>
      <c r="X65" s="13">
        <f ca="1">IFERROR(IF(AND(ValuesEntered3,הפחתה7[[#This Row],[תאריך]]&lt;&gt;""),-PPMT(שיעור_ריבית3/12,1,תקופת_ההלוואה3-ROWS($C$4:U65)+1,הפחתה7[[#This Row],[יתרת פתיחה]]),""),0)</f>
        <v>307.30485141971775</v>
      </c>
      <c r="Y65" s="13">
        <f ca="1">(הפחתה7[[#This Row],[יתרת פתיחה]])*(מדד3/12)</f>
        <v>155.08145128294206</v>
      </c>
      <c r="Z65" s="13">
        <f ca="1">IF(הפחתה7[[#This Row],[תאריך]]="",0,הפחתה7[[#This Row],[ריבית]]+הפחתה7[[#This Row],[קרן]]+הפחתה7[[#This Row],[מדד]])</f>
        <v>640.43821016111428</v>
      </c>
      <c r="AA65" s="13">
        <f ca="1">IF(הפחתה7[[#This Row],[תאריך]]="",0,הפחתה7[[#This Row],[יתרת פתיחה]]-הפחתה7[[#This Row],[קרן]]+הפחתה7[[#This Row],[מדד]])</f>
        <v>92896.647369628452</v>
      </c>
      <c r="AB65" s="11">
        <f ca="1">IF(הפחתה7[[#This Row],[יתרת
סגירה]]&gt;0,LastRow3-ROW(),0)</f>
        <v>238</v>
      </c>
      <c r="AC65" s="17">
        <f>ROWS($AC$4:AC65)</f>
        <v>62</v>
      </c>
      <c r="AD65" s="18" t="str">
        <f ca="1">IF(ValuesEntered4,IF(הפחתה8[[#This Row],[מס'']]&lt;=תקופת_ההלוואה4,IF(ROW()-ROW(הפחתה8[[#Headers],[תאריך]])=1,LoanStart4,IF(AJ64&gt;0,EDATE(AD64,1),"")),""),"")</f>
        <v/>
      </c>
      <c r="AE65" s="19">
        <f ca="1">IF(ROW()-ROW(הפחתה8[[#Headers],[יתרת פתיחה]])=1,סכום_הלוואה4,IF(הפחתה8[[#This Row],[תאריך]]="",0,INDEX(הפחתה8[], ROW()-4,8)))</f>
        <v>0</v>
      </c>
      <c r="AF65" s="19">
        <f ca="1">IF(ValuesEntered4,IF(ROW()-ROW(הפחתה8[[#Headers],[ריבית]])=1,-IPMT(שיעור_ריבית4/12,1,תקופת_ההלוואה4-ROWS($C$4:AD65)+1,הפחתה8[[#This Row],[יתרת פתיחה]]),IFERROR(-IPMT(שיעור_ריבית4/12,1,הפחתה8[[#This Row],[תשלומים
שנותרו]],AE66),0)),0)</f>
        <v>0</v>
      </c>
      <c r="AG65" s="19" t="str">
        <f ca="1">IFERROR(IF(AND(ValuesEntered4,הפחתה8[[#This Row],[תאריך]]&lt;&gt;""),-PPMT(שיעור_ריבית4/12,1,תקופת_ההלוואה4-ROWS($C$4:AD65)+1,הפחתה8[[#This Row],[יתרת פתיחה]]),""),0)</f>
        <v/>
      </c>
      <c r="AH65" s="19">
        <f ca="1">(הפחתה8[[#This Row],[יתרת פתיחה]])*(מדד4/12)</f>
        <v>0</v>
      </c>
      <c r="AI65" s="19">
        <f ca="1">IF(הפחתה8[[#This Row],[תאריך]]="",0,הפחתה8[[#This Row],[ריבית]]+הפחתה8[[#This Row],[קרן]]+הפחתה8[[#This Row],[מדד]])</f>
        <v>0</v>
      </c>
      <c r="AJ65" s="19">
        <f ca="1">IF(הפחתה8[[#This Row],[תאריך]]="",0,הפחתה8[[#This Row],[יתרת פתיחה]]-הפחתה8[[#This Row],[קרן]])</f>
        <v>0</v>
      </c>
      <c r="AK65" s="20">
        <f ca="1">IF(הפחתה8[[#This Row],[יתרת
סגירה]]&gt;0,LastRow4-ROW(),0)</f>
        <v>0</v>
      </c>
    </row>
    <row r="66" spans="1:37" ht="15" customHeight="1" x14ac:dyDescent="0.25">
      <c r="A66" s="8"/>
      <c r="B66" s="11">
        <f>ROWS($B$4:B66)</f>
        <v>63</v>
      </c>
      <c r="C66" s="12">
        <f>IF(ValuesEntered,IF(הפחתה[[#This Row],[מס'']]&lt;=תקופת_ההלוואה,IF(ROW()-ROW(הפחתה[[#Headers],[תאריך]])=1,LoanStart,IF(I65&gt;0,EDATE(C65,1),"")),""),"")</f>
        <v>47270</v>
      </c>
      <c r="D66" s="13">
        <f>IF(ROW()-ROW(הפחתה[[#Headers],[יתרת פתיחה]])=1,סכום_הלוואה,IF(הפחתה[[#This Row],[תאריך]]="",0,INDEX(הפחתה[], ROW()-4,8)))</f>
        <v>551494.55745322688</v>
      </c>
      <c r="E66" s="13">
        <f>IF(ValuesEntered,IF(ROW()-ROW(הפחתה[[#Headers],[ריבית]])=1,-IPMT(שיעור_ריבית/12,1,תקופת_ההלוואה-ROWS($C$4:C66)+1,הפחתה[[#This Row],[יתרת פתיחה]]),IFERROR(-IPMT(שיעור_ריבית/12,1,הפחתה[[#This Row],[תשלומים
שנותרו]],D67),0)),0)</f>
        <v>2431.8100291568712</v>
      </c>
      <c r="F66" s="13">
        <f>IFERROR(IF(AND(ValuesEntered,הפחתה[[#This Row],[תאריך]]&lt;&gt;""),-PPMT(שיעור_ריבית/12,1,תקופת_ההלוואה-ROWS($C$4:C66)+1,הפחתה[[#This Row],[יתרת פתיחה]]),""),0)</f>
        <v>896.0602856334657</v>
      </c>
      <c r="G66" s="13">
        <f>(הפחתה[[#This Row],[יתרת פתיחה]])*(מדד/12)</f>
        <v>0</v>
      </c>
      <c r="H66" s="13">
        <f>IF(הפחתה[[#This Row],[תאריך]]="",0,הפחתה[[#This Row],[ריבית]]+הפחתה[[#This Row],[קרן]]+הפחתה[[#This Row],[מדד]])</f>
        <v>3327.870314790337</v>
      </c>
      <c r="I66" s="13">
        <f>IF(הפחתה[[#This Row],[תאריך]]="",0,הפחתה[[#This Row],[יתרת פתיחה]]-הפחתה[[#This Row],[קרן]]+הפחתה[[#This Row],[מדד]])</f>
        <v>550598.49716759345</v>
      </c>
      <c r="J66" s="11">
        <f>IF(הפחתה[[#This Row],[יתרת
סגירה]]&gt;0,LastRow-ROW(),0)</f>
        <v>297</v>
      </c>
      <c r="K66" s="11">
        <f>ROWS($K$4:K66)</f>
        <v>63</v>
      </c>
      <c r="L66" s="12">
        <f>IF(ValuesEntered2,IF(הפחתה5[[#This Row],[מס'']]&lt;=תקופת_ההלוואה2,IF(ROW()-ROW(הפחתה5[[#Headers],[תאריך]])=1,LoanStart2,IF(R65&gt;0,EDATE(L65,1),"")),""),"")</f>
        <v>47270</v>
      </c>
      <c r="M66" s="13">
        <f>IF(ROW()-ROW(הפחתה5[[#Headers],[יתרת פתיחה]])=1,סכום_הלוואה2,IF(הפחתה5[[#This Row],[תאריך]]="",0,INDEX(הפחתה5[], ROW()-4,8)))</f>
        <v>263117.07090463734</v>
      </c>
      <c r="N66" s="13">
        <f>IF(ValuesEntered2,IF(ROW()-ROW(הפחתה5[[#Headers],[ריבית]])=1,-IPMT(שיעור_ריבית2/12,1,תקופת_ההלוואה2-ROWS($L$4:L66)+1,הפחתה5[[#This Row],[יתרת פתיחה]]),IFERROR(-IPMT(שיעור_ריבית2/12,1,הפחתה5[[#This Row],[תשלומים
שנותרו]],M67),0)),0)</f>
        <v>1027.9130180427785</v>
      </c>
      <c r="O66" s="13">
        <f>IFERROR(IF(AND(ValuesEntered2,הפחתה5[[#This Row],[תאריך]]&lt;&gt;""),-PPMT(שיעור_ריבית2/12,1,תקופת_ההלוואה2-ROWS($L$4:L66)+1,הפחתה5[[#This Row],[יתרת פתיחה]]),""),0)</f>
        <v>671.19395754489642</v>
      </c>
      <c r="P66" s="13">
        <f>(הפחתה5[[#This Row],[יתרת פתיחה]])*(מדד2/12)</f>
        <v>0</v>
      </c>
      <c r="Q66" s="13">
        <f>IF(הפחתה5[[#This Row],[תאריך]]="",0,הפחתה5[[#This Row],[ריבית]]+הפחתה5[[#This Row],[קרן]]+הפחתה5[[#This Row],[מדד]])</f>
        <v>1699.1069755876749</v>
      </c>
      <c r="R66" s="13">
        <f>IF(הפחתה5[[#This Row],[תאריך]]="",0,הפחתה5[[#This Row],[יתרת פתיחה]]-הפחתה5[[#This Row],[קרן]]+הפחתה5[[#This Row],[מדד]])</f>
        <v>262445.87694709242</v>
      </c>
      <c r="S66" s="11">
        <f>IF(הפחתה5[[#This Row],[יתרת
סגירה]]&gt;0,LastRow2-ROW(),0)</f>
        <v>237</v>
      </c>
      <c r="T66" s="11">
        <f>ROWS($T$4:T66)</f>
        <v>63</v>
      </c>
      <c r="U66" s="12">
        <f ca="1">IF(ValuesEntered3,IF(הפחתה7[[#This Row],[מס'']]&lt;=תקופת_ההלוואה3,IF(ROW()-ROW(הפחתה7[[#Headers],[תאריך]])=1,LoanStart3,IF(AA65&gt;0,EDATE(U65,1),"")),""),"")</f>
        <v>47508</v>
      </c>
      <c r="V66" s="13">
        <f ca="1">IF(ROW()-ROW(הפחתה7[[#Headers],[יתרת פתיחה]])=1,סכום_הלוואה3,IF(הפחתה7[[#This Row],[תאריך]]="",0,INDEX(הפחתה7[], ROW()-4,8)))</f>
        <v>92896.647369628452</v>
      </c>
      <c r="W66" s="13">
        <f ca="1">IF(ValuesEntered3,IF(ROW()-ROW(הפחתה7[[#Headers],[ריבית]])=1,-IPMT(שיעור_ריבית3/12,1,תקופת_ההלוואה3-ROWS($C$4:U66)+1,הפחתה7[[#This Row],[יתרת פתיחה]]),IFERROR(-IPMT(שיעור_ריבית3/12,1,הפחתה7[[#This Row],[תשלומים
שנותרו]],V67),0)),0)</f>
        <v>177.75754394495544</v>
      </c>
      <c r="X66" s="13">
        <f ca="1">IFERROR(IF(AND(ValuesEntered3,הפחתה7[[#This Row],[תאריך]]&lt;&gt;""),-PPMT(שיעור_ריבית3/12,1,תקופת_ההלוואה3-ROWS($C$4:U66)+1,הפחתה7[[#This Row],[יתרת פתיחה]]),""),0)</f>
        <v>308.40870918076871</v>
      </c>
      <c r="Y66" s="13">
        <f ca="1">(הפחתה7[[#This Row],[יתרת פתיחה]])*(מדד3/12)</f>
        <v>154.82774561604742</v>
      </c>
      <c r="Z66" s="13">
        <f ca="1">IF(הפחתה7[[#This Row],[תאריך]]="",0,הפחתה7[[#This Row],[ריבית]]+הפחתה7[[#This Row],[קרן]]+הפחתה7[[#This Row],[מדד]])</f>
        <v>640.99399874177152</v>
      </c>
      <c r="AA66" s="13">
        <f ca="1">IF(הפחתה7[[#This Row],[תאריך]]="",0,הפחתה7[[#This Row],[יתרת פתיחה]]-הפחתה7[[#This Row],[קרן]]+הפחתה7[[#This Row],[מדד]])</f>
        <v>92743.066406063721</v>
      </c>
      <c r="AB66" s="11">
        <f ca="1">IF(הפחתה7[[#This Row],[יתרת
סגירה]]&gt;0,LastRow3-ROW(),0)</f>
        <v>237</v>
      </c>
      <c r="AC66" s="17">
        <f>ROWS($AC$4:AC66)</f>
        <v>63</v>
      </c>
      <c r="AD66" s="18" t="str">
        <f ca="1">IF(ValuesEntered4,IF(הפחתה8[[#This Row],[מס'']]&lt;=תקופת_ההלוואה4,IF(ROW()-ROW(הפחתה8[[#Headers],[תאריך]])=1,LoanStart4,IF(AJ65&gt;0,EDATE(AD65,1),"")),""),"")</f>
        <v/>
      </c>
      <c r="AE66" s="19">
        <f ca="1">IF(ROW()-ROW(הפחתה8[[#Headers],[יתרת פתיחה]])=1,סכום_הלוואה4,IF(הפחתה8[[#This Row],[תאריך]]="",0,INDEX(הפחתה8[], ROW()-4,8)))</f>
        <v>0</v>
      </c>
      <c r="AF66" s="19">
        <f ca="1">IF(ValuesEntered4,IF(ROW()-ROW(הפחתה8[[#Headers],[ריבית]])=1,-IPMT(שיעור_ריבית4/12,1,תקופת_ההלוואה4-ROWS($C$4:AD66)+1,הפחתה8[[#This Row],[יתרת פתיחה]]),IFERROR(-IPMT(שיעור_ריבית4/12,1,הפחתה8[[#This Row],[תשלומים
שנותרו]],AE67),0)),0)</f>
        <v>0</v>
      </c>
      <c r="AG66" s="19" t="str">
        <f ca="1">IFERROR(IF(AND(ValuesEntered4,הפחתה8[[#This Row],[תאריך]]&lt;&gt;""),-PPMT(שיעור_ריבית4/12,1,תקופת_ההלוואה4-ROWS($C$4:AD66)+1,הפחתה8[[#This Row],[יתרת פתיחה]]),""),0)</f>
        <v/>
      </c>
      <c r="AH66" s="19">
        <f ca="1">(הפחתה8[[#This Row],[יתרת פתיחה]])*(מדד4/12)</f>
        <v>0</v>
      </c>
      <c r="AI66" s="19">
        <f ca="1">IF(הפחתה8[[#This Row],[תאריך]]="",0,הפחתה8[[#This Row],[ריבית]]+הפחתה8[[#This Row],[קרן]]+הפחתה8[[#This Row],[מדד]])</f>
        <v>0</v>
      </c>
      <c r="AJ66" s="19">
        <f ca="1">IF(הפחתה8[[#This Row],[תאריך]]="",0,הפחתה8[[#This Row],[יתרת פתיחה]]-הפחתה8[[#This Row],[קרן]])</f>
        <v>0</v>
      </c>
      <c r="AK66" s="20">
        <f ca="1">IF(הפחתה8[[#This Row],[יתרת
סגירה]]&gt;0,LastRow4-ROW(),0)</f>
        <v>0</v>
      </c>
    </row>
    <row r="67" spans="1:37" ht="15" customHeight="1" x14ac:dyDescent="0.25">
      <c r="A67" s="8"/>
      <c r="B67" s="11">
        <f>ROWS($B$4:B67)</f>
        <v>64</v>
      </c>
      <c r="C67" s="12">
        <f>IF(ValuesEntered,IF(הפחתה[[#This Row],[מס'']]&lt;=תקופת_ההלוואה,IF(ROW()-ROW(הפחתה[[#Headers],[תאריך]])=1,LoanStart,IF(I66&gt;0,EDATE(C66,1),"")),""),"")</f>
        <v>47300</v>
      </c>
      <c r="D67" s="13">
        <f>IF(ROW()-ROW(הפחתה[[#Headers],[יתרת פתיחה]])=1,סכום_הלוואה,IF(הפחתה[[#This Row],[תאריך]]="",0,INDEX(הפחתה[], ROW()-4,8)))</f>
        <v>550598.49716759345</v>
      </c>
      <c r="E67" s="13">
        <f>IF(ValuesEntered,IF(ROW()-ROW(הפחתה[[#Headers],[ריבית]])=1,-IPMT(שיעור_ריבית/12,1,תקופת_ההלוואה-ROWS($C$4:C67)+1,הפחתה[[#This Row],[יתרת פתיחה]]),IFERROR(-IPMT(שיעור_ריבית/12,1,הפחתה[[#This Row],[תשלומים
שנותרו]],D68),0)),0)</f>
        <v>2427.834950163779</v>
      </c>
      <c r="F67" s="13">
        <f>IFERROR(IF(AND(ValuesEntered,הפחתה[[#This Row],[תאריך]]&lt;&gt;""),-PPMT(שיעור_ריבית/12,1,תקופת_ההלוואה-ROWS($C$4:C67)+1,הפחתה[[#This Row],[יתרת פתיחה]]),""),0)</f>
        <v>900.01788522834681</v>
      </c>
      <c r="G67" s="13">
        <f>(הפחתה[[#This Row],[יתרת פתיחה]])*(מדד/12)</f>
        <v>0</v>
      </c>
      <c r="H67" s="13">
        <f>IF(הפחתה[[#This Row],[תאריך]]="",0,הפחתה[[#This Row],[ריבית]]+הפחתה[[#This Row],[קרן]]+הפחתה[[#This Row],[מדד]])</f>
        <v>3327.8528353921256</v>
      </c>
      <c r="I67" s="13">
        <f>IF(הפחתה[[#This Row],[תאריך]]="",0,הפחתה[[#This Row],[יתרת פתיחה]]-הפחתה[[#This Row],[קרן]]+הפחתה[[#This Row],[מדד]])</f>
        <v>549698.47928236506</v>
      </c>
      <c r="J67" s="11">
        <f>IF(הפחתה[[#This Row],[יתרת
סגירה]]&gt;0,LastRow-ROW(),0)</f>
        <v>296</v>
      </c>
      <c r="K67" s="11">
        <f>ROWS($K$4:K67)</f>
        <v>64</v>
      </c>
      <c r="L67" s="12">
        <f>IF(ValuesEntered2,IF(הפחתה5[[#This Row],[מס'']]&lt;=תקופת_ההלוואה2,IF(ROW()-ROW(הפחתה5[[#Headers],[תאריך]])=1,LoanStart2,IF(R66&gt;0,EDATE(L66,1),"")),""),"")</f>
        <v>47300</v>
      </c>
      <c r="M67" s="13">
        <f>IF(ROW()-ROW(הפחתה5[[#Headers],[יתרת פתיחה]])=1,סכום_הלוואה2,IF(הפחתה5[[#This Row],[תאריך]]="",0,INDEX(הפחתה5[], ROW()-4,8)))</f>
        <v>262445.87694709242</v>
      </c>
      <c r="N67" s="13">
        <f>IF(ValuesEntered2,IF(ROW()-ROW(הפחתה5[[#Headers],[ריבית]])=1,-IPMT(שיעור_ריבית2/12,1,תקופת_ההלוואה2-ROWS($L$4:L67)+1,הפחתה5[[#This Row],[יתרת פתיחה]]),IFERROR(-IPMT(שיעור_ריבית2/12,1,הפחתה5[[#This Row],[תשלומים
שנותרו]],M68),0)),0)</f>
        <v>1025.2738787406429</v>
      </c>
      <c r="O67" s="13">
        <f>IFERROR(IF(AND(ValuesEntered2,הפחתה5[[#This Row],[תאריך]]&lt;&gt;""),-PPMT(שיעור_ריבית2/12,1,תקופת_ההלוואה2-ROWS($L$4:L67)+1,הפחתה5[[#This Row],[יתרת פתיחה]]),""),0)</f>
        <v>673.82280054528087</v>
      </c>
      <c r="P67" s="13">
        <f>(הפחתה5[[#This Row],[יתרת פתיחה]])*(מדד2/12)</f>
        <v>0</v>
      </c>
      <c r="Q67" s="13">
        <f>IF(הפחתה5[[#This Row],[תאריך]]="",0,הפחתה5[[#This Row],[ריבית]]+הפחתה5[[#This Row],[קרן]]+הפחתה5[[#This Row],[מדד]])</f>
        <v>1699.0966792859238</v>
      </c>
      <c r="R67" s="13">
        <f>IF(הפחתה5[[#This Row],[תאריך]]="",0,הפחתה5[[#This Row],[יתרת פתיחה]]-הפחתה5[[#This Row],[קרן]]+הפחתה5[[#This Row],[מדד]])</f>
        <v>261772.05414654713</v>
      </c>
      <c r="S67" s="11">
        <f>IF(הפחתה5[[#This Row],[יתרת
סגירה]]&gt;0,LastRow2-ROW(),0)</f>
        <v>236</v>
      </c>
      <c r="T67" s="11">
        <f>ROWS($T$4:T67)</f>
        <v>64</v>
      </c>
      <c r="U67" s="12">
        <f ca="1">IF(ValuesEntered3,IF(הפחתה7[[#This Row],[מס'']]&lt;=תקופת_ההלוואה3,IF(ROW()-ROW(הפחתה7[[#Headers],[תאריך]])=1,LoanStart3,IF(AA66&gt;0,EDATE(U66,1),"")),""),"")</f>
        <v>47539</v>
      </c>
      <c r="V67" s="13">
        <f ca="1">IF(ROW()-ROW(הפחתה7[[#Headers],[יתרת פתיחה]])=1,סכום_הלוואה3,IF(הפחתה7[[#This Row],[תאריך]]="",0,INDEX(הפחתה7[], ROW()-4,8)))</f>
        <v>92743.066406063721</v>
      </c>
      <c r="W67" s="13">
        <f ca="1">IF(ValuesEntered3,IF(ROW()-ROW(הפחתה7[[#Headers],[ריבית]])=1,-IPMT(שיעור_ריבית3/12,1,תקופת_ההלוואה3-ROWS($C$4:U67)+1,הפחתה7[[#This Row],[יתרת פתיחה]]),IFERROR(-IPMT(שיעור_ריבית3/12,1,הפחתה7[[#This Row],[תשלומים
שנותרו]],V68),0)),0)</f>
        <v>177.46056648121888</v>
      </c>
      <c r="X67" s="13">
        <f ca="1">IFERROR(IF(AND(ValuesEntered3,הפחתה7[[#This Row],[תאריך]]&lt;&gt;""),-PPMT(שיעור_ריבית3/12,1,תקופת_ההלוואה3-ROWS($C$4:U67)+1,הפחתה7[[#This Row],[יתרת פתיחה]]),""),0)</f>
        <v>309.5165410320925</v>
      </c>
      <c r="Y67" s="13">
        <f ca="1">(הפחתה7[[#This Row],[יתרת פתיחה]])*(מדד3/12)</f>
        <v>154.57177734343955</v>
      </c>
      <c r="Z67" s="13">
        <f ca="1">IF(הפחתה7[[#This Row],[תאריך]]="",0,הפחתה7[[#This Row],[ריבית]]+הפחתה7[[#This Row],[קרן]]+הפחתה7[[#This Row],[מדד]])</f>
        <v>641.54888485675087</v>
      </c>
      <c r="AA67" s="13">
        <f ca="1">IF(הפחתה7[[#This Row],[תאריך]]="",0,הפחתה7[[#This Row],[יתרת פתיחה]]-הפחתה7[[#This Row],[קרן]]+הפחתה7[[#This Row],[מדד]])</f>
        <v>92588.121642375074</v>
      </c>
      <c r="AB67" s="11">
        <f ca="1">IF(הפחתה7[[#This Row],[יתרת
סגירה]]&gt;0,LastRow3-ROW(),0)</f>
        <v>236</v>
      </c>
      <c r="AC67" s="17">
        <f>ROWS($AC$4:AC67)</f>
        <v>64</v>
      </c>
      <c r="AD67" s="18" t="str">
        <f ca="1">IF(ValuesEntered4,IF(הפחתה8[[#This Row],[מס'']]&lt;=תקופת_ההלוואה4,IF(ROW()-ROW(הפחתה8[[#Headers],[תאריך]])=1,LoanStart4,IF(AJ66&gt;0,EDATE(AD66,1),"")),""),"")</f>
        <v/>
      </c>
      <c r="AE67" s="19">
        <f ca="1">IF(ROW()-ROW(הפחתה8[[#Headers],[יתרת פתיחה]])=1,סכום_הלוואה4,IF(הפחתה8[[#This Row],[תאריך]]="",0,INDEX(הפחתה8[], ROW()-4,8)))</f>
        <v>0</v>
      </c>
      <c r="AF67" s="19">
        <f ca="1">IF(ValuesEntered4,IF(ROW()-ROW(הפחתה8[[#Headers],[ריבית]])=1,-IPMT(שיעור_ריבית4/12,1,תקופת_ההלוואה4-ROWS($C$4:AD67)+1,הפחתה8[[#This Row],[יתרת פתיחה]]),IFERROR(-IPMT(שיעור_ריבית4/12,1,הפחתה8[[#This Row],[תשלומים
שנותרו]],AE68),0)),0)</f>
        <v>0</v>
      </c>
      <c r="AG67" s="19" t="str">
        <f ca="1">IFERROR(IF(AND(ValuesEntered4,הפחתה8[[#This Row],[תאריך]]&lt;&gt;""),-PPMT(שיעור_ריבית4/12,1,תקופת_ההלוואה4-ROWS($C$4:AD67)+1,הפחתה8[[#This Row],[יתרת פתיחה]]),""),0)</f>
        <v/>
      </c>
      <c r="AH67" s="19">
        <f ca="1">(הפחתה8[[#This Row],[יתרת פתיחה]])*(מדד4/12)</f>
        <v>0</v>
      </c>
      <c r="AI67" s="19">
        <f ca="1">IF(הפחתה8[[#This Row],[תאריך]]="",0,הפחתה8[[#This Row],[ריבית]]+הפחתה8[[#This Row],[קרן]]+הפחתה8[[#This Row],[מדד]])</f>
        <v>0</v>
      </c>
      <c r="AJ67" s="19">
        <f ca="1">IF(הפחתה8[[#This Row],[תאריך]]="",0,הפחתה8[[#This Row],[יתרת פתיחה]]-הפחתה8[[#This Row],[קרן]])</f>
        <v>0</v>
      </c>
      <c r="AK67" s="20">
        <f ca="1">IF(הפחתה8[[#This Row],[יתרת
סגירה]]&gt;0,LastRow4-ROW(),0)</f>
        <v>0</v>
      </c>
    </row>
    <row r="68" spans="1:37" ht="15" customHeight="1" x14ac:dyDescent="0.25">
      <c r="A68" s="8"/>
      <c r="B68" s="11">
        <f>ROWS($B$4:B68)</f>
        <v>65</v>
      </c>
      <c r="C68" s="12">
        <f>IF(ValuesEntered,IF(הפחתה[[#This Row],[מס'']]&lt;=תקופת_ההלוואה,IF(ROW()-ROW(הפחתה[[#Headers],[תאריך]])=1,LoanStart,IF(I67&gt;0,EDATE(C67,1),"")),""),"")</f>
        <v>47331</v>
      </c>
      <c r="D68" s="13">
        <f>IF(ROW()-ROW(הפחתה[[#Headers],[יתרת פתיחה]])=1,סכום_הלוואה,IF(הפחתה[[#This Row],[תאריך]]="",0,INDEX(הפחתה[], ROW()-4,8)))</f>
        <v>549698.47928236506</v>
      </c>
      <c r="E68" s="13">
        <f>IF(ValuesEntered,IF(ROW()-ROW(הפחתה[[#Headers],[ריבית]])=1,-IPMT(שיעור_ריבית/12,1,תקופת_ההלוואה-ROWS($C$4:C68)+1,הפחתה[[#This Row],[יתרת פתיחה]]),IFERROR(-IPMT(שיעור_ריבית/12,1,הפחתה[[#This Row],[תשלומים
שנותרו]],D69),0)),0)</f>
        <v>2423.8423145718011</v>
      </c>
      <c r="F68" s="13">
        <f>IFERROR(IF(AND(ValuesEntered,הפחתה[[#This Row],[תאריך]]&lt;&gt;""),-PPMT(שיעור_ריבית/12,1,תקופת_ההלוואה-ROWS($C$4:C68)+1,הפחתה[[#This Row],[יתרת פתיחה]]),""),0)</f>
        <v>903.99296422143868</v>
      </c>
      <c r="G68" s="13">
        <f>(הפחתה[[#This Row],[יתרת פתיחה]])*(מדד/12)</f>
        <v>0</v>
      </c>
      <c r="H68" s="13">
        <f>IF(הפחתה[[#This Row],[תאריך]]="",0,הפחתה[[#This Row],[ריבית]]+הפחתה[[#This Row],[קרן]]+הפחתה[[#This Row],[מדד]])</f>
        <v>3327.8352787932399</v>
      </c>
      <c r="I68" s="13">
        <f>IF(הפחתה[[#This Row],[תאריך]]="",0,הפחתה[[#This Row],[יתרת פתיחה]]-הפחתה[[#This Row],[קרן]]+הפחתה[[#This Row],[מדד]])</f>
        <v>548794.48631814367</v>
      </c>
      <c r="J68" s="11">
        <f>IF(הפחתה[[#This Row],[יתרת
סגירה]]&gt;0,LastRow-ROW(),0)</f>
        <v>295</v>
      </c>
      <c r="K68" s="11">
        <f>ROWS($K$4:K68)</f>
        <v>65</v>
      </c>
      <c r="L68" s="12">
        <f>IF(ValuesEntered2,IF(הפחתה5[[#This Row],[מס'']]&lt;=תקופת_ההלוואה2,IF(ROW()-ROW(הפחתה5[[#Headers],[תאריך]])=1,LoanStart2,IF(R67&gt;0,EDATE(L67,1),"")),""),"")</f>
        <v>47331</v>
      </c>
      <c r="M68" s="13">
        <f>IF(ROW()-ROW(הפחתה5[[#Headers],[יתרת פתיחה]])=1,סכום_הלוואה2,IF(הפחתה5[[#This Row],[תאריך]]="",0,INDEX(הפחתה5[], ROW()-4,8)))</f>
        <v>261772.05414654713</v>
      </c>
      <c r="N68" s="13">
        <f>IF(ValuesEntered2,IF(ROW()-ROW(הפחתה5[[#Headers],[ריבית]])=1,-IPMT(שיעור_ריבית2/12,1,תקופת_ההלוואה2-ROWS($L$4:L68)+1,הפחתה5[[#This Row],[יתרת פתיחה]]),IFERROR(-IPMT(שיעור_ריבית2/12,1,הפחתה5[[#This Row],[תשלומים
שנותרו]],M69),0)),0)</f>
        <v>1022.6244028095737</v>
      </c>
      <c r="O68" s="13">
        <f>IFERROR(IF(AND(ValuesEntered2,הפחתה5[[#This Row],[תאריך]]&lt;&gt;""),-PPMT(שיעור_ריבית2/12,1,תקופת_ההלוואה2-ROWS($L$4:L68)+1,הפחתה5[[#This Row],[יתרת פתיחה]]),""),0)</f>
        <v>676.46193984741626</v>
      </c>
      <c r="P68" s="13">
        <f>(הפחתה5[[#This Row],[יתרת פתיחה]])*(מדד2/12)</f>
        <v>0</v>
      </c>
      <c r="Q68" s="13">
        <f>IF(הפחתה5[[#This Row],[תאריך]]="",0,הפחתה5[[#This Row],[ריבית]]+הפחתה5[[#This Row],[קרן]]+הפחתה5[[#This Row],[מדד]])</f>
        <v>1699.0863426569899</v>
      </c>
      <c r="R68" s="13">
        <f>IF(הפחתה5[[#This Row],[תאריך]]="",0,הפחתה5[[#This Row],[יתרת פתיחה]]-הפחתה5[[#This Row],[קרן]]+הפחתה5[[#This Row],[מדד]])</f>
        <v>261095.59220669972</v>
      </c>
      <c r="S68" s="11">
        <f>IF(הפחתה5[[#This Row],[יתרת
סגירה]]&gt;0,LastRow2-ROW(),0)</f>
        <v>235</v>
      </c>
      <c r="T68" s="11">
        <f>ROWS($T$4:T68)</f>
        <v>65</v>
      </c>
      <c r="U68" s="12">
        <f ca="1">IF(ValuesEntered3,IF(הפחתה7[[#This Row],[מס'']]&lt;=תקופת_ההלוואה3,IF(ROW()-ROW(הפחתה7[[#Headers],[תאריך]])=1,LoanStart3,IF(AA67&gt;0,EDATE(U67,1),"")),""),"")</f>
        <v>47567</v>
      </c>
      <c r="V68" s="13">
        <f ca="1">IF(ROW()-ROW(הפחתה7[[#Headers],[יתרת פתיחה]])=1,סכום_הלוואה3,IF(הפחתה7[[#This Row],[תאריך]]="",0,INDEX(הפחתה7[], ROW()-4,8)))</f>
        <v>92588.121642375074</v>
      </c>
      <c r="W68" s="13">
        <f ca="1">IF(ValuesEntered3,IF(ROW()-ROW(הפחתה7[[#Headers],[ריבית]])=1,-IPMT(שיעור_ריבית3/12,1,תקופת_ההלוואה3-ROWS($C$4:U68)+1,הפחתה7[[#This Row],[יתרת פתיחה]]),IFERROR(-IPMT(שיעור_ריבית3/12,1,הפחתה7[[#This Row],[תשלומים
שנותרו]],V69),0)),0)</f>
        <v>177.16096306602179</v>
      </c>
      <c r="X68" s="13">
        <f ca="1">IFERROR(IF(AND(ValuesEntered3,הפחתה7[[#This Row],[תאריך]]&lt;&gt;""),-PPMT(שיעור_ריבית3/12,1,תקופת_ההלוואה3-ROWS($C$4:U68)+1,הפחתה7[[#This Row],[יתרת פתיחה]]),""),0)</f>
        <v>310.62836139084158</v>
      </c>
      <c r="Y68" s="13">
        <f ca="1">(הפחתה7[[#This Row],[יתרת פתיחה]])*(מדד3/12)</f>
        <v>154.31353607062513</v>
      </c>
      <c r="Z68" s="13">
        <f ca="1">IF(הפחתה7[[#This Row],[תאריך]]="",0,הפחתה7[[#This Row],[ריבית]]+הפחתה7[[#This Row],[קרן]]+הפחתה7[[#This Row],[מדד]])</f>
        <v>642.10286052748847</v>
      </c>
      <c r="AA68" s="13">
        <f ca="1">IF(הפחתה7[[#This Row],[תאריך]]="",0,הפחתה7[[#This Row],[יתרת פתיחה]]-הפחתה7[[#This Row],[קרן]]+הפחתה7[[#This Row],[מדד]])</f>
        <v>92431.80681705485</v>
      </c>
      <c r="AB68" s="11">
        <f ca="1">IF(הפחתה7[[#This Row],[יתרת
סגירה]]&gt;0,LastRow3-ROW(),0)</f>
        <v>235</v>
      </c>
      <c r="AC68" s="17">
        <f>ROWS($AC$4:AC68)</f>
        <v>65</v>
      </c>
      <c r="AD68" s="18" t="str">
        <f ca="1">IF(ValuesEntered4,IF(הפחתה8[[#This Row],[מס'']]&lt;=תקופת_ההלוואה4,IF(ROW()-ROW(הפחתה8[[#Headers],[תאריך]])=1,LoanStart4,IF(AJ67&gt;0,EDATE(AD67,1),"")),""),"")</f>
        <v/>
      </c>
      <c r="AE68" s="19">
        <f ca="1">IF(ROW()-ROW(הפחתה8[[#Headers],[יתרת פתיחה]])=1,סכום_הלוואה4,IF(הפחתה8[[#This Row],[תאריך]]="",0,INDEX(הפחתה8[], ROW()-4,8)))</f>
        <v>0</v>
      </c>
      <c r="AF68" s="19">
        <f ca="1">IF(ValuesEntered4,IF(ROW()-ROW(הפחתה8[[#Headers],[ריבית]])=1,-IPMT(שיעור_ריבית4/12,1,תקופת_ההלוואה4-ROWS($C$4:AD68)+1,הפחתה8[[#This Row],[יתרת פתיחה]]),IFERROR(-IPMT(שיעור_ריבית4/12,1,הפחתה8[[#This Row],[תשלומים
שנותרו]],AE69),0)),0)</f>
        <v>0</v>
      </c>
      <c r="AG68" s="19" t="str">
        <f ca="1">IFERROR(IF(AND(ValuesEntered4,הפחתה8[[#This Row],[תאריך]]&lt;&gt;""),-PPMT(שיעור_ריבית4/12,1,תקופת_ההלוואה4-ROWS($C$4:AD68)+1,הפחתה8[[#This Row],[יתרת פתיחה]]),""),0)</f>
        <v/>
      </c>
      <c r="AH68" s="19">
        <f ca="1">(הפחתה8[[#This Row],[יתרת פתיחה]])*(מדד4/12)</f>
        <v>0</v>
      </c>
      <c r="AI68" s="19">
        <f ca="1">IF(הפחתה8[[#This Row],[תאריך]]="",0,הפחתה8[[#This Row],[ריבית]]+הפחתה8[[#This Row],[קרן]]+הפחתה8[[#This Row],[מדד]])</f>
        <v>0</v>
      </c>
      <c r="AJ68" s="19">
        <f ca="1">IF(הפחתה8[[#This Row],[תאריך]]="",0,הפחתה8[[#This Row],[יתרת פתיחה]]-הפחתה8[[#This Row],[קרן]])</f>
        <v>0</v>
      </c>
      <c r="AK68" s="20">
        <f ca="1">IF(הפחתה8[[#This Row],[יתרת
סגירה]]&gt;0,LastRow4-ROW(),0)</f>
        <v>0</v>
      </c>
    </row>
    <row r="69" spans="1:37" ht="15" customHeight="1" x14ac:dyDescent="0.25">
      <c r="A69" s="8"/>
      <c r="B69" s="11">
        <f>ROWS($B$4:B69)</f>
        <v>66</v>
      </c>
      <c r="C69" s="12">
        <f>IF(ValuesEntered,IF(הפחתה[[#This Row],[מס'']]&lt;=תקופת_ההלוואה,IF(ROW()-ROW(הפחתה[[#Headers],[תאריך]])=1,LoanStart,IF(I68&gt;0,EDATE(C68,1),"")),""),"")</f>
        <v>47362</v>
      </c>
      <c r="D69" s="13">
        <f>IF(ROW()-ROW(הפחתה[[#Headers],[יתרת פתיחה]])=1,סכום_הלוואה,IF(הפחתה[[#This Row],[תאריך]]="",0,INDEX(הפחתה[], ROW()-4,8)))</f>
        <v>548794.48631814367</v>
      </c>
      <c r="E69" s="13">
        <f>IF(ValuesEntered,IF(ROW()-ROW(הפחתה[[#Headers],[ריבית]])=1,-IPMT(שיעור_ריבית/12,1,תקופת_ההלוואה-ROWS($C$4:C69)+1,הפחתה[[#This Row],[יתרת פתיחה]]),IFERROR(-IPMT(שיעור_ריבית/12,1,הפחתה[[#This Row],[תשלומים
שנותרו]],D70),0)),0)</f>
        <v>2419.8320448392919</v>
      </c>
      <c r="F69" s="13">
        <f>IFERROR(IF(AND(ValuesEntered,הפחתה[[#This Row],[תאריך]]&lt;&gt;""),-PPMT(שיעור_ריבית/12,1,תקופת_ההלוואה-ROWS($C$4:C69)+1,הפחתה[[#This Row],[יתרת פתיחה]]),""),0)</f>
        <v>907.98559981341691</v>
      </c>
      <c r="G69" s="13">
        <f>(הפחתה[[#This Row],[יתרת פתיחה]])*(מדד/12)</f>
        <v>0</v>
      </c>
      <c r="H69" s="13">
        <f>IF(הפחתה[[#This Row],[תאריך]]="",0,הפחתה[[#This Row],[ריבית]]+הפחתה[[#This Row],[קרן]]+הפחתה[[#This Row],[מדד]])</f>
        <v>3327.8176446527086</v>
      </c>
      <c r="I69" s="13">
        <f>IF(הפחתה[[#This Row],[תאריך]]="",0,הפחתה[[#This Row],[יתרת פתיחה]]-הפחתה[[#This Row],[קרן]]+הפחתה[[#This Row],[מדד]])</f>
        <v>547886.50071833027</v>
      </c>
      <c r="J69" s="11">
        <f>IF(הפחתה[[#This Row],[יתרת
סגירה]]&gt;0,LastRow-ROW(),0)</f>
        <v>294</v>
      </c>
      <c r="K69" s="11">
        <f>ROWS($K$4:K69)</f>
        <v>66</v>
      </c>
      <c r="L69" s="12">
        <f>IF(ValuesEntered2,IF(הפחתה5[[#This Row],[מס'']]&lt;=תקופת_ההלוואה2,IF(ROW()-ROW(הפחתה5[[#Headers],[תאריך]])=1,LoanStart2,IF(R68&gt;0,EDATE(L68,1),"")),""),"")</f>
        <v>47362</v>
      </c>
      <c r="M69" s="13">
        <f>IF(ROW()-ROW(הפחתה5[[#Headers],[יתרת פתיחה]])=1,סכום_הלוואה2,IF(הפחתה5[[#This Row],[תאריך]]="",0,INDEX(הפחתה5[], ROW()-4,8)))</f>
        <v>261095.59220669972</v>
      </c>
      <c r="N69" s="13">
        <f>IF(ValuesEntered2,IF(ROW()-ROW(הפחתה5[[#Headers],[ריבית]])=1,-IPMT(שיעור_ריבית2/12,1,תקופת_ההלוואה2-ROWS($L$4:L69)+1,הפחתה5[[#This Row],[יתרת פתיחה]]),IFERROR(-IPMT(שיעור_ריבית2/12,1,הפחתה5[[#This Row],[תשלומים
שנותרו]],M70),0)),0)</f>
        <v>1019.9645497644414</v>
      </c>
      <c r="O69" s="13">
        <f>IFERROR(IF(AND(ValuesEntered2,הפחתה5[[#This Row],[תאריך]]&lt;&gt;""),-PPMT(שיעור_ריבית2/12,1,תקופת_ההלוואה2-ROWS($L$4:L69)+1,הפחתה5[[#This Row],[יתרת פתיחה]]),""),0)</f>
        <v>679.11141577848548</v>
      </c>
      <c r="P69" s="13">
        <f>(הפחתה5[[#This Row],[יתרת פתיחה]])*(מדד2/12)</f>
        <v>0</v>
      </c>
      <c r="Q69" s="13">
        <f>IF(הפחתה5[[#This Row],[תאריך]]="",0,הפחתה5[[#This Row],[ריבית]]+הפחתה5[[#This Row],[קרן]]+הפחתה5[[#This Row],[מדד]])</f>
        <v>1699.075965542927</v>
      </c>
      <c r="R69" s="13">
        <f>IF(הפחתה5[[#This Row],[תאריך]]="",0,הפחתה5[[#This Row],[יתרת פתיחה]]-הפחתה5[[#This Row],[קרן]]+הפחתה5[[#This Row],[מדד]])</f>
        <v>260416.48079092122</v>
      </c>
      <c r="S69" s="11">
        <f>IF(הפחתה5[[#This Row],[יתרת
סגירה]]&gt;0,LastRow2-ROW(),0)</f>
        <v>234</v>
      </c>
      <c r="T69" s="11">
        <f>ROWS($T$4:T69)</f>
        <v>66</v>
      </c>
      <c r="U69" s="12">
        <f ca="1">IF(ValuesEntered3,IF(הפחתה7[[#This Row],[מס'']]&lt;=תקופת_ההלוואה3,IF(ROW()-ROW(הפחתה7[[#Headers],[תאריך]])=1,LoanStart3,IF(AA68&gt;0,EDATE(U68,1),"")),""),"")</f>
        <v>47598</v>
      </c>
      <c r="V69" s="13">
        <f ca="1">IF(ROW()-ROW(הפחתה7[[#Headers],[יתרת פתיחה]])=1,סכום_הלוואה3,IF(הפחתה7[[#This Row],[תאריך]]="",0,INDEX(הפחתה7[], ROW()-4,8)))</f>
        <v>92431.80681705485</v>
      </c>
      <c r="W69" s="13">
        <f ca="1">IF(ValuesEntered3,IF(ROW()-ROW(הפחתה7[[#Headers],[ריבית]])=1,-IPMT(שיעור_ריבית3/12,1,תקופת_ההלוואה3-ROWS($C$4:U69)+1,הפחתה7[[#This Row],[יתרת פתיחה]]),IFERROR(-IPMT(שיעור_ריבית3/12,1,הפחתה7[[#This Row],[תשלומים
שנותרו]],V70),0)),0)</f>
        <v>176.85872165040291</v>
      </c>
      <c r="X69" s="13">
        <f ca="1">IFERROR(IF(AND(ValuesEntered3,הפחתה7[[#This Row],[תאריך]]&lt;&gt;""),-PPMT(שיעור_ריבית3/12,1,תקופת_ההלוואה3-ROWS($C$4:U69)+1,הפחתה7[[#This Row],[יתרת פתיחה]]),""),0)</f>
        <v>311.74418472813289</v>
      </c>
      <c r="Y69" s="13">
        <f ca="1">(הפחתה7[[#This Row],[יתרת פתיחה]])*(מדד3/12)</f>
        <v>154.05301136175808</v>
      </c>
      <c r="Z69" s="13">
        <f ca="1">IF(הפחתה7[[#This Row],[תאריך]]="",0,הפחתה7[[#This Row],[ריבית]]+הפחתה7[[#This Row],[קרן]]+הפחתה7[[#This Row],[מדד]])</f>
        <v>642.65591774029394</v>
      </c>
      <c r="AA69" s="13">
        <f ca="1">IF(הפחתה7[[#This Row],[תאריך]]="",0,הפחתה7[[#This Row],[יתרת פתיחה]]-הפחתה7[[#This Row],[קרן]]+הפחתה7[[#This Row],[מדד]])</f>
        <v>92274.115643688478</v>
      </c>
      <c r="AB69" s="11">
        <f ca="1">IF(הפחתה7[[#This Row],[יתרת
סגירה]]&gt;0,LastRow3-ROW(),0)</f>
        <v>234</v>
      </c>
      <c r="AC69" s="17">
        <f>ROWS($AC$4:AC69)</f>
        <v>66</v>
      </c>
      <c r="AD69" s="18" t="str">
        <f ca="1">IF(ValuesEntered4,IF(הפחתה8[[#This Row],[מס'']]&lt;=תקופת_ההלוואה4,IF(ROW()-ROW(הפחתה8[[#Headers],[תאריך]])=1,LoanStart4,IF(AJ68&gt;0,EDATE(AD68,1),"")),""),"")</f>
        <v/>
      </c>
      <c r="AE69" s="19">
        <f ca="1">IF(ROW()-ROW(הפחתה8[[#Headers],[יתרת פתיחה]])=1,סכום_הלוואה4,IF(הפחתה8[[#This Row],[תאריך]]="",0,INDEX(הפחתה8[], ROW()-4,8)))</f>
        <v>0</v>
      </c>
      <c r="AF69" s="19">
        <f ca="1">IF(ValuesEntered4,IF(ROW()-ROW(הפחתה8[[#Headers],[ריבית]])=1,-IPMT(שיעור_ריבית4/12,1,תקופת_ההלוואה4-ROWS($C$4:AD69)+1,הפחתה8[[#This Row],[יתרת פתיחה]]),IFERROR(-IPMT(שיעור_ריבית4/12,1,הפחתה8[[#This Row],[תשלומים
שנותרו]],AE70),0)),0)</f>
        <v>0</v>
      </c>
      <c r="AG69" s="19" t="str">
        <f ca="1">IFERROR(IF(AND(ValuesEntered4,הפחתה8[[#This Row],[תאריך]]&lt;&gt;""),-PPMT(שיעור_ריבית4/12,1,תקופת_ההלוואה4-ROWS($C$4:AD69)+1,הפחתה8[[#This Row],[יתרת פתיחה]]),""),0)</f>
        <v/>
      </c>
      <c r="AH69" s="19">
        <f ca="1">(הפחתה8[[#This Row],[יתרת פתיחה]])*(מדד4/12)</f>
        <v>0</v>
      </c>
      <c r="AI69" s="19">
        <f ca="1">IF(הפחתה8[[#This Row],[תאריך]]="",0,הפחתה8[[#This Row],[ריבית]]+הפחתה8[[#This Row],[קרן]]+הפחתה8[[#This Row],[מדד]])</f>
        <v>0</v>
      </c>
      <c r="AJ69" s="19">
        <f ca="1">IF(הפחתה8[[#This Row],[תאריך]]="",0,הפחתה8[[#This Row],[יתרת פתיחה]]-הפחתה8[[#This Row],[קרן]])</f>
        <v>0</v>
      </c>
      <c r="AK69" s="20">
        <f ca="1">IF(הפחתה8[[#This Row],[יתרת
סגירה]]&gt;0,LastRow4-ROW(),0)</f>
        <v>0</v>
      </c>
    </row>
    <row r="70" spans="1:37" ht="15" customHeight="1" x14ac:dyDescent="0.25">
      <c r="A70" s="8"/>
      <c r="B70" s="11">
        <f>ROWS($B$4:B70)</f>
        <v>67</v>
      </c>
      <c r="C70" s="12">
        <f>IF(ValuesEntered,IF(הפחתה[[#This Row],[מס'']]&lt;=תקופת_ההלוואה,IF(ROW()-ROW(הפחתה[[#Headers],[תאריך]])=1,LoanStart,IF(I69&gt;0,EDATE(C69,1),"")),""),"")</f>
        <v>47392</v>
      </c>
      <c r="D70" s="13">
        <f>IF(ROW()-ROW(הפחתה[[#Headers],[יתרת פתיחה]])=1,סכום_הלוואה,IF(הפחתה[[#This Row],[תאריך]]="",0,INDEX(הפחתה[], ROW()-4,8)))</f>
        <v>547886.50071833027</v>
      </c>
      <c r="E70" s="13">
        <f>IF(ValuesEntered,IF(ROW()-ROW(הפחתה[[#Headers],[ריבית]])=1,-IPMT(שיעור_ריבית/12,1,תקופת_ההלוואה-ROWS($C$4:C70)+1,הפחתה[[#This Row],[יתרת פתיחה]]),IFERROR(-IPMT(שיעור_ריבית/12,1,הפחתה[[#This Row],[תשלומים
שנותרו]],D71),0)),0)</f>
        <v>2415.8040630821306</v>
      </c>
      <c r="F70" s="13">
        <f>IFERROR(IF(AND(ValuesEntered,הפחתה[[#This Row],[תאריך]]&lt;&gt;""),-PPMT(שיעור_ריבית/12,1,תקופת_ההלוואה-ROWS($C$4:C70)+1,הפחתה[[#This Row],[יתרת פתיחה]]),""),0)</f>
        <v>911.99586954592587</v>
      </c>
      <c r="G70" s="13">
        <f>(הפחתה[[#This Row],[יתרת פתיחה]])*(מדד/12)</f>
        <v>0</v>
      </c>
      <c r="H70" s="13">
        <f>IF(הפחתה[[#This Row],[תאריך]]="",0,הפחתה[[#This Row],[ריבית]]+הפחתה[[#This Row],[קרן]]+הפחתה[[#This Row],[מדד]])</f>
        <v>3327.7999326280565</v>
      </c>
      <c r="I70" s="13">
        <f>IF(הפחתה[[#This Row],[תאריך]]="",0,הפחתה[[#This Row],[יתרת פתיחה]]-הפחתה[[#This Row],[קרן]]+הפחתה[[#This Row],[מדד]])</f>
        <v>546974.5048487843</v>
      </c>
      <c r="J70" s="11">
        <f>IF(הפחתה[[#This Row],[יתרת
סגירה]]&gt;0,LastRow-ROW(),0)</f>
        <v>293</v>
      </c>
      <c r="K70" s="11">
        <f>ROWS($K$4:K70)</f>
        <v>67</v>
      </c>
      <c r="L70" s="12">
        <f>IF(ValuesEntered2,IF(הפחתה5[[#This Row],[מס'']]&lt;=תקופת_ההלוואה2,IF(ROW()-ROW(הפחתה5[[#Headers],[תאריך]])=1,LoanStart2,IF(R69&gt;0,EDATE(L69,1),"")),""),"")</f>
        <v>47392</v>
      </c>
      <c r="M70" s="13">
        <f>IF(ROW()-ROW(הפחתה5[[#Headers],[יתרת פתיחה]])=1,סכום_הלוואה2,IF(הפחתה5[[#This Row],[תאריך]]="",0,INDEX(הפחתה5[], ROW()-4,8)))</f>
        <v>260416.48079092122</v>
      </c>
      <c r="N70" s="13">
        <f>IF(ValuesEntered2,IF(ROW()-ROW(הפחתה5[[#Headers],[ריבית]])=1,-IPMT(שיעור_ריבית2/12,1,תקופת_ההלוואה2-ROWS($L$4:L70)+1,הפחתה5[[#This Row],[יתרת פתיחה]]),IFERROR(-IPMT(שיעור_ריבית2/12,1,הפחתה5[[#This Row],[תשלומים
שנותרו]],M71),0)),0)</f>
        <v>1017.2942789615489</v>
      </c>
      <c r="O70" s="13">
        <f>IFERROR(IF(AND(ValuesEntered2,הפחתה5[[#This Row],[תאריך]]&lt;&gt;""),-PPMT(שיעור_ריבית2/12,1,תקופת_ההלוואה2-ROWS($L$4:L70)+1,הפחתה5[[#This Row],[יתרת פתיחה]]),""),0)</f>
        <v>681.77126882361779</v>
      </c>
      <c r="P70" s="13">
        <f>(הפחתה5[[#This Row],[יתרת פתיחה]])*(מדד2/12)</f>
        <v>0</v>
      </c>
      <c r="Q70" s="13">
        <f>IF(הפחתה5[[#This Row],[תאריך]]="",0,הפחתה5[[#This Row],[ריבית]]+הפחתה5[[#This Row],[קרן]]+הפחתה5[[#This Row],[מדד]])</f>
        <v>1699.0655477851667</v>
      </c>
      <c r="R70" s="13">
        <f>IF(הפחתה5[[#This Row],[תאריך]]="",0,הפחתה5[[#This Row],[יתרת פתיחה]]-הפחתה5[[#This Row],[קרן]]+הפחתה5[[#This Row],[מדד]])</f>
        <v>259734.7095220976</v>
      </c>
      <c r="S70" s="11">
        <f>IF(הפחתה5[[#This Row],[יתרת
סגירה]]&gt;0,LastRow2-ROW(),0)</f>
        <v>233</v>
      </c>
      <c r="T70" s="11">
        <f>ROWS($T$4:T70)</f>
        <v>67</v>
      </c>
      <c r="U70" s="12">
        <f ca="1">IF(ValuesEntered3,IF(הפחתה7[[#This Row],[מס'']]&lt;=תקופת_ההלוואה3,IF(ROW()-ROW(הפחתה7[[#Headers],[תאריך]])=1,LoanStart3,IF(AA69&gt;0,EDATE(U69,1),"")),""),"")</f>
        <v>47628</v>
      </c>
      <c r="V70" s="13">
        <f ca="1">IF(ROW()-ROW(הפחתה7[[#Headers],[יתרת פתיחה]])=1,סכום_הלוואה3,IF(הפחתה7[[#This Row],[תאריך]]="",0,INDEX(הפחתה7[], ROW()-4,8)))</f>
        <v>92274.115643688478</v>
      </c>
      <c r="W70" s="13">
        <f ca="1">IF(ValuesEntered3,IF(ROW()-ROW(הפחתה7[[#Headers],[ריבית]])=1,-IPMT(שיעור_ריבית3/12,1,תקופת_ההלוואה3-ROWS($C$4:U70)+1,הפחתה7[[#This Row],[יתרת פתיחה]]),IFERROR(-IPMT(שיעור_ריבית3/12,1,הפחתה7[[#This Row],[תשלומים
שנותרו]],V71),0)),0)</f>
        <v>176.55383013747911</v>
      </c>
      <c r="X70" s="13">
        <f ca="1">IFERROR(IF(AND(ValuesEntered3,הפחתה7[[#This Row],[תאריך]]&lt;&gt;""),-PPMT(שיעור_ריבית3/12,1,תקופת_ההלוואה3-ROWS($C$4:U70)+1,הפחתה7[[#This Row],[יתרת פתיחה]]),""),0)</f>
        <v>312.86402556928152</v>
      </c>
      <c r="Y70" s="13">
        <f ca="1">(הפחתה7[[#This Row],[יתרת פתיחה]])*(מדד3/12)</f>
        <v>153.7901927394808</v>
      </c>
      <c r="Z70" s="13">
        <f ca="1">IF(הפחתה7[[#This Row],[תאריך]]="",0,הפחתה7[[#This Row],[ריבית]]+הפחתה7[[#This Row],[קרן]]+הפחתה7[[#This Row],[מדד]])</f>
        <v>643.20804844624149</v>
      </c>
      <c r="AA70" s="13">
        <f ca="1">IF(הפחתה7[[#This Row],[תאריך]]="",0,הפחתה7[[#This Row],[יתרת פתיחה]]-הפחתה7[[#This Row],[קרן]]+הפחתה7[[#This Row],[מדד]])</f>
        <v>92115.041810858675</v>
      </c>
      <c r="AB70" s="11">
        <f ca="1">IF(הפחתה7[[#This Row],[יתרת
סגירה]]&gt;0,LastRow3-ROW(),0)</f>
        <v>233</v>
      </c>
      <c r="AC70" s="17">
        <f>ROWS($AC$4:AC70)</f>
        <v>67</v>
      </c>
      <c r="AD70" s="18" t="str">
        <f ca="1">IF(ValuesEntered4,IF(הפחתה8[[#This Row],[מס'']]&lt;=תקופת_ההלוואה4,IF(ROW()-ROW(הפחתה8[[#Headers],[תאריך]])=1,LoanStart4,IF(AJ69&gt;0,EDATE(AD69,1),"")),""),"")</f>
        <v/>
      </c>
      <c r="AE70" s="19">
        <f ca="1">IF(ROW()-ROW(הפחתה8[[#Headers],[יתרת פתיחה]])=1,סכום_הלוואה4,IF(הפחתה8[[#This Row],[תאריך]]="",0,INDEX(הפחתה8[], ROW()-4,8)))</f>
        <v>0</v>
      </c>
      <c r="AF70" s="19">
        <f ca="1">IF(ValuesEntered4,IF(ROW()-ROW(הפחתה8[[#Headers],[ריבית]])=1,-IPMT(שיעור_ריבית4/12,1,תקופת_ההלוואה4-ROWS($C$4:AD70)+1,הפחתה8[[#This Row],[יתרת פתיחה]]),IFERROR(-IPMT(שיעור_ריבית4/12,1,הפחתה8[[#This Row],[תשלומים
שנותרו]],AE71),0)),0)</f>
        <v>0</v>
      </c>
      <c r="AG70" s="19" t="str">
        <f ca="1">IFERROR(IF(AND(ValuesEntered4,הפחתה8[[#This Row],[תאריך]]&lt;&gt;""),-PPMT(שיעור_ריבית4/12,1,תקופת_ההלוואה4-ROWS($C$4:AD70)+1,הפחתה8[[#This Row],[יתרת פתיחה]]),""),0)</f>
        <v/>
      </c>
      <c r="AH70" s="19">
        <f ca="1">(הפחתה8[[#This Row],[יתרת פתיחה]])*(מדד4/12)</f>
        <v>0</v>
      </c>
      <c r="AI70" s="19">
        <f ca="1">IF(הפחתה8[[#This Row],[תאריך]]="",0,הפחתה8[[#This Row],[ריבית]]+הפחתה8[[#This Row],[קרן]]+הפחתה8[[#This Row],[מדד]])</f>
        <v>0</v>
      </c>
      <c r="AJ70" s="19">
        <f ca="1">IF(הפחתה8[[#This Row],[תאריך]]="",0,הפחתה8[[#This Row],[יתרת פתיחה]]-הפחתה8[[#This Row],[קרן]])</f>
        <v>0</v>
      </c>
      <c r="AK70" s="20">
        <f ca="1">IF(הפחתה8[[#This Row],[יתרת
סגירה]]&gt;0,LastRow4-ROW(),0)</f>
        <v>0</v>
      </c>
    </row>
    <row r="71" spans="1:37" ht="15" customHeight="1" x14ac:dyDescent="0.25">
      <c r="A71" s="8"/>
      <c r="B71" s="11">
        <f>ROWS($B$4:B71)</f>
        <v>68</v>
      </c>
      <c r="C71" s="12">
        <f>IF(ValuesEntered,IF(הפחתה[[#This Row],[מס'']]&lt;=תקופת_ההלוואה,IF(ROW()-ROW(הפחתה[[#Headers],[תאריך]])=1,LoanStart,IF(I70&gt;0,EDATE(C70,1),"")),""),"")</f>
        <v>47423</v>
      </c>
      <c r="D71" s="13">
        <f>IF(ROW()-ROW(הפחתה[[#Headers],[יתרת פתיחה]])=1,סכום_הלוואה,IF(הפחתה[[#This Row],[תאריך]]="",0,INDEX(הפחתה[], ROW()-4,8)))</f>
        <v>546974.5048487843</v>
      </c>
      <c r="E71" s="13">
        <f>IF(ValuesEntered,IF(ROW()-ROW(הפחתה[[#Headers],[ריבית]])=1,-IPMT(שיעור_ריבית/12,1,תקופת_ההלוואה-ROWS($C$4:C71)+1,הפחתה[[#This Row],[יתרת פתיחה]]),IFERROR(-IPMT(שיעור_ריבית/12,1,הפחתה[[#This Row],[תשלומים
שנותרו]],D72),0)),0)</f>
        <v>2411.758291072209</v>
      </c>
      <c r="F71" s="13">
        <f>IFERROR(IF(AND(ValuesEntered,הפחתה[[#This Row],[תאריך]]&lt;&gt;""),-PPMT(שיעור_ריבית/12,1,תקופת_ההלוואה-ROWS($C$4:C71)+1,הפחתה[[#This Row],[יתרת פתיחה]]),""),0)</f>
        <v>916.0238513030871</v>
      </c>
      <c r="G71" s="13">
        <f>(הפחתה[[#This Row],[יתרת פתיחה]])*(מדד/12)</f>
        <v>0</v>
      </c>
      <c r="H71" s="13">
        <f>IF(הפחתה[[#This Row],[תאריך]]="",0,הפחתה[[#This Row],[ריבית]]+הפחתה[[#This Row],[קרן]]+הפחתה[[#This Row],[מדד]])</f>
        <v>3327.7821423752962</v>
      </c>
      <c r="I71" s="13">
        <f>IF(הפחתה[[#This Row],[תאריך]]="",0,הפחתה[[#This Row],[יתרת פתיחה]]-הפחתה[[#This Row],[קרן]]+הפחתה[[#This Row],[מדד]])</f>
        <v>546058.48099748127</v>
      </c>
      <c r="J71" s="11">
        <f>IF(הפחתה[[#This Row],[יתרת
סגירה]]&gt;0,LastRow-ROW(),0)</f>
        <v>292</v>
      </c>
      <c r="K71" s="11">
        <f>ROWS($K$4:K71)</f>
        <v>68</v>
      </c>
      <c r="L71" s="12">
        <f>IF(ValuesEntered2,IF(הפחתה5[[#This Row],[מס'']]&lt;=תקופת_ההלוואה2,IF(ROW()-ROW(הפחתה5[[#Headers],[תאריך]])=1,LoanStart2,IF(R70&gt;0,EDATE(L70,1),"")),""),"")</f>
        <v>47423</v>
      </c>
      <c r="M71" s="13">
        <f>IF(ROW()-ROW(הפחתה5[[#Headers],[יתרת פתיחה]])=1,סכום_הלוואה2,IF(הפחתה5[[#This Row],[תאריך]]="",0,INDEX(הפחתה5[], ROW()-4,8)))</f>
        <v>259734.7095220976</v>
      </c>
      <c r="N71" s="13">
        <f>IF(ValuesEntered2,IF(ROW()-ROW(הפחתה5[[#Headers],[ריבית]])=1,-IPMT(שיעור_ריבית2/12,1,תקופת_ההלוואה2-ROWS($L$4:L71)+1,הפחתה5[[#This Row],[יתרת פתיחה]]),IFERROR(-IPMT(שיעור_ריבית2/12,1,הפחתה5[[#This Row],[תשלומים
שנותרו]],M72),0)),0)</f>
        <v>1014.6135495980116</v>
      </c>
      <c r="O71" s="13">
        <f>IFERROR(IF(AND(ValuesEntered2,הפחתה5[[#This Row],[תאריך]]&lt;&gt;""),-PPMT(שיעור_ריבית2/12,1,תקופת_ההלוואה2-ROWS($L$4:L71)+1,הפחתה5[[#This Row],[יתרת פתיחה]]),""),0)</f>
        <v>684.44153962651023</v>
      </c>
      <c r="P71" s="13">
        <f>(הפחתה5[[#This Row],[יתרת פתיחה]])*(מדד2/12)</f>
        <v>0</v>
      </c>
      <c r="Q71" s="13">
        <f>IF(הפחתה5[[#This Row],[תאריך]]="",0,הפחתה5[[#This Row],[ריבית]]+הפחתה5[[#This Row],[קרן]]+הפחתה5[[#This Row],[מדד]])</f>
        <v>1699.0550892245219</v>
      </c>
      <c r="R71" s="13">
        <f>IF(הפחתה5[[#This Row],[תאריך]]="",0,הפחתה5[[#This Row],[יתרת פתיחה]]-הפחתה5[[#This Row],[קרן]]+הפחתה5[[#This Row],[מדד]])</f>
        <v>259050.26798247109</v>
      </c>
      <c r="S71" s="11">
        <f>IF(הפחתה5[[#This Row],[יתרת
סגירה]]&gt;0,LastRow2-ROW(),0)</f>
        <v>232</v>
      </c>
      <c r="T71" s="11">
        <f>ROWS($T$4:T71)</f>
        <v>68</v>
      </c>
      <c r="U71" s="12">
        <f ca="1">IF(ValuesEntered3,IF(הפחתה7[[#This Row],[מס'']]&lt;=תקופת_ההלוואה3,IF(ROW()-ROW(הפחתה7[[#Headers],[תאריך]])=1,LoanStart3,IF(AA70&gt;0,EDATE(U70,1),"")),""),"")</f>
        <v>47659</v>
      </c>
      <c r="V71" s="13">
        <f ca="1">IF(ROW()-ROW(הפחתה7[[#Headers],[יתרת פתיחה]])=1,סכום_הלוואה3,IF(הפחתה7[[#This Row],[תאריך]]="",0,INDEX(הפחתה7[], ROW()-4,8)))</f>
        <v>92115.041810858675</v>
      </c>
      <c r="W71" s="13">
        <f ca="1">IF(ValuesEntered3,IF(ROW()-ROW(הפחתה7[[#Headers],[ריבית]])=1,-IPMT(שיעור_ריבית3/12,1,תקופת_ההלוואה3-ROWS($C$4:U71)+1,הפחתה7[[#This Row],[יתרת פתיחה]]),IFERROR(-IPMT(שיעור_ריבית3/12,1,הפחתה7[[#This Row],[תשלומים
שנותרו]],V72),0)),0)</f>
        <v>176.24627638226136</v>
      </c>
      <c r="X71" s="13">
        <f ca="1">IFERROR(IF(AND(ValuesEntered3,הפחתה7[[#This Row],[תאריך]]&lt;&gt;""),-PPMT(שיעור_ריבית3/12,1,תקופת_ההלוואה3-ROWS($C$4:U71)+1,הפחתה7[[#This Row],[יתרת פתיחה]]),""),0)</f>
        <v>313.98789849403494</v>
      </c>
      <c r="Y71" s="13">
        <f ca="1">(הפחתה7[[#This Row],[יתרת פתיחה]])*(מדד3/12)</f>
        <v>153.52506968476447</v>
      </c>
      <c r="Z71" s="13">
        <f ca="1">IF(הפחתה7[[#This Row],[תאריך]]="",0,הפחתה7[[#This Row],[ריבית]]+הפחתה7[[#This Row],[קרן]]+הפחתה7[[#This Row],[מדד]])</f>
        <v>643.75924456106077</v>
      </c>
      <c r="AA71" s="13">
        <f ca="1">IF(הפחתה7[[#This Row],[תאריך]]="",0,הפחתה7[[#This Row],[יתרת פתיחה]]-הפחתה7[[#This Row],[קרן]]+הפחתה7[[#This Row],[מדד]])</f>
        <v>91954.57898204941</v>
      </c>
      <c r="AB71" s="11">
        <f ca="1">IF(הפחתה7[[#This Row],[יתרת
סגירה]]&gt;0,LastRow3-ROW(),0)</f>
        <v>232</v>
      </c>
      <c r="AC71" s="17">
        <f>ROWS($AC$4:AC71)</f>
        <v>68</v>
      </c>
      <c r="AD71" s="18" t="str">
        <f ca="1">IF(ValuesEntered4,IF(הפחתה8[[#This Row],[מס'']]&lt;=תקופת_ההלוואה4,IF(ROW()-ROW(הפחתה8[[#Headers],[תאריך]])=1,LoanStart4,IF(AJ70&gt;0,EDATE(AD70,1),"")),""),"")</f>
        <v/>
      </c>
      <c r="AE71" s="19">
        <f ca="1">IF(ROW()-ROW(הפחתה8[[#Headers],[יתרת פתיחה]])=1,סכום_הלוואה4,IF(הפחתה8[[#This Row],[תאריך]]="",0,INDEX(הפחתה8[], ROW()-4,8)))</f>
        <v>0</v>
      </c>
      <c r="AF71" s="19">
        <f ca="1">IF(ValuesEntered4,IF(ROW()-ROW(הפחתה8[[#Headers],[ריבית]])=1,-IPMT(שיעור_ריבית4/12,1,תקופת_ההלוואה4-ROWS($C$4:AD71)+1,הפחתה8[[#This Row],[יתרת פתיחה]]),IFERROR(-IPMT(שיעור_ריבית4/12,1,הפחתה8[[#This Row],[תשלומים
שנותרו]],AE72),0)),0)</f>
        <v>0</v>
      </c>
      <c r="AG71" s="19" t="str">
        <f ca="1">IFERROR(IF(AND(ValuesEntered4,הפחתה8[[#This Row],[תאריך]]&lt;&gt;""),-PPMT(שיעור_ריבית4/12,1,תקופת_ההלוואה4-ROWS($C$4:AD71)+1,הפחתה8[[#This Row],[יתרת פתיחה]]),""),0)</f>
        <v/>
      </c>
      <c r="AH71" s="19">
        <f ca="1">(הפחתה8[[#This Row],[יתרת פתיחה]])*(מדד4/12)</f>
        <v>0</v>
      </c>
      <c r="AI71" s="19">
        <f ca="1">IF(הפחתה8[[#This Row],[תאריך]]="",0,הפחתה8[[#This Row],[ריבית]]+הפחתה8[[#This Row],[קרן]]+הפחתה8[[#This Row],[מדד]])</f>
        <v>0</v>
      </c>
      <c r="AJ71" s="19">
        <f ca="1">IF(הפחתה8[[#This Row],[תאריך]]="",0,הפחתה8[[#This Row],[יתרת פתיחה]]-הפחתה8[[#This Row],[קרן]])</f>
        <v>0</v>
      </c>
      <c r="AK71" s="20">
        <f ca="1">IF(הפחתה8[[#This Row],[יתרת
סגירה]]&gt;0,LastRow4-ROW(),0)</f>
        <v>0</v>
      </c>
    </row>
    <row r="72" spans="1:37" ht="15" customHeight="1" x14ac:dyDescent="0.25">
      <c r="A72" s="8"/>
      <c r="B72" s="11">
        <f>ROWS($B$4:B72)</f>
        <v>69</v>
      </c>
      <c r="C72" s="12">
        <f>IF(ValuesEntered,IF(הפחתה[[#This Row],[מס'']]&lt;=תקופת_ההלוואה,IF(ROW()-ROW(הפחתה[[#Headers],[תאריך]])=1,LoanStart,IF(I71&gt;0,EDATE(C71,1),"")),""),"")</f>
        <v>47453</v>
      </c>
      <c r="D72" s="13">
        <f>IF(ROW()-ROW(הפחתה[[#Headers],[יתרת פתיחה]])=1,סכום_הלוואה,IF(הפחתה[[#This Row],[תאריך]]="",0,INDEX(הפחתה[], ROW()-4,8)))</f>
        <v>546058.48099748127</v>
      </c>
      <c r="E72" s="13">
        <f>IF(ValuesEntered,IF(ROW()-ROW(הפחתה[[#Headers],[ריבית]])=1,-IPMT(שיעור_ריבית/12,1,תקופת_ההלוואה-ROWS($C$4:C72)+1,הפחתה[[#This Row],[יתרת פתיחה]]),IFERROR(-IPMT(שיעור_ריבית/12,1,הפחתה[[#This Row],[תשלומים
שנותרו]],D73),0)),0)</f>
        <v>2407.6946502359096</v>
      </c>
      <c r="F72" s="13">
        <f>IFERROR(IF(AND(ValuesEntered,הפחתה[[#This Row],[תאריך]]&lt;&gt;""),-PPMT(שיעור_ריבית/12,1,תקופת_ההלוואה-ROWS($C$4:C72)+1,הפחתה[[#This Row],[יתרת פתיחה]]),""),0)</f>
        <v>920.06962331300929</v>
      </c>
      <c r="G72" s="13">
        <f>(הפחתה[[#This Row],[יתרת פתיחה]])*(מדד/12)</f>
        <v>0</v>
      </c>
      <c r="H72" s="13">
        <f>IF(הפחתה[[#This Row],[תאריך]]="",0,הפחתה[[#This Row],[ריבית]]+הפחתה[[#This Row],[קרן]]+הפחתה[[#This Row],[מדד]])</f>
        <v>3327.7642735489189</v>
      </c>
      <c r="I72" s="13">
        <f>IF(הפחתה[[#This Row],[תאריך]]="",0,הפחתה[[#This Row],[יתרת פתיחה]]-הפחתה[[#This Row],[קרן]]+הפחתה[[#This Row],[מדד]])</f>
        <v>545138.41137416824</v>
      </c>
      <c r="J72" s="11">
        <f>IF(הפחתה[[#This Row],[יתרת
סגירה]]&gt;0,LastRow-ROW(),0)</f>
        <v>291</v>
      </c>
      <c r="K72" s="11">
        <f>ROWS($K$4:K72)</f>
        <v>69</v>
      </c>
      <c r="L72" s="12">
        <f>IF(ValuesEntered2,IF(הפחתה5[[#This Row],[מס'']]&lt;=תקופת_ההלוואה2,IF(ROW()-ROW(הפחתה5[[#Headers],[תאריך]])=1,LoanStart2,IF(R71&gt;0,EDATE(L71,1),"")),""),"")</f>
        <v>47453</v>
      </c>
      <c r="M72" s="13">
        <f>IF(ROW()-ROW(הפחתה5[[#Headers],[יתרת פתיחה]])=1,סכום_הלוואה2,IF(הפחתה5[[#This Row],[תאריך]]="",0,INDEX(הפחתה5[], ROW()-4,8)))</f>
        <v>259050.26798247109</v>
      </c>
      <c r="N72" s="13">
        <f>IF(ValuesEntered2,IF(ROW()-ROW(הפחתה5[[#Headers],[ריבית]])=1,-IPMT(שיעור_ריבית2/12,1,תקופת_ההלוואה2-ROWS($L$4:L72)+1,הפחתה5[[#This Row],[יתרת פתיחה]]),IFERROR(-IPMT(שיעור_ריבית2/12,1,הפחתה5[[#This Row],[תשלומים
שנותרו]],M73),0)),0)</f>
        <v>1011.9223207111339</v>
      </c>
      <c r="O72" s="13">
        <f>IFERROR(IF(AND(ValuesEntered2,הפחתה5[[#This Row],[תאריך]]&lt;&gt;""),-PPMT(שיעור_ריבית2/12,1,תקופת_ההלוואה2-ROWS($L$4:L72)+1,הפחתה5[[#This Row],[יתרת פתיחה]]),""),0)</f>
        <v>687.12226899004747</v>
      </c>
      <c r="P72" s="13">
        <f>(הפחתה5[[#This Row],[יתרת פתיחה]])*(מדד2/12)</f>
        <v>0</v>
      </c>
      <c r="Q72" s="13">
        <f>IF(הפחתה5[[#This Row],[תאריך]]="",0,הפחתה5[[#This Row],[ריבית]]+הפחתה5[[#This Row],[קרן]]+הפחתה5[[#This Row],[מדד]])</f>
        <v>1699.0445897011814</v>
      </c>
      <c r="R72" s="13">
        <f>IF(הפחתה5[[#This Row],[תאריך]]="",0,הפחתה5[[#This Row],[יתרת פתיחה]]-הפחתה5[[#This Row],[קרן]]+הפחתה5[[#This Row],[מדד]])</f>
        <v>258363.14571348103</v>
      </c>
      <c r="S72" s="11">
        <f>IF(הפחתה5[[#This Row],[יתרת
סגירה]]&gt;0,LastRow2-ROW(),0)</f>
        <v>231</v>
      </c>
      <c r="T72" s="11">
        <f>ROWS($T$4:T72)</f>
        <v>69</v>
      </c>
      <c r="U72" s="12">
        <f ca="1">IF(ValuesEntered3,IF(הפחתה7[[#This Row],[מס'']]&lt;=תקופת_ההלוואה3,IF(ROW()-ROW(הפחתה7[[#Headers],[תאריך]])=1,LoanStart3,IF(AA71&gt;0,EDATE(U71,1),"")),""),"")</f>
        <v>47689</v>
      </c>
      <c r="V72" s="13">
        <f ca="1">IF(ROW()-ROW(הפחתה7[[#Headers],[יתרת פתיחה]])=1,סכום_הלוואה3,IF(הפחתה7[[#This Row],[תאריך]]="",0,INDEX(הפחתה7[], ROW()-4,8)))</f>
        <v>91954.57898204941</v>
      </c>
      <c r="W72" s="13">
        <f ca="1">IF(ValuesEntered3,IF(ROW()-ROW(הפחתה7[[#Headers],[ריבית]])=1,-IPMT(שיעור_ריבית3/12,1,תקופת_ההלוואה3-ROWS($C$4:U72)+1,הפחתה7[[#This Row],[יתרת פתיחה]]),IFERROR(-IPMT(שיעור_ריבית3/12,1,הפחתה7[[#This Row],[תשלומים
שנותרו]],V73),0)),0)</f>
        <v>175.93604819146958</v>
      </c>
      <c r="X72" s="13">
        <f ca="1">IFERROR(IF(AND(ValuesEntered3,הפחתה7[[#This Row],[תאריך]]&lt;&gt;""),-PPMT(שיעור_ריבית3/12,1,תקופת_ההלוואה3-ROWS($C$4:U72)+1,הפחתה7[[#This Row],[יתרת פתיחה]]),""),0)</f>
        <v>315.1158181368092</v>
      </c>
      <c r="Y72" s="13">
        <f ca="1">(הפחתה7[[#This Row],[יתרת פתיחה]])*(מדד3/12)</f>
        <v>153.25763163674904</v>
      </c>
      <c r="Z72" s="13">
        <f ca="1">IF(הפחתה7[[#This Row],[תאריך]]="",0,הפחתה7[[#This Row],[ריבית]]+הפחתה7[[#This Row],[קרן]]+הפחתה7[[#This Row],[מדד]])</f>
        <v>644.30949796502784</v>
      </c>
      <c r="AA72" s="13">
        <f ca="1">IF(הפחתה7[[#This Row],[תאריך]]="",0,הפחתה7[[#This Row],[יתרת פתיחה]]-הפחתה7[[#This Row],[קרן]]+הפחתה7[[#This Row],[מדד]])</f>
        <v>91792.72079554935</v>
      </c>
      <c r="AB72" s="11">
        <f ca="1">IF(הפחתה7[[#This Row],[יתרת
סגירה]]&gt;0,LastRow3-ROW(),0)</f>
        <v>231</v>
      </c>
      <c r="AC72" s="17">
        <f>ROWS($AC$4:AC72)</f>
        <v>69</v>
      </c>
      <c r="AD72" s="18" t="str">
        <f ca="1">IF(ValuesEntered4,IF(הפחתה8[[#This Row],[מס'']]&lt;=תקופת_ההלוואה4,IF(ROW()-ROW(הפחתה8[[#Headers],[תאריך]])=1,LoanStart4,IF(AJ71&gt;0,EDATE(AD71,1),"")),""),"")</f>
        <v/>
      </c>
      <c r="AE72" s="19">
        <f ca="1">IF(ROW()-ROW(הפחתה8[[#Headers],[יתרת פתיחה]])=1,סכום_הלוואה4,IF(הפחתה8[[#This Row],[תאריך]]="",0,INDEX(הפחתה8[], ROW()-4,8)))</f>
        <v>0</v>
      </c>
      <c r="AF72" s="19">
        <f ca="1">IF(ValuesEntered4,IF(ROW()-ROW(הפחתה8[[#Headers],[ריבית]])=1,-IPMT(שיעור_ריבית4/12,1,תקופת_ההלוואה4-ROWS($C$4:AD72)+1,הפחתה8[[#This Row],[יתרת פתיחה]]),IFERROR(-IPMT(שיעור_ריבית4/12,1,הפחתה8[[#This Row],[תשלומים
שנותרו]],AE73),0)),0)</f>
        <v>0</v>
      </c>
      <c r="AG72" s="19" t="str">
        <f ca="1">IFERROR(IF(AND(ValuesEntered4,הפחתה8[[#This Row],[תאריך]]&lt;&gt;""),-PPMT(שיעור_ריבית4/12,1,תקופת_ההלוואה4-ROWS($C$4:AD72)+1,הפחתה8[[#This Row],[יתרת פתיחה]]),""),0)</f>
        <v/>
      </c>
      <c r="AH72" s="19">
        <f ca="1">(הפחתה8[[#This Row],[יתרת פתיחה]])*(מדד4/12)</f>
        <v>0</v>
      </c>
      <c r="AI72" s="19">
        <f ca="1">IF(הפחתה8[[#This Row],[תאריך]]="",0,הפחתה8[[#This Row],[ריבית]]+הפחתה8[[#This Row],[קרן]]+הפחתה8[[#This Row],[מדד]])</f>
        <v>0</v>
      </c>
      <c r="AJ72" s="19">
        <f ca="1">IF(הפחתה8[[#This Row],[תאריך]]="",0,הפחתה8[[#This Row],[יתרת פתיחה]]-הפחתה8[[#This Row],[קרן]])</f>
        <v>0</v>
      </c>
      <c r="AK72" s="20">
        <f ca="1">IF(הפחתה8[[#This Row],[יתרת
סגירה]]&gt;0,LastRow4-ROW(),0)</f>
        <v>0</v>
      </c>
    </row>
    <row r="73" spans="1:37" ht="15" customHeight="1" x14ac:dyDescent="0.25">
      <c r="A73" s="8"/>
      <c r="B73" s="11">
        <f>ROWS($B$4:B73)</f>
        <v>70</v>
      </c>
      <c r="C73" s="12">
        <f>IF(ValuesEntered,IF(הפחתה[[#This Row],[מס'']]&lt;=תקופת_ההלוואה,IF(ROW()-ROW(הפחתה[[#Headers],[תאריך]])=1,LoanStart,IF(I72&gt;0,EDATE(C72,1),"")),""),"")</f>
        <v>47484</v>
      </c>
      <c r="D73" s="13">
        <f>IF(ROW()-ROW(הפחתה[[#Headers],[יתרת פתיחה]])=1,סכום_הלוואה,IF(הפחתה[[#This Row],[תאריך]]="",0,INDEX(הפחתה[], ROW()-4,8)))</f>
        <v>545138.41137416824</v>
      </c>
      <c r="E73" s="13">
        <f>IF(ValuesEntered,IF(ROW()-ROW(הפחתה[[#Headers],[ריבית]])=1,-IPMT(שיעור_ריבית/12,1,תקופת_ההלוואה-ROWS($C$4:C73)+1,הפחתה[[#This Row],[יתרת פתיחה]]),IFERROR(-IPMT(שיעור_ריבית/12,1,הפחתה[[#This Row],[תשלומים
שנותרו]],D74),0)),0)</f>
        <v>2403.6130616525838</v>
      </c>
      <c r="F73" s="13">
        <f>IFERROR(IF(AND(ValuesEntered,הפחתה[[#This Row],[תאריך]]&lt;&gt;""),-PPMT(שיעור_ריבית/12,1,תקופת_ההלוואה-ROWS($C$4:C73)+1,הפחתה[[#This Row],[יתרת פתיחה]]),""),0)</f>
        <v>924.13326414930816</v>
      </c>
      <c r="G73" s="13">
        <f>(הפחתה[[#This Row],[יתרת פתיחה]])*(מדד/12)</f>
        <v>0</v>
      </c>
      <c r="H73" s="13">
        <f>IF(הפחתה[[#This Row],[תאריך]]="",0,הפחתה[[#This Row],[ריבית]]+הפחתה[[#This Row],[קרן]]+הפחתה[[#This Row],[מדד]])</f>
        <v>3327.746325801892</v>
      </c>
      <c r="I73" s="13">
        <f>IF(הפחתה[[#This Row],[תאריך]]="",0,הפחתה[[#This Row],[יתרת פתיחה]]-הפחתה[[#This Row],[קרן]]+הפחתה[[#This Row],[מדד]])</f>
        <v>544214.27811001893</v>
      </c>
      <c r="J73" s="11">
        <f>IF(הפחתה[[#This Row],[יתרת
סגירה]]&gt;0,LastRow-ROW(),0)</f>
        <v>290</v>
      </c>
      <c r="K73" s="11">
        <f>ROWS($K$4:K73)</f>
        <v>70</v>
      </c>
      <c r="L73" s="12">
        <f>IF(ValuesEntered2,IF(הפחתה5[[#This Row],[מס'']]&lt;=תקופת_ההלוואה2,IF(ROW()-ROW(הפחתה5[[#Headers],[תאריך]])=1,LoanStart2,IF(R72&gt;0,EDATE(L72,1),"")),""),"")</f>
        <v>47484</v>
      </c>
      <c r="M73" s="13">
        <f>IF(ROW()-ROW(הפחתה5[[#Headers],[יתרת פתיחה]])=1,סכום_הלוואה2,IF(הפחתה5[[#This Row],[תאריך]]="",0,INDEX(הפחתה5[], ROW()-4,8)))</f>
        <v>258363.14571348103</v>
      </c>
      <c r="N73" s="13">
        <f>IF(ValuesEntered2,IF(ROW()-ROW(הפחתה5[[#Headers],[ריבית]])=1,-IPMT(שיעור_ריבית2/12,1,תקופת_ההלוואה2-ROWS($L$4:L73)+1,הפחתה5[[#This Row],[יתרת פתיחה]]),IFERROR(-IPMT(שיעור_ריבית2/12,1,הפחתה5[[#This Row],[תשלומים
שנותרו]],M74),0)),0)</f>
        <v>1009.2205511777827</v>
      </c>
      <c r="O73" s="13">
        <f>IFERROR(IF(AND(ValuesEntered2,הפחתה5[[#This Row],[תאריך]]&lt;&gt;""),-PPMT(שיעור_ריבית2/12,1,תקופת_ההלוואה2-ROWS($L$4:L73)+1,הפחתה5[[#This Row],[יתרת פתיחה]]),""),0)</f>
        <v>689.81349787692511</v>
      </c>
      <c r="P73" s="13">
        <f>(הפחתה5[[#This Row],[יתרת פתיחה]])*(מדד2/12)</f>
        <v>0</v>
      </c>
      <c r="Q73" s="13">
        <f>IF(הפחתה5[[#This Row],[תאריך]]="",0,הפחתה5[[#This Row],[ריבית]]+הפחתה5[[#This Row],[קרן]]+הפחתה5[[#This Row],[מדד]])</f>
        <v>1699.0340490547078</v>
      </c>
      <c r="R73" s="13">
        <f>IF(הפחתה5[[#This Row],[תאריך]]="",0,הפחתה5[[#This Row],[יתרת פתיחה]]-הפחתה5[[#This Row],[קרן]]+הפחתה5[[#This Row],[מדד]])</f>
        <v>257673.33221560411</v>
      </c>
      <c r="S73" s="11">
        <f>IF(הפחתה5[[#This Row],[יתרת
סגירה]]&gt;0,LastRow2-ROW(),0)</f>
        <v>230</v>
      </c>
      <c r="T73" s="11">
        <f>ROWS($T$4:T73)</f>
        <v>70</v>
      </c>
      <c r="U73" s="12">
        <f ca="1">IF(ValuesEntered3,IF(הפחתה7[[#This Row],[מס'']]&lt;=תקופת_ההלוואה3,IF(ROW()-ROW(הפחתה7[[#Headers],[תאריך]])=1,LoanStart3,IF(AA72&gt;0,EDATE(U72,1),"")),""),"")</f>
        <v>47720</v>
      </c>
      <c r="V73" s="13">
        <f ca="1">IF(ROW()-ROW(הפחתה7[[#Headers],[יתרת פתיחה]])=1,סכום_הלוואה3,IF(הפחתה7[[#This Row],[תאריך]]="",0,INDEX(הפחתה7[], ROW()-4,8)))</f>
        <v>91792.72079554935</v>
      </c>
      <c r="W73" s="13">
        <f ca="1">IF(ValuesEntered3,IF(ROW()-ROW(הפחתה7[[#Headers],[ריבית]])=1,-IPMT(שיעור_ריבית3/12,1,תקופת_ההלוואה3-ROWS($C$4:U73)+1,הפחתה7[[#This Row],[יתרת פתיחה]]),IFERROR(-IPMT(שיעור_ריבית3/12,1,הפחתה7[[#This Row],[תשלומים
שנותרו]],V74),0)),0)</f>
        <v>175.62313332334708</v>
      </c>
      <c r="X73" s="13">
        <f ca="1">IFERROR(IF(AND(ValuesEntered3,הפחתה7[[#This Row],[תאריך]]&lt;&gt;""),-PPMT(שיעור_ריבית3/12,1,תקופת_ההלוואה3-ROWS($C$4:U73)+1,הפחתה7[[#This Row],[יתרת פתיחה]]),""),0)</f>
        <v>316.24779918692718</v>
      </c>
      <c r="Y73" s="13">
        <f ca="1">(הפחתה7[[#This Row],[יתרת פתיחה]])*(מדד3/12)</f>
        <v>152.98786799258227</v>
      </c>
      <c r="Z73" s="13">
        <f ca="1">IF(הפחתה7[[#This Row],[תאריך]]="",0,הפחתה7[[#This Row],[ריבית]]+הפחתה7[[#This Row],[קרן]]+הפחתה7[[#This Row],[מדד]])</f>
        <v>644.85880050285652</v>
      </c>
      <c r="AA73" s="13">
        <f ca="1">IF(הפחתה7[[#This Row],[תאריך]]="",0,הפחתה7[[#This Row],[יתרת פתיחה]]-הפחתה7[[#This Row],[קרן]]+הפחתה7[[#This Row],[מדד]])</f>
        <v>91629.460864355002</v>
      </c>
      <c r="AB73" s="11">
        <f ca="1">IF(הפחתה7[[#This Row],[יתרת
סגירה]]&gt;0,LastRow3-ROW(),0)</f>
        <v>230</v>
      </c>
      <c r="AC73" s="17">
        <f>ROWS($AC$4:AC73)</f>
        <v>70</v>
      </c>
      <c r="AD73" s="18" t="str">
        <f ca="1">IF(ValuesEntered4,IF(הפחתה8[[#This Row],[מס'']]&lt;=תקופת_ההלוואה4,IF(ROW()-ROW(הפחתה8[[#Headers],[תאריך]])=1,LoanStart4,IF(AJ72&gt;0,EDATE(AD72,1),"")),""),"")</f>
        <v/>
      </c>
      <c r="AE73" s="19">
        <f ca="1">IF(ROW()-ROW(הפחתה8[[#Headers],[יתרת פתיחה]])=1,סכום_הלוואה4,IF(הפחתה8[[#This Row],[תאריך]]="",0,INDEX(הפחתה8[], ROW()-4,8)))</f>
        <v>0</v>
      </c>
      <c r="AF73" s="19">
        <f ca="1">IF(ValuesEntered4,IF(ROW()-ROW(הפחתה8[[#Headers],[ריבית]])=1,-IPMT(שיעור_ריבית4/12,1,תקופת_ההלוואה4-ROWS($C$4:AD73)+1,הפחתה8[[#This Row],[יתרת פתיחה]]),IFERROR(-IPMT(שיעור_ריבית4/12,1,הפחתה8[[#This Row],[תשלומים
שנותרו]],AE74),0)),0)</f>
        <v>0</v>
      </c>
      <c r="AG73" s="19" t="str">
        <f ca="1">IFERROR(IF(AND(ValuesEntered4,הפחתה8[[#This Row],[תאריך]]&lt;&gt;""),-PPMT(שיעור_ריבית4/12,1,תקופת_ההלוואה4-ROWS($C$4:AD73)+1,הפחתה8[[#This Row],[יתרת פתיחה]]),""),0)</f>
        <v/>
      </c>
      <c r="AH73" s="19">
        <f ca="1">(הפחתה8[[#This Row],[יתרת פתיחה]])*(מדד4/12)</f>
        <v>0</v>
      </c>
      <c r="AI73" s="19">
        <f ca="1">IF(הפחתה8[[#This Row],[תאריך]]="",0,הפחתה8[[#This Row],[ריבית]]+הפחתה8[[#This Row],[קרן]]+הפחתה8[[#This Row],[מדד]])</f>
        <v>0</v>
      </c>
      <c r="AJ73" s="19">
        <f ca="1">IF(הפחתה8[[#This Row],[תאריך]]="",0,הפחתה8[[#This Row],[יתרת פתיחה]]-הפחתה8[[#This Row],[קרן]])</f>
        <v>0</v>
      </c>
      <c r="AK73" s="20">
        <f ca="1">IF(הפחתה8[[#This Row],[יתרת
סגירה]]&gt;0,LastRow4-ROW(),0)</f>
        <v>0</v>
      </c>
    </row>
    <row r="74" spans="1:37" ht="15" customHeight="1" x14ac:dyDescent="0.25">
      <c r="A74" s="8"/>
      <c r="B74" s="11">
        <f>ROWS($B$4:B74)</f>
        <v>71</v>
      </c>
      <c r="C74" s="12">
        <f>IF(ValuesEntered,IF(הפחתה[[#This Row],[מס'']]&lt;=תקופת_ההלוואה,IF(ROW()-ROW(הפחתה[[#Headers],[תאריך]])=1,LoanStart,IF(I73&gt;0,EDATE(C73,1),"")),""),"")</f>
        <v>47515</v>
      </c>
      <c r="D74" s="13">
        <f>IF(ROW()-ROW(הפחתה[[#Headers],[יתרת פתיחה]])=1,סכום_הלוואה,IF(הפחתה[[#This Row],[תאריך]]="",0,INDEX(הפחתה[], ROW()-4,8)))</f>
        <v>544214.27811001893</v>
      </c>
      <c r="E74" s="13">
        <f>IF(ValuesEntered,IF(ROW()-ROW(הפחתה[[#Headers],[ריבית]])=1,-IPMT(שיעור_ריבית/12,1,תקופת_ההלוואה-ROWS($C$4:C74)+1,הפחתה[[#This Row],[יתרת פתיחה]]),IFERROR(-IPMT(שיעור_ריבית/12,1,הפחתה[[#This Row],[תשלומים
שנותרו]],D75),0)),0)</f>
        <v>2399.5134460530148</v>
      </c>
      <c r="F74" s="13">
        <f>IFERROR(IF(AND(ValuesEntered,הפחתה[[#This Row],[תאריך]]&lt;&gt;""),-PPMT(שיעור_ריבית/12,1,תקופת_ההלוואה-ROWS($C$4:C74)+1,הפחתה[[#This Row],[יתרת פתיחה]]),""),0)</f>
        <v>928.21485273263431</v>
      </c>
      <c r="G74" s="13">
        <f>(הפחתה[[#This Row],[יתרת פתיחה]])*(מדד/12)</f>
        <v>0</v>
      </c>
      <c r="H74" s="13">
        <f>IF(הפחתה[[#This Row],[תאריך]]="",0,הפחתה[[#This Row],[ריבית]]+הפחתה[[#This Row],[קרן]]+הפחתה[[#This Row],[מדד]])</f>
        <v>3327.7282987856493</v>
      </c>
      <c r="I74" s="13">
        <f>IF(הפחתה[[#This Row],[תאריך]]="",0,הפחתה[[#This Row],[יתרת פתיחה]]-הפחתה[[#This Row],[קרן]]+הפחתה[[#This Row],[מדד]])</f>
        <v>543286.06325728633</v>
      </c>
      <c r="J74" s="11">
        <f>IF(הפחתה[[#This Row],[יתרת
סגירה]]&gt;0,LastRow-ROW(),0)</f>
        <v>289</v>
      </c>
      <c r="K74" s="11">
        <f>ROWS($K$4:K74)</f>
        <v>71</v>
      </c>
      <c r="L74" s="12">
        <f>IF(ValuesEntered2,IF(הפחתה5[[#This Row],[מס'']]&lt;=תקופת_ההלוואה2,IF(ROW()-ROW(הפחתה5[[#Headers],[תאריך]])=1,LoanStart2,IF(R73&gt;0,EDATE(L73,1),"")),""),"")</f>
        <v>47515</v>
      </c>
      <c r="M74" s="13">
        <f>IF(ROW()-ROW(הפחתה5[[#Headers],[יתרת פתיחה]])=1,סכום_הלוואה2,IF(הפחתה5[[#This Row],[תאריך]]="",0,INDEX(הפחתה5[], ROW()-4,8)))</f>
        <v>257673.33221560411</v>
      </c>
      <c r="N74" s="13">
        <f>IF(ValuesEntered2,IF(ROW()-ROW(הפחתה5[[#Headers],[ריבית]])=1,-IPMT(שיעור_ריבית2/12,1,תקופת_ההלוואה2-ROWS($L$4:L74)+1,הפחתה5[[#This Row],[יתרת פתיחה]]),IFERROR(-IPMT(שיעור_ריבית2/12,1,הפחתה5[[#This Row],[תשלומים
שנותרו]],M75),0)),0)</f>
        <v>1006.508199713759</v>
      </c>
      <c r="O74" s="13">
        <f>IFERROR(IF(AND(ValuesEntered2,הפחתה5[[#This Row],[תאריך]]&lt;&gt;""),-PPMT(שיעור_ריבית2/12,1,תקופת_ההלוואה2-ROWS($L$4:L74)+1,הפחתה5[[#This Row],[יתרת פתיחה]]),""),0)</f>
        <v>692.51526741027635</v>
      </c>
      <c r="P74" s="13">
        <f>(הפחתה5[[#This Row],[יתרת פתיחה]])*(מדד2/12)</f>
        <v>0</v>
      </c>
      <c r="Q74" s="13">
        <f>IF(הפחתה5[[#This Row],[תאריך]]="",0,הפחתה5[[#This Row],[ריבית]]+הפחתה5[[#This Row],[קרן]]+הפחתה5[[#This Row],[מדד]])</f>
        <v>1699.0234671240355</v>
      </c>
      <c r="R74" s="13">
        <f>IF(הפחתה5[[#This Row],[תאריך]]="",0,הפחתה5[[#This Row],[יתרת פתיחה]]-הפחתה5[[#This Row],[קרן]]+הפחתה5[[#This Row],[מדד]])</f>
        <v>256980.81694819382</v>
      </c>
      <c r="S74" s="11">
        <f>IF(הפחתה5[[#This Row],[יתרת
סגירה]]&gt;0,LastRow2-ROW(),0)</f>
        <v>229</v>
      </c>
      <c r="T74" s="11">
        <f>ROWS($T$4:T74)</f>
        <v>71</v>
      </c>
      <c r="U74" s="12">
        <f ca="1">IF(ValuesEntered3,IF(הפחתה7[[#This Row],[מס'']]&lt;=תקופת_ההלוואה3,IF(ROW()-ROW(הפחתה7[[#Headers],[תאריך]])=1,LoanStart3,IF(AA73&gt;0,EDATE(U73,1),"")),""),"")</f>
        <v>47751</v>
      </c>
      <c r="V74" s="13">
        <f ca="1">IF(ROW()-ROW(הפחתה7[[#Headers],[יתרת פתיחה]])=1,סכום_הלוואה3,IF(הפחתה7[[#This Row],[תאריך]]="",0,INDEX(הפחתה7[], ROW()-4,8)))</f>
        <v>91629.460864355002</v>
      </c>
      <c r="W74" s="13">
        <f ca="1">IF(ValuesEntered3,IF(ROW()-ROW(הפחתה7[[#Headers],[ריבית]])=1,-IPMT(שיעור_ריבית3/12,1,תקופת_ההלוואה3-ROWS($C$4:U74)+1,הפחתה7[[#This Row],[יתרת פתיחה]]),IFERROR(-IPMT(שיעור_ריבית3/12,1,הפחתה7[[#This Row],[תשלומים
שנותרו]],V75),0)),0)</f>
        <v>175.30751948747402</v>
      </c>
      <c r="X74" s="13">
        <f ca="1">IFERROR(IF(AND(ValuesEntered3,הפחתה7[[#This Row],[תאריך]]&lt;&gt;""),-PPMT(שיעור_ריבית3/12,1,תקופת_ההלוואה3-ROWS($C$4:U74)+1,הפחתה7[[#This Row],[יתרת פתיחה]]),""),0)</f>
        <v>317.38385638885831</v>
      </c>
      <c r="Y74" s="13">
        <f ca="1">(הפחתה7[[#This Row],[יתרת פתיחה]])*(מדד3/12)</f>
        <v>152.71576810725836</v>
      </c>
      <c r="Z74" s="13">
        <f ca="1">IF(הפחתה7[[#This Row],[תאריך]]="",0,הפחתה7[[#This Row],[ריבית]]+הפחתה7[[#This Row],[קרן]]+הפחתה7[[#This Row],[מדד]])</f>
        <v>645.40714398359069</v>
      </c>
      <c r="AA74" s="13">
        <f ca="1">IF(הפחתה7[[#This Row],[תאריך]]="",0,הפחתה7[[#This Row],[יתרת פתיחה]]-הפחתה7[[#This Row],[קרן]]+הפחתה7[[#This Row],[מדד]])</f>
        <v>91464.792776073402</v>
      </c>
      <c r="AB74" s="11">
        <f ca="1">IF(הפחתה7[[#This Row],[יתרת
סגירה]]&gt;0,LastRow3-ROW(),0)</f>
        <v>229</v>
      </c>
      <c r="AC74" s="17">
        <f>ROWS($AC$4:AC74)</f>
        <v>71</v>
      </c>
      <c r="AD74" s="18" t="str">
        <f ca="1">IF(ValuesEntered4,IF(הפחתה8[[#This Row],[מס'']]&lt;=תקופת_ההלוואה4,IF(ROW()-ROW(הפחתה8[[#Headers],[תאריך]])=1,LoanStart4,IF(AJ73&gt;0,EDATE(AD73,1),"")),""),"")</f>
        <v/>
      </c>
      <c r="AE74" s="19">
        <f ca="1">IF(ROW()-ROW(הפחתה8[[#Headers],[יתרת פתיחה]])=1,סכום_הלוואה4,IF(הפחתה8[[#This Row],[תאריך]]="",0,INDEX(הפחתה8[], ROW()-4,8)))</f>
        <v>0</v>
      </c>
      <c r="AF74" s="19">
        <f ca="1">IF(ValuesEntered4,IF(ROW()-ROW(הפחתה8[[#Headers],[ריבית]])=1,-IPMT(שיעור_ריבית4/12,1,תקופת_ההלוואה4-ROWS($C$4:AD74)+1,הפחתה8[[#This Row],[יתרת פתיחה]]),IFERROR(-IPMT(שיעור_ריבית4/12,1,הפחתה8[[#This Row],[תשלומים
שנותרו]],AE75),0)),0)</f>
        <v>0</v>
      </c>
      <c r="AG74" s="19" t="str">
        <f ca="1">IFERROR(IF(AND(ValuesEntered4,הפחתה8[[#This Row],[תאריך]]&lt;&gt;""),-PPMT(שיעור_ריבית4/12,1,תקופת_ההלוואה4-ROWS($C$4:AD74)+1,הפחתה8[[#This Row],[יתרת פתיחה]]),""),0)</f>
        <v/>
      </c>
      <c r="AH74" s="19">
        <f ca="1">(הפחתה8[[#This Row],[יתרת פתיחה]])*(מדד4/12)</f>
        <v>0</v>
      </c>
      <c r="AI74" s="19">
        <f ca="1">IF(הפחתה8[[#This Row],[תאריך]]="",0,הפחתה8[[#This Row],[ריבית]]+הפחתה8[[#This Row],[קרן]]+הפחתה8[[#This Row],[מדד]])</f>
        <v>0</v>
      </c>
      <c r="AJ74" s="19">
        <f ca="1">IF(הפחתה8[[#This Row],[תאריך]]="",0,הפחתה8[[#This Row],[יתרת פתיחה]]-הפחתה8[[#This Row],[קרן]])</f>
        <v>0</v>
      </c>
      <c r="AK74" s="20">
        <f ca="1">IF(הפחתה8[[#This Row],[יתרת
סגירה]]&gt;0,LastRow4-ROW(),0)</f>
        <v>0</v>
      </c>
    </row>
    <row r="75" spans="1:37" ht="15" customHeight="1" x14ac:dyDescent="0.25">
      <c r="A75" s="8"/>
      <c r="B75" s="11">
        <f>ROWS($B$4:B75)</f>
        <v>72</v>
      </c>
      <c r="C75" s="12">
        <f>IF(ValuesEntered,IF(הפחתה[[#This Row],[מס'']]&lt;=תקופת_ההלוואה,IF(ROW()-ROW(הפחתה[[#Headers],[תאריך]])=1,LoanStart,IF(I74&gt;0,EDATE(C74,1),"")),""),"")</f>
        <v>47543</v>
      </c>
      <c r="D75" s="13">
        <f>IF(ROW()-ROW(הפחתה[[#Headers],[יתרת פתיחה]])=1,סכום_הלוואה,IF(הפחתה[[#This Row],[תאריך]]="",0,INDEX(הפחתה[], ROW()-4,8)))</f>
        <v>543286.06325728633</v>
      </c>
      <c r="E75" s="13">
        <f>IF(ValuesEntered,IF(ROW()-ROW(הפחתה[[#Headers],[ריבית]])=1,-IPMT(שיעור_ריבית/12,1,תקופת_ההלוואה-ROWS($C$4:C75)+1,הפחתה[[#This Row],[יתרת פתיחה]]),IFERROR(-IPMT(שיעור_ריבית/12,1,הפחתה[[#This Row],[תשלומים
שנותרו]],D76),0)),0)</f>
        <v>2395.3957238178809</v>
      </c>
      <c r="F75" s="13">
        <f>IFERROR(IF(AND(ValuesEntered,הפחתה[[#This Row],[תאריך]]&lt;&gt;""),-PPMT(שיעור_ריבית/12,1,תקופת_ההלוואה-ROWS($C$4:C75)+1,הפחתה[[#This Row],[יתרת פתיחה]]),""),0)</f>
        <v>932.31446833220366</v>
      </c>
      <c r="G75" s="13">
        <f>(הפחתה[[#This Row],[יתרת פתיחה]])*(מדד/12)</f>
        <v>0</v>
      </c>
      <c r="H75" s="13">
        <f>IF(הפחתה[[#This Row],[תאריך]]="",0,הפחתה[[#This Row],[ריבית]]+הפחתה[[#This Row],[קרן]]+הפחתה[[#This Row],[מדד]])</f>
        <v>3327.7101921500844</v>
      </c>
      <c r="I75" s="13">
        <f>IF(הפחתה[[#This Row],[תאריך]]="",0,הפחתה[[#This Row],[יתרת פתיחה]]-הפחתה[[#This Row],[קרן]]+הפחתה[[#This Row],[מדד]])</f>
        <v>542353.74878895411</v>
      </c>
      <c r="J75" s="11">
        <f>IF(הפחתה[[#This Row],[יתרת
סגירה]]&gt;0,LastRow-ROW(),0)</f>
        <v>288</v>
      </c>
      <c r="K75" s="11">
        <f>ROWS($K$4:K75)</f>
        <v>72</v>
      </c>
      <c r="L75" s="12">
        <f>IF(ValuesEntered2,IF(הפחתה5[[#This Row],[מס'']]&lt;=תקופת_ההלוואה2,IF(ROW()-ROW(הפחתה5[[#Headers],[תאריך]])=1,LoanStart2,IF(R74&gt;0,EDATE(L74,1),"")),""),"")</f>
        <v>47543</v>
      </c>
      <c r="M75" s="13">
        <f>IF(ROW()-ROW(הפחתה5[[#Headers],[יתרת פתיחה]])=1,סכום_הלוואה2,IF(הפחתה5[[#This Row],[תאריך]]="",0,INDEX(הפחתה5[], ROW()-4,8)))</f>
        <v>256980.81694819382</v>
      </c>
      <c r="N75" s="13">
        <f>IF(ValuesEntered2,IF(ROW()-ROW(הפחתה5[[#Headers],[ריבית]])=1,-IPMT(שיעור_ריבית2/12,1,תקופת_ההלוואה2-ROWS($L$4:L75)+1,הפחתה5[[#This Row],[יתרת פתיחה]]),IFERROR(-IPMT(שיעור_ריבית2/12,1,הפחתה5[[#This Row],[תשלומים
שנותרו]],M76),0)),0)</f>
        <v>1003.785224873168</v>
      </c>
      <c r="O75" s="13">
        <f>IFERROR(IF(AND(ValuesEntered2,הפחתה5[[#This Row],[תאריך]]&lt;&gt;""),-PPMT(שיעור_ריבית2/12,1,תקופת_ההלוואה2-ROWS($L$4:L75)+1,הפחתה5[[#This Row],[יתרת פתיחה]]),""),0)</f>
        <v>695.22761887429999</v>
      </c>
      <c r="P75" s="13">
        <f>(הפחתה5[[#This Row],[יתרת פתיחה]])*(מדד2/12)</f>
        <v>0</v>
      </c>
      <c r="Q75" s="13">
        <f>IF(הפחתה5[[#This Row],[תאריך]]="",0,הפחתה5[[#This Row],[ריבית]]+הפחתה5[[#This Row],[קרן]]+הפחתה5[[#This Row],[מדד]])</f>
        <v>1699.012843747468</v>
      </c>
      <c r="R75" s="13">
        <f>IF(הפחתה5[[#This Row],[תאריך]]="",0,הפחתה5[[#This Row],[יתרת פתיחה]]-הפחתה5[[#This Row],[קרן]]+הפחתה5[[#This Row],[מדד]])</f>
        <v>256285.58932931951</v>
      </c>
      <c r="S75" s="11">
        <f>IF(הפחתה5[[#This Row],[יתרת
סגירה]]&gt;0,LastRow2-ROW(),0)</f>
        <v>228</v>
      </c>
      <c r="T75" s="11">
        <f>ROWS($T$4:T75)</f>
        <v>72</v>
      </c>
      <c r="U75" s="12">
        <f ca="1">IF(ValuesEntered3,IF(הפחתה7[[#This Row],[מס'']]&lt;=תקופת_ההלוואה3,IF(ROW()-ROW(הפחתה7[[#Headers],[תאריך]])=1,LoanStart3,IF(AA74&gt;0,EDATE(U74,1),"")),""),"")</f>
        <v>47781</v>
      </c>
      <c r="V75" s="13">
        <f ca="1">IF(ROW()-ROW(הפחתה7[[#Headers],[יתרת פתיחה]])=1,סכום_הלוואה3,IF(הפחתה7[[#This Row],[תאריך]]="",0,INDEX(הפחתה7[], ROW()-4,8)))</f>
        <v>91464.792776073402</v>
      </c>
      <c r="W75" s="13">
        <f ca="1">IF(ValuesEntered3,IF(ROW()-ROW(הפחתה7[[#Headers],[ריבית]])=1,-IPMT(שיעור_ריבית3/12,1,תקופת_ההלוואה3-ROWS($C$4:U75)+1,הפחתה7[[#This Row],[יתרת פתיחה]]),IFERROR(-IPMT(שיעור_ריבית3/12,1,הפחתה7[[#This Row],[תשלומים
שנותרו]],V76),0)),0)</f>
        <v>174.98919434458008</v>
      </c>
      <c r="X75" s="13">
        <f ca="1">IFERROR(IF(AND(ValuesEntered3,הפחתה7[[#This Row],[תאריך]]&lt;&gt;""),-PPMT(שיעור_ריבית3/12,1,תקופת_ההלוואה3-ROWS($C$4:U75)+1,הפחתה7[[#This Row],[יתרת פתיחה]]),""),0)</f>
        <v>318.52400454245998</v>
      </c>
      <c r="Y75" s="13">
        <f ca="1">(הפחתה7[[#This Row],[יתרת פתיחה]])*(מדד3/12)</f>
        <v>152.44132129345567</v>
      </c>
      <c r="Z75" s="13">
        <f ca="1">IF(הפחתה7[[#This Row],[תאריך]]="",0,הפחתה7[[#This Row],[ריבית]]+הפחתה7[[#This Row],[קרן]]+הפחתה7[[#This Row],[מדד]])</f>
        <v>645.95452018049571</v>
      </c>
      <c r="AA75" s="13">
        <f ca="1">IF(הפחתה7[[#This Row],[תאריך]]="",0,הפחתה7[[#This Row],[יתרת פתיחה]]-הפחתה7[[#This Row],[קרן]]+הפחתה7[[#This Row],[מדד]])</f>
        <v>91298.710092824404</v>
      </c>
      <c r="AB75" s="11">
        <f ca="1">IF(הפחתה7[[#This Row],[יתרת
סגירה]]&gt;0,LastRow3-ROW(),0)</f>
        <v>228</v>
      </c>
      <c r="AC75" s="17">
        <f>ROWS($AC$4:AC75)</f>
        <v>72</v>
      </c>
      <c r="AD75" s="18" t="str">
        <f ca="1">IF(ValuesEntered4,IF(הפחתה8[[#This Row],[מס'']]&lt;=תקופת_ההלוואה4,IF(ROW()-ROW(הפחתה8[[#Headers],[תאריך]])=1,LoanStart4,IF(AJ74&gt;0,EDATE(AD74,1),"")),""),"")</f>
        <v/>
      </c>
      <c r="AE75" s="19">
        <f ca="1">IF(ROW()-ROW(הפחתה8[[#Headers],[יתרת פתיחה]])=1,סכום_הלוואה4,IF(הפחתה8[[#This Row],[תאריך]]="",0,INDEX(הפחתה8[], ROW()-4,8)))</f>
        <v>0</v>
      </c>
      <c r="AF75" s="19">
        <f ca="1">IF(ValuesEntered4,IF(ROW()-ROW(הפחתה8[[#Headers],[ריבית]])=1,-IPMT(שיעור_ריבית4/12,1,תקופת_ההלוואה4-ROWS($C$4:AD75)+1,הפחתה8[[#This Row],[יתרת פתיחה]]),IFERROR(-IPMT(שיעור_ריבית4/12,1,הפחתה8[[#This Row],[תשלומים
שנותרו]],AE76),0)),0)</f>
        <v>0</v>
      </c>
      <c r="AG75" s="19" t="str">
        <f ca="1">IFERROR(IF(AND(ValuesEntered4,הפחתה8[[#This Row],[תאריך]]&lt;&gt;""),-PPMT(שיעור_ריבית4/12,1,תקופת_ההלוואה4-ROWS($C$4:AD75)+1,הפחתה8[[#This Row],[יתרת פתיחה]]),""),0)</f>
        <v/>
      </c>
      <c r="AH75" s="19">
        <f ca="1">(הפחתה8[[#This Row],[יתרת פתיחה]])*(מדד4/12)</f>
        <v>0</v>
      </c>
      <c r="AI75" s="19">
        <f ca="1">IF(הפחתה8[[#This Row],[תאריך]]="",0,הפחתה8[[#This Row],[ריבית]]+הפחתה8[[#This Row],[קרן]]+הפחתה8[[#This Row],[מדד]])</f>
        <v>0</v>
      </c>
      <c r="AJ75" s="19">
        <f ca="1">IF(הפחתה8[[#This Row],[תאריך]]="",0,הפחתה8[[#This Row],[יתרת פתיחה]]-הפחתה8[[#This Row],[קרן]])</f>
        <v>0</v>
      </c>
      <c r="AK75" s="20">
        <f ca="1">IF(הפחתה8[[#This Row],[יתרת
סגירה]]&gt;0,LastRow4-ROW(),0)</f>
        <v>0</v>
      </c>
    </row>
    <row r="76" spans="1:37" ht="15" customHeight="1" x14ac:dyDescent="0.25">
      <c r="A76" s="8"/>
      <c r="B76" s="11">
        <f>ROWS($B$4:B76)</f>
        <v>73</v>
      </c>
      <c r="C76" s="12">
        <f>IF(ValuesEntered,IF(הפחתה[[#This Row],[מס'']]&lt;=תקופת_ההלוואה,IF(ROW()-ROW(הפחתה[[#Headers],[תאריך]])=1,LoanStart,IF(I75&gt;0,EDATE(C75,1),"")),""),"")</f>
        <v>47574</v>
      </c>
      <c r="D76" s="13">
        <f>IF(ROW()-ROW(הפחתה[[#Headers],[יתרת פתיחה]])=1,סכום_הלוואה,IF(הפחתה[[#This Row],[תאריך]]="",0,INDEX(הפחתה[], ROW()-4,8)))</f>
        <v>542353.74878895411</v>
      </c>
      <c r="E76" s="13">
        <f>IF(ValuesEntered,IF(ROW()-ROW(הפחתה[[#Headers],[ריבית]])=1,-IPMT(שיעור_ריבית/12,1,תקופת_ההלוואה-ROWS($C$4:C76)+1,הפחתה[[#This Row],[יתרת פתיחה]]),IFERROR(-IPMT(שיעור_ריבית/12,1,הפחתה[[#This Row],[תשלומים
שנותרו]],D77),0)),0)</f>
        <v>2391.259814976208</v>
      </c>
      <c r="F76" s="13">
        <f>IFERROR(IF(AND(ValuesEntered,הפחתה[[#This Row],[תאריך]]&lt;&gt;""),-PPMT(שיעור_ריבית/12,1,תקופת_ההלוואה-ROWS($C$4:C76)+1,הפחתה[[#This Row],[יתרת פתיחה]]),""),0)</f>
        <v>936.43219056733756</v>
      </c>
      <c r="G76" s="13">
        <f>(הפחתה[[#This Row],[יתרת פתיחה]])*(מדד/12)</f>
        <v>0</v>
      </c>
      <c r="H76" s="13">
        <f>IF(הפחתה[[#This Row],[תאריך]]="",0,הפחתה[[#This Row],[ריבית]]+הפחתה[[#This Row],[קרן]]+הפחתה[[#This Row],[מדד]])</f>
        <v>3327.6920055435457</v>
      </c>
      <c r="I76" s="13">
        <f>IF(הפחתה[[#This Row],[תאריך]]="",0,הפחתה[[#This Row],[יתרת פתיחה]]-הפחתה[[#This Row],[קרן]]+הפחתה[[#This Row],[מדד]])</f>
        <v>541417.31659838674</v>
      </c>
      <c r="J76" s="11">
        <f>IF(הפחתה[[#This Row],[יתרת
סגירה]]&gt;0,LastRow-ROW(),0)</f>
        <v>287</v>
      </c>
      <c r="K76" s="11">
        <f>ROWS($K$4:K76)</f>
        <v>73</v>
      </c>
      <c r="L76" s="12">
        <f>IF(ValuesEntered2,IF(הפחתה5[[#This Row],[מס'']]&lt;=תקופת_ההלוואה2,IF(ROW()-ROW(הפחתה5[[#Headers],[תאריך]])=1,LoanStart2,IF(R75&gt;0,EDATE(L75,1),"")),""),"")</f>
        <v>47574</v>
      </c>
      <c r="M76" s="13">
        <f>IF(ROW()-ROW(הפחתה5[[#Headers],[יתרת פתיחה]])=1,סכום_הלוואה2,IF(הפחתה5[[#This Row],[תאריך]]="",0,INDEX(הפחתה5[], ROW()-4,8)))</f>
        <v>256285.58932931951</v>
      </c>
      <c r="N76" s="13">
        <f>IF(ValuesEntered2,IF(ROW()-ROW(הפחתה5[[#Headers],[ריבית]])=1,-IPMT(שיעור_ריבית2/12,1,תקופת_ההלוואה2-ROWS($L$4:L76)+1,הפחתה5[[#This Row],[יתרת פתיחה]]),IFERROR(-IPMT(שיעור_ריבית2/12,1,הפחתה5[[#This Row],[תשלומים
שנותרו]],M77),0)),0)</f>
        <v>1001.0515850477846</v>
      </c>
      <c r="O76" s="13">
        <f>IFERROR(IF(AND(ValuesEntered2,הפחתה5[[#This Row],[תאריך]]&lt;&gt;""),-PPMT(שיעור_ריבית2/12,1,תקופת_ההלוואה2-ROWS($L$4:L76)+1,הפחתה5[[#This Row],[יתרת פתיחה]]),""),0)</f>
        <v>697.95059371489106</v>
      </c>
      <c r="P76" s="13">
        <f>(הפחתה5[[#This Row],[יתרת פתיחה]])*(מדד2/12)</f>
        <v>0</v>
      </c>
      <c r="Q76" s="13">
        <f>IF(הפחתה5[[#This Row],[תאריך]]="",0,הפחתה5[[#This Row],[ריבית]]+הפחתה5[[#This Row],[קרן]]+הפחתה5[[#This Row],[מדד]])</f>
        <v>1699.0021787626756</v>
      </c>
      <c r="R76" s="13">
        <f>IF(הפחתה5[[#This Row],[תאריך]]="",0,הפחתה5[[#This Row],[יתרת פתיחה]]-הפחתה5[[#This Row],[קרן]]+הפחתה5[[#This Row],[מדד]])</f>
        <v>255587.63873560462</v>
      </c>
      <c r="S76" s="11">
        <f>IF(הפחתה5[[#This Row],[יתרת
סגירה]]&gt;0,LastRow2-ROW(),0)</f>
        <v>227</v>
      </c>
      <c r="T76" s="11">
        <f>ROWS($T$4:T76)</f>
        <v>73</v>
      </c>
      <c r="U76" s="12">
        <f ca="1">IF(ValuesEntered3,IF(הפחתה7[[#This Row],[מס'']]&lt;=תקופת_ההלוואה3,IF(ROW()-ROW(הפחתה7[[#Headers],[תאריך]])=1,LoanStart3,IF(AA75&gt;0,EDATE(U75,1),"")),""),"")</f>
        <v>47812</v>
      </c>
      <c r="V76" s="13">
        <f ca="1">IF(ROW()-ROW(הפחתה7[[#Headers],[יתרת פתיחה]])=1,סכום_הלוואה3,IF(הפחתה7[[#This Row],[תאריך]]="",0,INDEX(הפחתה7[], ROW()-4,8)))</f>
        <v>91298.710092824404</v>
      </c>
      <c r="W76" s="13">
        <f ca="1">IF(ValuesEntered3,IF(ROW()-ROW(הפחתה7[[#Headers],[ריבית]])=1,-IPMT(שיעור_ריבית3/12,1,תקופת_ההלוואה3-ROWS($C$4:U76)+1,הפחתה7[[#This Row],[יתרת פתיחה]]),IFERROR(-IPMT(שיעור_ריבית3/12,1,הפחתה7[[#This Row],[תשלומים
שנותרו]],V77),0)),0)</f>
        <v>174.66814550635655</v>
      </c>
      <c r="X76" s="13">
        <f ca="1">IFERROR(IF(AND(ValuesEntered3,הפחתה7[[#This Row],[תאריך]]&lt;&gt;""),-PPMT(שיעור_ריבית3/12,1,תקופת_ההלוואה3-ROWS($C$4:U76)+1,הפחתה7[[#This Row],[יתרת פתיחה]]),""),0)</f>
        <v>319.66825850322124</v>
      </c>
      <c r="Y76" s="13">
        <f ca="1">(הפחתה7[[#This Row],[יתרת פתיחה]])*(מדד3/12)</f>
        <v>152.16451682137401</v>
      </c>
      <c r="Z76" s="13">
        <f ca="1">IF(הפחתה7[[#This Row],[תאריך]]="",0,הפחתה7[[#This Row],[ריבית]]+הפחתה7[[#This Row],[קרן]]+הפחתה7[[#This Row],[מדד]])</f>
        <v>646.50092083095183</v>
      </c>
      <c r="AA76" s="13">
        <f ca="1">IF(הפחתה7[[#This Row],[תאריך]]="",0,הפחתה7[[#This Row],[יתרת פתיחה]]-הפחתה7[[#This Row],[קרן]]+הפחתה7[[#This Row],[מדד]])</f>
        <v>91131.206351142551</v>
      </c>
      <c r="AB76" s="11">
        <f ca="1">IF(הפחתה7[[#This Row],[יתרת
סגירה]]&gt;0,LastRow3-ROW(),0)</f>
        <v>227</v>
      </c>
      <c r="AC76" s="17">
        <f>ROWS($AC$4:AC76)</f>
        <v>73</v>
      </c>
      <c r="AD76" s="18" t="str">
        <f ca="1">IF(ValuesEntered4,IF(הפחתה8[[#This Row],[מס'']]&lt;=תקופת_ההלוואה4,IF(ROW()-ROW(הפחתה8[[#Headers],[תאריך]])=1,LoanStart4,IF(AJ75&gt;0,EDATE(AD75,1),"")),""),"")</f>
        <v/>
      </c>
      <c r="AE76" s="19">
        <f ca="1">IF(ROW()-ROW(הפחתה8[[#Headers],[יתרת פתיחה]])=1,סכום_הלוואה4,IF(הפחתה8[[#This Row],[תאריך]]="",0,INDEX(הפחתה8[], ROW()-4,8)))</f>
        <v>0</v>
      </c>
      <c r="AF76" s="19">
        <f ca="1">IF(ValuesEntered4,IF(ROW()-ROW(הפחתה8[[#Headers],[ריבית]])=1,-IPMT(שיעור_ריבית4/12,1,תקופת_ההלוואה4-ROWS($C$4:AD76)+1,הפחתה8[[#This Row],[יתרת פתיחה]]),IFERROR(-IPMT(שיעור_ריבית4/12,1,הפחתה8[[#This Row],[תשלומים
שנותרו]],AE77),0)),0)</f>
        <v>0</v>
      </c>
      <c r="AG76" s="19" t="str">
        <f ca="1">IFERROR(IF(AND(ValuesEntered4,הפחתה8[[#This Row],[תאריך]]&lt;&gt;""),-PPMT(שיעור_ריבית4/12,1,תקופת_ההלוואה4-ROWS($C$4:AD76)+1,הפחתה8[[#This Row],[יתרת פתיחה]]),""),0)</f>
        <v/>
      </c>
      <c r="AH76" s="19">
        <f ca="1">(הפחתה8[[#This Row],[יתרת פתיחה]])*(מדד4/12)</f>
        <v>0</v>
      </c>
      <c r="AI76" s="19">
        <f ca="1">IF(הפחתה8[[#This Row],[תאריך]]="",0,הפחתה8[[#This Row],[ריבית]]+הפחתה8[[#This Row],[קרן]]+הפחתה8[[#This Row],[מדד]])</f>
        <v>0</v>
      </c>
      <c r="AJ76" s="19">
        <f ca="1">IF(הפחתה8[[#This Row],[תאריך]]="",0,הפחתה8[[#This Row],[יתרת פתיחה]]-הפחתה8[[#This Row],[קרן]])</f>
        <v>0</v>
      </c>
      <c r="AK76" s="20">
        <f ca="1">IF(הפחתה8[[#This Row],[יתרת
סגירה]]&gt;0,LastRow4-ROW(),0)</f>
        <v>0</v>
      </c>
    </row>
    <row r="77" spans="1:37" ht="15" customHeight="1" x14ac:dyDescent="0.25">
      <c r="A77" s="8"/>
      <c r="B77" s="11">
        <f>ROWS($B$4:B77)</f>
        <v>74</v>
      </c>
      <c r="C77" s="12">
        <f>IF(ValuesEntered,IF(הפחתה[[#This Row],[מס'']]&lt;=תקופת_ההלוואה,IF(ROW()-ROW(הפחתה[[#Headers],[תאריך]])=1,LoanStart,IF(I76&gt;0,EDATE(C76,1),"")),""),"")</f>
        <v>47604</v>
      </c>
      <c r="D77" s="13">
        <f>IF(ROW()-ROW(הפחתה[[#Headers],[יתרת פתיחה]])=1,סכום_הלוואה,IF(הפחתה[[#This Row],[תאריך]]="",0,INDEX(הפחתה[], ROW()-4,8)))</f>
        <v>541417.31659838674</v>
      </c>
      <c r="E77" s="13">
        <f>IF(ValuesEntered,IF(ROW()-ROW(הפחתה[[#Headers],[ריבית]])=1,-IPMT(שיעור_ריבית/12,1,תקופת_ההלוואה-ROWS($C$4:C77)+1,הפחתה[[#This Row],[יתרת פתיחה]]),IFERROR(-IPMT(שיעור_ריבית/12,1,הפחתה[[#This Row],[תשלומים
שנותרו]],D78),0)),0)</f>
        <v>2387.1056392038186</v>
      </c>
      <c r="F77" s="13">
        <f>IFERROR(IF(AND(ValuesEntered,הפחתה[[#This Row],[תאריך]]&lt;&gt;""),-PPMT(שיעור_ריבית/12,1,תקופת_ההלוואה-ROWS($C$4:C77)+1,הפחתה[[#This Row],[יתרת פתיחה]]),""),0)</f>
        <v>940.56809940900985</v>
      </c>
      <c r="G77" s="13">
        <f>(הפחתה[[#This Row],[יתרת פתיחה]])*(מדד/12)</f>
        <v>0</v>
      </c>
      <c r="H77" s="13">
        <f>IF(הפחתה[[#This Row],[תאריך]]="",0,הפחתה[[#This Row],[ריבית]]+הפחתה[[#This Row],[קרן]]+הפחתה[[#This Row],[מדד]])</f>
        <v>3327.6737386128284</v>
      </c>
      <c r="I77" s="13">
        <f>IF(הפחתה[[#This Row],[תאריך]]="",0,הפחתה[[#This Row],[יתרת פתיחה]]-הפחתה[[#This Row],[קרן]]+הפחתה[[#This Row],[מדד]])</f>
        <v>540476.74849897774</v>
      </c>
      <c r="J77" s="11">
        <f>IF(הפחתה[[#This Row],[יתרת
סגירה]]&gt;0,LastRow-ROW(),0)</f>
        <v>286</v>
      </c>
      <c r="K77" s="11">
        <f>ROWS($K$4:K77)</f>
        <v>74</v>
      </c>
      <c r="L77" s="12">
        <f>IF(ValuesEntered2,IF(הפחתה5[[#This Row],[מס'']]&lt;=תקופת_ההלוואה2,IF(ROW()-ROW(הפחתה5[[#Headers],[תאריך]])=1,LoanStart2,IF(R76&gt;0,EDATE(L76,1),"")),""),"")</f>
        <v>47604</v>
      </c>
      <c r="M77" s="13">
        <f>IF(ROW()-ROW(הפחתה5[[#Headers],[יתרת פתיחה]])=1,סכום_הלוואה2,IF(הפחתה5[[#This Row],[תאריך]]="",0,INDEX(הפחתה5[], ROW()-4,8)))</f>
        <v>255587.63873560462</v>
      </c>
      <c r="N77" s="13">
        <f>IF(ValuesEntered2,IF(ROW()-ROW(הפחתה5[[#Headers],[ריבית]])=1,-IPMT(שיעור_ריבית2/12,1,תקופת_ההלוואה2-ROWS($L$4:L77)+1,הפחתה5[[#This Row],[יתרת פתיחה]]),IFERROR(-IPMT(שיעור_ריבית2/12,1,הפחתה5[[#This Row],[תשלומים
שנותרו]],M78),0)),0)</f>
        <v>998.30723846641865</v>
      </c>
      <c r="O77" s="13">
        <f>IFERROR(IF(AND(ValuesEntered2,הפחתה5[[#This Row],[תאריך]]&lt;&gt;""),-PPMT(שיעור_ריבית2/12,1,תקופת_ההלוואה2-ROWS($L$4:L77)+1,הפחתה5[[#This Row],[יתרת פתיחה]]),""),0)</f>
        <v>700.68423354027436</v>
      </c>
      <c r="P77" s="13">
        <f>(הפחתה5[[#This Row],[יתרת פתיחה]])*(מדד2/12)</f>
        <v>0</v>
      </c>
      <c r="Q77" s="13">
        <f>IF(הפחתה5[[#This Row],[תאריך]]="",0,הפחתה5[[#This Row],[ריבית]]+הפחתה5[[#This Row],[קרן]]+הפחתה5[[#This Row],[מדד]])</f>
        <v>1698.9914720066931</v>
      </c>
      <c r="R77" s="13">
        <f>IF(הפחתה5[[#This Row],[תאריך]]="",0,הפחתה5[[#This Row],[יתרת פתיחה]]-הפחתה5[[#This Row],[קרן]]+הפחתה5[[#This Row],[מדד]])</f>
        <v>254886.95450206436</v>
      </c>
      <c r="S77" s="11">
        <f>IF(הפחתה5[[#This Row],[יתרת
סגירה]]&gt;0,LastRow2-ROW(),0)</f>
        <v>226</v>
      </c>
      <c r="T77" s="11">
        <f>ROWS($T$4:T77)</f>
        <v>74</v>
      </c>
      <c r="U77" s="12">
        <f ca="1">IF(ValuesEntered3,IF(הפחתה7[[#This Row],[מס'']]&lt;=תקופת_ההלוואה3,IF(ROW()-ROW(הפחתה7[[#Headers],[תאריך]])=1,LoanStart3,IF(AA76&gt;0,EDATE(U76,1),"")),""),"")</f>
        <v>47842</v>
      </c>
      <c r="V77" s="13">
        <f ca="1">IF(ROW()-ROW(הפחתה7[[#Headers],[יתרת פתיחה]])=1,סכום_הלוואה3,IF(הפחתה7[[#This Row],[תאריך]]="",0,INDEX(הפחתה7[], ROW()-4,8)))</f>
        <v>91131.206351142551</v>
      </c>
      <c r="W77" s="13">
        <f ca="1">IF(ValuesEntered3,IF(ROW()-ROW(הפחתה7[[#Headers],[ריבית]])=1,-IPMT(שיעור_ריבית3/12,1,תקופת_ההלוואה3-ROWS($C$4:U77)+1,הפחתה7[[#This Row],[יתרת פתיחה]]),IFERROR(-IPMT(שיעור_ריבית3/12,1,הפחתה7[[#This Row],[תשלומים
שנותרו]],V78),0)),0)</f>
        <v>174.34436053526736</v>
      </c>
      <c r="X77" s="13">
        <f ca="1">IFERROR(IF(AND(ValuesEntered3,הפחתה7[[#This Row],[תאריך]]&lt;&gt;""),-PPMT(שיעור_ריבית3/12,1,תקופת_ההלוואה3-ROWS($C$4:U77)+1,הפחתה7[[#This Row],[יתרת פתיחה]]),""),0)</f>
        <v>320.81663318250764</v>
      </c>
      <c r="Y77" s="13">
        <f ca="1">(הפחתה7[[#This Row],[יתרת פתיחה]])*(מדד3/12)</f>
        <v>151.88534391857092</v>
      </c>
      <c r="Z77" s="13">
        <f ca="1">IF(הפחתה7[[#This Row],[תאריך]]="",0,הפחתה7[[#This Row],[ריבית]]+הפחתה7[[#This Row],[קרן]]+הפחתה7[[#This Row],[מדד]])</f>
        <v>647.04633763634592</v>
      </c>
      <c r="AA77" s="13">
        <f ca="1">IF(הפחתה7[[#This Row],[תאריך]]="",0,הפחתה7[[#This Row],[יתרת פתיחה]]-הפחתה7[[#This Row],[קרן]]+הפחתה7[[#This Row],[מדד]])</f>
        <v>90962.275061878623</v>
      </c>
      <c r="AB77" s="11">
        <f ca="1">IF(הפחתה7[[#This Row],[יתרת
סגירה]]&gt;0,LastRow3-ROW(),0)</f>
        <v>226</v>
      </c>
      <c r="AC77" s="17">
        <f>ROWS($AC$4:AC77)</f>
        <v>74</v>
      </c>
      <c r="AD77" s="18" t="str">
        <f ca="1">IF(ValuesEntered4,IF(הפחתה8[[#This Row],[מס'']]&lt;=תקופת_ההלוואה4,IF(ROW()-ROW(הפחתה8[[#Headers],[תאריך]])=1,LoanStart4,IF(AJ76&gt;0,EDATE(AD76,1),"")),""),"")</f>
        <v/>
      </c>
      <c r="AE77" s="19">
        <f ca="1">IF(ROW()-ROW(הפחתה8[[#Headers],[יתרת פתיחה]])=1,סכום_הלוואה4,IF(הפחתה8[[#This Row],[תאריך]]="",0,INDEX(הפחתה8[], ROW()-4,8)))</f>
        <v>0</v>
      </c>
      <c r="AF77" s="19">
        <f ca="1">IF(ValuesEntered4,IF(ROW()-ROW(הפחתה8[[#Headers],[ריבית]])=1,-IPMT(שיעור_ריבית4/12,1,תקופת_ההלוואה4-ROWS($C$4:AD77)+1,הפחתה8[[#This Row],[יתרת פתיחה]]),IFERROR(-IPMT(שיעור_ריבית4/12,1,הפחתה8[[#This Row],[תשלומים
שנותרו]],AE78),0)),0)</f>
        <v>0</v>
      </c>
      <c r="AG77" s="19" t="str">
        <f ca="1">IFERROR(IF(AND(ValuesEntered4,הפחתה8[[#This Row],[תאריך]]&lt;&gt;""),-PPMT(שיעור_ריבית4/12,1,תקופת_ההלוואה4-ROWS($C$4:AD77)+1,הפחתה8[[#This Row],[יתרת פתיחה]]),""),0)</f>
        <v/>
      </c>
      <c r="AH77" s="19">
        <f ca="1">(הפחתה8[[#This Row],[יתרת פתיחה]])*(מדד4/12)</f>
        <v>0</v>
      </c>
      <c r="AI77" s="19">
        <f ca="1">IF(הפחתה8[[#This Row],[תאריך]]="",0,הפחתה8[[#This Row],[ריבית]]+הפחתה8[[#This Row],[קרן]]+הפחתה8[[#This Row],[מדד]])</f>
        <v>0</v>
      </c>
      <c r="AJ77" s="19">
        <f ca="1">IF(הפחתה8[[#This Row],[תאריך]]="",0,הפחתה8[[#This Row],[יתרת פתיחה]]-הפחתה8[[#This Row],[קרן]])</f>
        <v>0</v>
      </c>
      <c r="AK77" s="20">
        <f ca="1">IF(הפחתה8[[#This Row],[יתרת
סגירה]]&gt;0,LastRow4-ROW(),0)</f>
        <v>0</v>
      </c>
    </row>
    <row r="78" spans="1:37" ht="15" customHeight="1" x14ac:dyDescent="0.25">
      <c r="A78" s="8"/>
      <c r="B78" s="11">
        <f>ROWS($B$4:B78)</f>
        <v>75</v>
      </c>
      <c r="C78" s="12">
        <f>IF(ValuesEntered,IF(הפחתה[[#This Row],[מס'']]&lt;=תקופת_ההלוואה,IF(ROW()-ROW(הפחתה[[#Headers],[תאריך]])=1,LoanStart,IF(I77&gt;0,EDATE(C77,1),"")),""),"")</f>
        <v>47635</v>
      </c>
      <c r="D78" s="13">
        <f>IF(ROW()-ROW(הפחתה[[#Headers],[יתרת פתיחה]])=1,סכום_הלוואה,IF(הפחתה[[#This Row],[תאריך]]="",0,INDEX(הפחתה[], ROW()-4,8)))</f>
        <v>540476.74849897774</v>
      </c>
      <c r="E78" s="13">
        <f>IF(ValuesEntered,IF(ROW()-ROW(הפחתה[[#Headers],[ריבית]])=1,-IPMT(שיעור_ריבית/12,1,תקופת_ההלוואה-ROWS($C$4:C78)+1,הפחתה[[#This Row],[יתרת פתיחה]]),IFERROR(-IPMT(שיעור_ריבית/12,1,הפחתה[[#This Row],[תשלומים
שנותרו]],D79),0)),0)</f>
        <v>2382.9331158217669</v>
      </c>
      <c r="F78" s="13">
        <f>IFERROR(IF(AND(ValuesEntered,הפחתה[[#This Row],[תאריך]]&lt;&gt;""),-PPMT(שיעור_ריבית/12,1,תקופת_ההלוואה-ROWS($C$4:C78)+1,הפחתה[[#This Row],[יתרת פתיחה]]),""),0)</f>
        <v>944.72227518139971</v>
      </c>
      <c r="G78" s="13">
        <f>(הפחתה[[#This Row],[יתרת פתיחה]])*(מדד/12)</f>
        <v>0</v>
      </c>
      <c r="H78" s="13">
        <f>IF(הפחתה[[#This Row],[תאריך]]="",0,הפחתה[[#This Row],[ריבית]]+הפחתה[[#This Row],[קרן]]+הפחתה[[#This Row],[מדד]])</f>
        <v>3327.6553910031666</v>
      </c>
      <c r="I78" s="13">
        <f>IF(הפחתה[[#This Row],[תאריך]]="",0,הפחתה[[#This Row],[יתרת פתיחה]]-הפחתה[[#This Row],[קרן]]+הפחתה[[#This Row],[מדד]])</f>
        <v>539532.0262237963</v>
      </c>
      <c r="J78" s="11">
        <f>IF(הפחתה[[#This Row],[יתרת
סגירה]]&gt;0,LastRow-ROW(),0)</f>
        <v>285</v>
      </c>
      <c r="K78" s="11">
        <f>ROWS($K$4:K78)</f>
        <v>75</v>
      </c>
      <c r="L78" s="12">
        <f>IF(ValuesEntered2,IF(הפחתה5[[#This Row],[מס'']]&lt;=תקופת_ההלוואה2,IF(ROW()-ROW(הפחתה5[[#Headers],[תאריך]])=1,LoanStart2,IF(R77&gt;0,EDATE(L77,1),"")),""),"")</f>
        <v>47635</v>
      </c>
      <c r="M78" s="13">
        <f>IF(ROW()-ROW(הפחתה5[[#Headers],[יתרת פתיחה]])=1,סכום_הלוואה2,IF(הפחתה5[[#This Row],[תאריך]]="",0,INDEX(הפחתה5[], ROW()-4,8)))</f>
        <v>254886.95450206436</v>
      </c>
      <c r="N78" s="13">
        <f>IF(ValuesEntered2,IF(ROW()-ROW(הפחתה5[[#Headers],[ריבית]])=1,-IPMT(שיעור_ריבית2/12,1,תקופת_ההלוואה2-ROWS($L$4:L78)+1,הפחתה5[[#This Row],[יתרת פתיחה]]),IFERROR(-IPMT(שיעור_ריבית2/12,1,הפחתה5[[#This Row],[תשלומים
שנותרו]],M79),0)),0)</f>
        <v>995.55214319427557</v>
      </c>
      <c r="O78" s="13">
        <f>IFERROR(IF(AND(ValuesEntered2,הפחתה5[[#This Row],[תאריך]]&lt;&gt;""),-PPMT(שיעור_ריבית2/12,1,תקופת_ההלוואה2-ROWS($L$4:L78)+1,הפחתה5[[#This Row],[יתרת פתיחה]]),""),0)</f>
        <v>703.42858012164049</v>
      </c>
      <c r="P78" s="13">
        <f>(הפחתה5[[#This Row],[יתרת פתיחה]])*(מדד2/12)</f>
        <v>0</v>
      </c>
      <c r="Q78" s="13">
        <f>IF(הפחתה5[[#This Row],[תאריך]]="",0,הפחתה5[[#This Row],[ריבית]]+הפחתה5[[#This Row],[קרן]]+הפחתה5[[#This Row],[מדד]])</f>
        <v>1698.9807233159161</v>
      </c>
      <c r="R78" s="13">
        <f>IF(הפחתה5[[#This Row],[תאריך]]="",0,הפחתה5[[#This Row],[יתרת פתיחה]]-הפחתה5[[#This Row],[קרן]]+הפחתה5[[#This Row],[מדד]])</f>
        <v>254183.52592194272</v>
      </c>
      <c r="S78" s="11">
        <f>IF(הפחתה5[[#This Row],[יתרת
סגירה]]&gt;0,LastRow2-ROW(),0)</f>
        <v>225</v>
      </c>
      <c r="T78" s="11">
        <f>ROWS($T$4:T78)</f>
        <v>75</v>
      </c>
      <c r="U78" s="12">
        <f ca="1">IF(ValuesEntered3,IF(הפחתה7[[#This Row],[מס'']]&lt;=תקופת_ההלוואה3,IF(ROW()-ROW(הפחתה7[[#Headers],[תאריך]])=1,LoanStart3,IF(AA77&gt;0,EDATE(U77,1),"")),""),"")</f>
        <v>47873</v>
      </c>
      <c r="V78" s="13">
        <f ca="1">IF(ROW()-ROW(הפחתה7[[#Headers],[יתרת פתיחה]])=1,סכום_הלוואה3,IF(הפחתה7[[#This Row],[תאריך]]="",0,INDEX(הפחתה7[], ROW()-4,8)))</f>
        <v>90962.275061878623</v>
      </c>
      <c r="W78" s="13">
        <f ca="1">IF(ValuesEntered3,IF(ROW()-ROW(הפחתה7[[#Headers],[ריבית]])=1,-IPMT(שיעור_ריבית3/12,1,תקופת_ההלוואה3-ROWS($C$4:U78)+1,הפחתה7[[#This Row],[יתרת פתיחה]]),IFERROR(-IPMT(שיעור_ריבית3/12,1,הפחתה7[[#This Row],[תשלומים
שנותרו]],V79),0)),0)</f>
        <v>174.01782694435948</v>
      </c>
      <c r="X78" s="13">
        <f ca="1">IFERROR(IF(AND(ValuesEntered3,הפחתה7[[#This Row],[תאריך]]&lt;&gt;""),-PPMT(שיעור_ריבית3/12,1,תקופת_ההלוואה3-ROWS($C$4:U78)+1,הפחתה7[[#This Row],[יתרת פתיחה]]),""),0)</f>
        <v>321.96914354780898</v>
      </c>
      <c r="Y78" s="13">
        <f ca="1">(הפחתה7[[#This Row],[יתרת פתיחה]])*(מדד3/12)</f>
        <v>151.60379176979771</v>
      </c>
      <c r="Z78" s="13">
        <f ca="1">IF(הפחתה7[[#This Row],[תאריך]]="",0,הפחתה7[[#This Row],[ריבית]]+הפחתה7[[#This Row],[קרן]]+הפחתה7[[#This Row],[מדד]])</f>
        <v>647.59076226196612</v>
      </c>
      <c r="AA78" s="13">
        <f ca="1">IF(הפחתה7[[#This Row],[תאריך]]="",0,הפחתה7[[#This Row],[יתרת פתיחה]]-הפחתה7[[#This Row],[קרן]]+הפחתה7[[#This Row],[מדד]])</f>
        <v>90791.909710100605</v>
      </c>
      <c r="AB78" s="11">
        <f ca="1">IF(הפחתה7[[#This Row],[יתרת
סגירה]]&gt;0,LastRow3-ROW(),0)</f>
        <v>225</v>
      </c>
      <c r="AC78" s="17">
        <f>ROWS($AC$4:AC78)</f>
        <v>75</v>
      </c>
      <c r="AD78" s="18" t="str">
        <f ca="1">IF(ValuesEntered4,IF(הפחתה8[[#This Row],[מס'']]&lt;=תקופת_ההלוואה4,IF(ROW()-ROW(הפחתה8[[#Headers],[תאריך]])=1,LoanStart4,IF(AJ77&gt;0,EDATE(AD77,1),"")),""),"")</f>
        <v/>
      </c>
      <c r="AE78" s="19">
        <f ca="1">IF(ROW()-ROW(הפחתה8[[#Headers],[יתרת פתיחה]])=1,סכום_הלוואה4,IF(הפחתה8[[#This Row],[תאריך]]="",0,INDEX(הפחתה8[], ROW()-4,8)))</f>
        <v>0</v>
      </c>
      <c r="AF78" s="19">
        <f ca="1">IF(ValuesEntered4,IF(ROW()-ROW(הפחתה8[[#Headers],[ריבית]])=1,-IPMT(שיעור_ריבית4/12,1,תקופת_ההלוואה4-ROWS($C$4:AD78)+1,הפחתה8[[#This Row],[יתרת פתיחה]]),IFERROR(-IPMT(שיעור_ריבית4/12,1,הפחתה8[[#This Row],[תשלומים
שנותרו]],AE79),0)),0)</f>
        <v>0</v>
      </c>
      <c r="AG78" s="19" t="str">
        <f ca="1">IFERROR(IF(AND(ValuesEntered4,הפחתה8[[#This Row],[תאריך]]&lt;&gt;""),-PPMT(שיעור_ריבית4/12,1,תקופת_ההלוואה4-ROWS($C$4:AD78)+1,הפחתה8[[#This Row],[יתרת פתיחה]]),""),0)</f>
        <v/>
      </c>
      <c r="AH78" s="19">
        <f ca="1">(הפחתה8[[#This Row],[יתרת פתיחה]])*(מדד4/12)</f>
        <v>0</v>
      </c>
      <c r="AI78" s="19">
        <f ca="1">IF(הפחתה8[[#This Row],[תאריך]]="",0,הפחתה8[[#This Row],[ריבית]]+הפחתה8[[#This Row],[קרן]]+הפחתה8[[#This Row],[מדד]])</f>
        <v>0</v>
      </c>
      <c r="AJ78" s="19">
        <f ca="1">IF(הפחתה8[[#This Row],[תאריך]]="",0,הפחתה8[[#This Row],[יתרת פתיחה]]-הפחתה8[[#This Row],[קרן]])</f>
        <v>0</v>
      </c>
      <c r="AK78" s="20">
        <f ca="1">IF(הפחתה8[[#This Row],[יתרת
סגירה]]&gt;0,LastRow4-ROW(),0)</f>
        <v>0</v>
      </c>
    </row>
    <row r="79" spans="1:37" ht="15" customHeight="1" x14ac:dyDescent="0.25">
      <c r="A79" s="8"/>
      <c r="B79" s="11">
        <f>ROWS($B$4:B79)</f>
        <v>76</v>
      </c>
      <c r="C79" s="12">
        <f>IF(ValuesEntered,IF(הפחתה[[#This Row],[מס'']]&lt;=תקופת_ההלוואה,IF(ROW()-ROW(הפחתה[[#Headers],[תאריך]])=1,LoanStart,IF(I78&gt;0,EDATE(C78,1),"")),""),"")</f>
        <v>47665</v>
      </c>
      <c r="D79" s="13">
        <f>IF(ROW()-ROW(הפחתה[[#Headers],[יתרת פתיחה]])=1,סכום_הלוואה,IF(הפחתה[[#This Row],[תאריך]]="",0,INDEX(הפחתה[], ROW()-4,8)))</f>
        <v>539532.0262237963</v>
      </c>
      <c r="E79" s="13">
        <f>IF(ValuesEntered,IF(ROW()-ROW(הפחתה[[#Headers],[ריבית]])=1,-IPMT(שיעור_ריבית/12,1,תקופת_ההלוואה-ROWS($C$4:C79)+1,הפחתה[[#This Row],[יתרת פתיחה]]),IFERROR(-IPMT(שיעור_ריבית/12,1,הפחתה[[#This Row],[תשלומים
שנותרו]],D80),0)),0)</f>
        <v>2378.7421637947787</v>
      </c>
      <c r="F79" s="13">
        <f>IFERROR(IF(AND(ValuesEntered,הפחתה[[#This Row],[תאריך]]&lt;&gt;""),-PPMT(שיעור_ריבית/12,1,תקופת_ההלוואה-ROWS($C$4:C79)+1,הפחתה[[#This Row],[יתרת פתיחה]]),""),0)</f>
        <v>948.89479856345076</v>
      </c>
      <c r="G79" s="13">
        <f>(הפחתה[[#This Row],[יתרת פתיחה]])*(מדד/12)</f>
        <v>0</v>
      </c>
      <c r="H79" s="13">
        <f>IF(הפחתה[[#This Row],[תאריך]]="",0,הפחתה[[#This Row],[ריבית]]+הפחתה[[#This Row],[קרן]]+הפחתה[[#This Row],[מדד]])</f>
        <v>3327.6369623582295</v>
      </c>
      <c r="I79" s="13">
        <f>IF(הפחתה[[#This Row],[תאריך]]="",0,הפחתה[[#This Row],[יתרת פתיחה]]-הפחתה[[#This Row],[קרן]]+הפחתה[[#This Row],[מדד]])</f>
        <v>538583.13142523286</v>
      </c>
      <c r="J79" s="11">
        <f>IF(הפחתה[[#This Row],[יתרת
סגירה]]&gt;0,LastRow-ROW(),0)</f>
        <v>284</v>
      </c>
      <c r="K79" s="11">
        <f>ROWS($K$4:K79)</f>
        <v>76</v>
      </c>
      <c r="L79" s="12">
        <f>IF(ValuesEntered2,IF(הפחתה5[[#This Row],[מס'']]&lt;=תקופת_ההלוואה2,IF(ROW()-ROW(הפחתה5[[#Headers],[תאריך]])=1,LoanStart2,IF(R78&gt;0,EDATE(L78,1),"")),""),"")</f>
        <v>47665</v>
      </c>
      <c r="M79" s="13">
        <f>IF(ROW()-ROW(הפחתה5[[#Headers],[יתרת פתיחה]])=1,סכום_הלוואה2,IF(הפחתה5[[#This Row],[תאריך]]="",0,INDEX(הפחתה5[], ROW()-4,8)))</f>
        <v>254183.52592194272</v>
      </c>
      <c r="N79" s="13">
        <f>IF(ValuesEntered2,IF(ROW()-ROW(הפחתה5[[#Headers],[ריבית]])=1,-IPMT(שיעור_ריבית2/12,1,תקופת_ההלוואה2-ROWS($L$4:L79)+1,הפחתה5[[#This Row],[יתרת פתיחה]]),IFERROR(-IPMT(שיעור_ריבית2/12,1,הפחתה5[[#This Row],[תשלומים
שנותרו]],M80),0)),0)</f>
        <v>992.78625713231656</v>
      </c>
      <c r="O79" s="13">
        <f>IFERROR(IF(AND(ValuesEntered2,הפחתה5[[#This Row],[תאריך]]&lt;&gt;""),-PPMT(שיעור_ריבית2/12,1,תקופת_ההלוואה2-ROWS($L$4:L79)+1,הפחתה5[[#This Row],[יתרת פתיחה]]),""),0)</f>
        <v>706.18367539378346</v>
      </c>
      <c r="P79" s="13">
        <f>(הפחתה5[[#This Row],[יתרת פתיחה]])*(מדד2/12)</f>
        <v>0</v>
      </c>
      <c r="Q79" s="13">
        <f>IF(הפחתה5[[#This Row],[תאריך]]="",0,הפחתה5[[#This Row],[ריבית]]+הפחתה5[[#This Row],[קרן]]+הפחתה5[[#This Row],[מדד]])</f>
        <v>1698.9699325260999</v>
      </c>
      <c r="R79" s="13">
        <f>IF(הפחתה5[[#This Row],[תאריך]]="",0,הפחתה5[[#This Row],[יתרת פתיחה]]-הפחתה5[[#This Row],[קרן]]+הפחתה5[[#This Row],[מדד]])</f>
        <v>253477.34224654894</v>
      </c>
      <c r="S79" s="11">
        <f>IF(הפחתה5[[#This Row],[יתרת
סגירה]]&gt;0,LastRow2-ROW(),0)</f>
        <v>224</v>
      </c>
      <c r="T79" s="11">
        <f>ROWS($T$4:T79)</f>
        <v>76</v>
      </c>
      <c r="U79" s="12">
        <f ca="1">IF(ValuesEntered3,IF(הפחתה7[[#This Row],[מס'']]&lt;=תקופת_ההלוואה3,IF(ROW()-ROW(הפחתה7[[#Headers],[תאריך]])=1,LoanStart3,IF(AA78&gt;0,EDATE(U78,1),"")),""),"")</f>
        <v>47904</v>
      </c>
      <c r="V79" s="13">
        <f ca="1">IF(ROW()-ROW(הפחתה7[[#Headers],[יתרת פתיחה]])=1,סכום_הלוואה3,IF(הפחתה7[[#This Row],[תאריך]]="",0,INDEX(הפחתה7[], ROW()-4,8)))</f>
        <v>90791.909710100605</v>
      </c>
      <c r="W79" s="13">
        <f ca="1">IF(ValuesEntered3,IF(ROW()-ROW(הפחתה7[[#Headers],[ריבית]])=1,-IPMT(שיעור_ריבית3/12,1,תקופת_ההלוואה3-ROWS($C$4:U79)+1,הפחתה7[[#This Row],[יתרת פתיחה]]),IFERROR(-IPMT(שיעור_ריבית3/12,1,הפחתה7[[#This Row],[תשלומים
שנותרו]],V80),0)),0)</f>
        <v>173.68853219707267</v>
      </c>
      <c r="X79" s="13">
        <f ca="1">IFERROR(IF(AND(ValuesEntered3,הפחתה7[[#This Row],[תאריך]]&lt;&gt;""),-PPMT(שיעור_ריבית3/12,1,תקופת_ההלוואה3-ROWS($C$4:U79)+1,הפחתה7[[#This Row],[יתרת פתיחה]]),""),0)</f>
        <v>323.12580462298797</v>
      </c>
      <c r="Y79" s="13">
        <f ca="1">(הפחתה7[[#This Row],[יתרת פתיחה]])*(מדד3/12)</f>
        <v>151.31984951683435</v>
      </c>
      <c r="Z79" s="13">
        <f ca="1">IF(הפחתה7[[#This Row],[תאריך]]="",0,הפחתה7[[#This Row],[ריבית]]+הפחתה7[[#This Row],[קרן]]+הפחתה7[[#This Row],[מדד]])</f>
        <v>648.13418633689503</v>
      </c>
      <c r="AA79" s="13">
        <f ca="1">IF(הפחתה7[[#This Row],[תאריך]]="",0,הפחתה7[[#This Row],[יתרת פתיחה]]-הפחתה7[[#This Row],[קרן]]+הפחתה7[[#This Row],[מדד]])</f>
        <v>90620.103754994445</v>
      </c>
      <c r="AB79" s="11">
        <f ca="1">IF(הפחתה7[[#This Row],[יתרת
סגירה]]&gt;0,LastRow3-ROW(),0)</f>
        <v>224</v>
      </c>
      <c r="AC79" s="17">
        <f>ROWS($AC$4:AC79)</f>
        <v>76</v>
      </c>
      <c r="AD79" s="18" t="str">
        <f ca="1">IF(ValuesEntered4,IF(הפחתה8[[#This Row],[מס'']]&lt;=תקופת_ההלוואה4,IF(ROW()-ROW(הפחתה8[[#Headers],[תאריך]])=1,LoanStart4,IF(AJ78&gt;0,EDATE(AD78,1),"")),""),"")</f>
        <v/>
      </c>
      <c r="AE79" s="19">
        <f ca="1">IF(ROW()-ROW(הפחתה8[[#Headers],[יתרת פתיחה]])=1,סכום_הלוואה4,IF(הפחתה8[[#This Row],[תאריך]]="",0,INDEX(הפחתה8[], ROW()-4,8)))</f>
        <v>0</v>
      </c>
      <c r="AF79" s="19">
        <f ca="1">IF(ValuesEntered4,IF(ROW()-ROW(הפחתה8[[#Headers],[ריבית]])=1,-IPMT(שיעור_ריבית4/12,1,תקופת_ההלוואה4-ROWS($C$4:AD79)+1,הפחתה8[[#This Row],[יתרת פתיחה]]),IFERROR(-IPMT(שיעור_ריבית4/12,1,הפחתה8[[#This Row],[תשלומים
שנותרו]],AE80),0)),0)</f>
        <v>0</v>
      </c>
      <c r="AG79" s="19" t="str">
        <f ca="1">IFERROR(IF(AND(ValuesEntered4,הפחתה8[[#This Row],[תאריך]]&lt;&gt;""),-PPMT(שיעור_ריבית4/12,1,תקופת_ההלוואה4-ROWS($C$4:AD79)+1,הפחתה8[[#This Row],[יתרת פתיחה]]),""),0)</f>
        <v/>
      </c>
      <c r="AH79" s="19">
        <f ca="1">(הפחתה8[[#This Row],[יתרת פתיחה]])*(מדד4/12)</f>
        <v>0</v>
      </c>
      <c r="AI79" s="19">
        <f ca="1">IF(הפחתה8[[#This Row],[תאריך]]="",0,הפחתה8[[#This Row],[ריבית]]+הפחתה8[[#This Row],[קרן]]+הפחתה8[[#This Row],[מדד]])</f>
        <v>0</v>
      </c>
      <c r="AJ79" s="19">
        <f ca="1">IF(הפחתה8[[#This Row],[תאריך]]="",0,הפחתה8[[#This Row],[יתרת פתיחה]]-הפחתה8[[#This Row],[קרן]])</f>
        <v>0</v>
      </c>
      <c r="AK79" s="20">
        <f ca="1">IF(הפחתה8[[#This Row],[יתרת
סגירה]]&gt;0,LastRow4-ROW(),0)</f>
        <v>0</v>
      </c>
    </row>
    <row r="80" spans="1:37" ht="15" customHeight="1" x14ac:dyDescent="0.25">
      <c r="A80" s="8"/>
      <c r="B80" s="11">
        <f>ROWS($B$4:B80)</f>
        <v>77</v>
      </c>
      <c r="C80" s="12">
        <f>IF(ValuesEntered,IF(הפחתה[[#This Row],[מס'']]&lt;=תקופת_ההלוואה,IF(ROW()-ROW(הפחתה[[#Headers],[תאריך]])=1,LoanStart,IF(I79&gt;0,EDATE(C79,1),"")),""),"")</f>
        <v>47696</v>
      </c>
      <c r="D80" s="13">
        <f>IF(ROW()-ROW(הפחתה[[#Headers],[יתרת פתיחה]])=1,סכום_הלוואה,IF(הפחתה[[#This Row],[תאריך]]="",0,INDEX(הפחתה[], ROW()-4,8)))</f>
        <v>538583.13142523286</v>
      </c>
      <c r="E80" s="13">
        <f>IF(ValuesEntered,IF(ROW()-ROW(הפחתה[[#Headers],[ריבית]])=1,-IPMT(שיעור_ריבית/12,1,תקופת_ההלוואה-ROWS($C$4:C80)+1,הפחתה[[#This Row],[יתרת פתיחה]]),IFERROR(-IPMT(שיעור_ריבית/12,1,הפחתה[[#This Row],[תשלומים
שנותרו]],D81),0)),0)</f>
        <v>2374.5327017296709</v>
      </c>
      <c r="F80" s="13">
        <f>IFERROR(IF(AND(ValuesEntered,הפחתה[[#This Row],[תאריך]]&lt;&gt;""),-PPMT(שיעור_ריבית/12,1,תקופת_ההלוואה-ROWS($C$4:C80)+1,הפחתה[[#This Row],[יתרת פתיחה]]),""),0)</f>
        <v>953.08575059043949</v>
      </c>
      <c r="G80" s="13">
        <f>(הפחתה[[#This Row],[יתרת פתיחה]])*(מדד/12)</f>
        <v>0</v>
      </c>
      <c r="H80" s="13">
        <f>IF(הפחתה[[#This Row],[תאריך]]="",0,הפחתה[[#This Row],[ריבית]]+הפחתה[[#This Row],[קרן]]+הפחתה[[#This Row],[מדד]])</f>
        <v>3327.6184523201105</v>
      </c>
      <c r="I80" s="13">
        <f>IF(הפחתה[[#This Row],[תאריך]]="",0,הפחתה[[#This Row],[יתרת פתיחה]]-הפחתה[[#This Row],[קרן]]+הפחתה[[#This Row],[מדד]])</f>
        <v>537630.04567464243</v>
      </c>
      <c r="J80" s="11">
        <f>IF(הפחתה[[#This Row],[יתרת
סגירה]]&gt;0,LastRow-ROW(),0)</f>
        <v>283</v>
      </c>
      <c r="K80" s="11">
        <f>ROWS($K$4:K80)</f>
        <v>77</v>
      </c>
      <c r="L80" s="12">
        <f>IF(ValuesEntered2,IF(הפחתה5[[#This Row],[מס'']]&lt;=תקופת_ההלוואה2,IF(ROW()-ROW(הפחתה5[[#Headers],[תאריך]])=1,LoanStart2,IF(R79&gt;0,EDATE(L79,1),"")),""),"")</f>
        <v>47696</v>
      </c>
      <c r="M80" s="13">
        <f>IF(ROW()-ROW(הפחתה5[[#Headers],[יתרת פתיחה]])=1,סכום_הלוואה2,IF(הפחתה5[[#This Row],[תאריך]]="",0,INDEX(הפחתה5[], ROW()-4,8)))</f>
        <v>253477.34224654894</v>
      </c>
      <c r="N80" s="13">
        <f>IF(ValuesEntered2,IF(ROW()-ROW(הפחתה5[[#Headers],[ריבית]])=1,-IPMT(שיעור_ריבית2/12,1,תקופת_ההלוואה2-ROWS($L$4:L80)+1,הפחתה5[[#This Row],[יתרת פתיחה]]),IFERROR(-IPMT(שיעור_ריבית2/12,1,הפחתה5[[#This Row],[תשלומים
שנותרו]],M81),0)),0)</f>
        <v>990.0095380166149</v>
      </c>
      <c r="O80" s="13">
        <f>IFERROR(IF(AND(ValuesEntered2,הפחתה5[[#This Row],[תאריך]]&lt;&gt;""),-PPMT(שיעור_ריבית2/12,1,תקופת_ההלוואה2-ROWS($L$4:L80)+1,הפחתה5[[#This Row],[יתרת פתיחה]]),""),0)</f>
        <v>708.94956145574258</v>
      </c>
      <c r="P80" s="13">
        <f>(הפחתה5[[#This Row],[יתרת פתיחה]])*(מדד2/12)</f>
        <v>0</v>
      </c>
      <c r="Q80" s="13">
        <f>IF(הפחתה5[[#This Row],[תאריך]]="",0,הפחתה5[[#This Row],[ריבית]]+הפחתה5[[#This Row],[קרן]]+הפחתה5[[#This Row],[מדד]])</f>
        <v>1698.9590994723576</v>
      </c>
      <c r="R80" s="13">
        <f>IF(הפחתה5[[#This Row],[תאריך]]="",0,הפחתה5[[#This Row],[יתרת פתיחה]]-הפחתה5[[#This Row],[קרן]]+הפחתה5[[#This Row],[מדד]])</f>
        <v>252768.39268509319</v>
      </c>
      <c r="S80" s="11">
        <f>IF(הפחתה5[[#This Row],[יתרת
סגירה]]&gt;0,LastRow2-ROW(),0)</f>
        <v>223</v>
      </c>
      <c r="T80" s="11">
        <f>ROWS($T$4:T80)</f>
        <v>77</v>
      </c>
      <c r="U80" s="12">
        <f ca="1">IF(ValuesEntered3,IF(הפחתה7[[#This Row],[מס'']]&lt;=תקופת_ההלוואה3,IF(ROW()-ROW(הפחתה7[[#Headers],[תאריך]])=1,LoanStart3,IF(AA79&gt;0,EDATE(U79,1),"")),""),"")</f>
        <v>47932</v>
      </c>
      <c r="V80" s="13">
        <f ca="1">IF(ROW()-ROW(הפחתה7[[#Headers],[יתרת פתיחה]])=1,סכום_הלוואה3,IF(הפחתה7[[#This Row],[תאריך]]="",0,INDEX(הפחתה7[], ROW()-4,8)))</f>
        <v>90620.103754994445</v>
      </c>
      <c r="W80" s="13">
        <f ca="1">IF(ValuesEntered3,IF(ROW()-ROW(הפחתה7[[#Headers],[ריבית]])=1,-IPMT(שיעור_ריבית3/12,1,תקופת_ההלוואה3-ROWS($C$4:U80)+1,הפחתה7[[#This Row],[יתרת פתיחה]]),IFERROR(-IPMT(שיעור_ריבית3/12,1,הפחתה7[[#This Row],[תשלומים
שנותרו]],V81),0)),0)</f>
        <v>173.35646370704811</v>
      </c>
      <c r="X80" s="13">
        <f ca="1">IFERROR(IF(AND(ValuesEntered3,הפחתה7[[#This Row],[תאריך]]&lt;&gt;""),-PPMT(שיעור_ריבית3/12,1,תקופת_ההלוואה3-ROWS($C$4:U80)+1,הפחתה7[[#This Row],[יתרת פתיחה]]),""),0)</f>
        <v>324.28663148853138</v>
      </c>
      <c r="Y80" s="13">
        <f ca="1">(הפחתה7[[#This Row],[יתרת פתיחה]])*(מדד3/12)</f>
        <v>151.03350625832408</v>
      </c>
      <c r="Z80" s="13">
        <f ca="1">IF(הפחתה7[[#This Row],[תאריך]]="",0,הפחתה7[[#This Row],[ריבית]]+הפחתה7[[#This Row],[קרן]]+הפחתה7[[#This Row],[מדד]])</f>
        <v>648.67660145390357</v>
      </c>
      <c r="AA80" s="13">
        <f ca="1">IF(הפחתה7[[#This Row],[תאריך]]="",0,הפחתה7[[#This Row],[יתרת פתיחה]]-הפחתה7[[#This Row],[קרן]]+הפחתה7[[#This Row],[מדד]])</f>
        <v>90446.850629764231</v>
      </c>
      <c r="AB80" s="11">
        <f ca="1">IF(הפחתה7[[#This Row],[יתרת
סגירה]]&gt;0,LastRow3-ROW(),0)</f>
        <v>223</v>
      </c>
      <c r="AC80" s="17">
        <f>ROWS($AC$4:AC80)</f>
        <v>77</v>
      </c>
      <c r="AD80" s="18" t="str">
        <f ca="1">IF(ValuesEntered4,IF(הפחתה8[[#This Row],[מס'']]&lt;=תקופת_ההלוואה4,IF(ROW()-ROW(הפחתה8[[#Headers],[תאריך]])=1,LoanStart4,IF(AJ79&gt;0,EDATE(AD79,1),"")),""),"")</f>
        <v/>
      </c>
      <c r="AE80" s="19">
        <f ca="1">IF(ROW()-ROW(הפחתה8[[#Headers],[יתרת פתיחה]])=1,סכום_הלוואה4,IF(הפחתה8[[#This Row],[תאריך]]="",0,INDEX(הפחתה8[], ROW()-4,8)))</f>
        <v>0</v>
      </c>
      <c r="AF80" s="19">
        <f ca="1">IF(ValuesEntered4,IF(ROW()-ROW(הפחתה8[[#Headers],[ריבית]])=1,-IPMT(שיעור_ריבית4/12,1,תקופת_ההלוואה4-ROWS($C$4:AD80)+1,הפחתה8[[#This Row],[יתרת פתיחה]]),IFERROR(-IPMT(שיעור_ריבית4/12,1,הפחתה8[[#This Row],[תשלומים
שנותרו]],AE81),0)),0)</f>
        <v>0</v>
      </c>
      <c r="AG80" s="19" t="str">
        <f ca="1">IFERROR(IF(AND(ValuesEntered4,הפחתה8[[#This Row],[תאריך]]&lt;&gt;""),-PPMT(שיעור_ריבית4/12,1,תקופת_ההלוואה4-ROWS($C$4:AD80)+1,הפחתה8[[#This Row],[יתרת פתיחה]]),""),0)</f>
        <v/>
      </c>
      <c r="AH80" s="19">
        <f ca="1">(הפחתה8[[#This Row],[יתרת פתיחה]])*(מדד4/12)</f>
        <v>0</v>
      </c>
      <c r="AI80" s="19">
        <f ca="1">IF(הפחתה8[[#This Row],[תאריך]]="",0,הפחתה8[[#This Row],[ריבית]]+הפחתה8[[#This Row],[קרן]]+הפחתה8[[#This Row],[מדד]])</f>
        <v>0</v>
      </c>
      <c r="AJ80" s="19">
        <f ca="1">IF(הפחתה8[[#This Row],[תאריך]]="",0,הפחתה8[[#This Row],[יתרת פתיחה]]-הפחתה8[[#This Row],[קרן]])</f>
        <v>0</v>
      </c>
      <c r="AK80" s="20">
        <f ca="1">IF(הפחתה8[[#This Row],[יתרת
סגירה]]&gt;0,LastRow4-ROW(),0)</f>
        <v>0</v>
      </c>
    </row>
    <row r="81" spans="1:37" ht="15" customHeight="1" x14ac:dyDescent="0.25">
      <c r="A81" s="8"/>
      <c r="B81" s="11">
        <f>ROWS($B$4:B81)</f>
        <v>78</v>
      </c>
      <c r="C81" s="12">
        <f>IF(ValuesEntered,IF(הפחתה[[#This Row],[מס'']]&lt;=תקופת_ההלוואה,IF(ROW()-ROW(הפחתה[[#Headers],[תאריך]])=1,LoanStart,IF(I80&gt;0,EDATE(C80,1),"")),""),"")</f>
        <v>47727</v>
      </c>
      <c r="D81" s="13">
        <f>IF(ROW()-ROW(הפחתה[[#Headers],[יתרת פתיחה]])=1,סכום_הלוואה,IF(הפחתה[[#This Row],[תאריך]]="",0,INDEX(הפחתה[], ROW()-4,8)))</f>
        <v>537630.04567464243</v>
      </c>
      <c r="E81" s="13">
        <f>IF(ValuesEntered,IF(ROW()-ROW(הפחתה[[#Headers],[ריבית]])=1,-IPMT(שיעור_ריבית/12,1,תקופת_ההלוואה-ROWS($C$4:C81)+1,הפחתה[[#This Row],[יתרת פתיחה]]),IFERROR(-IPMT(שיעור_ריבית/12,1,הפחתה[[#This Row],[תשלומים
שנותרו]],D82),0)),0)</f>
        <v>2370.3046478737756</v>
      </c>
      <c r="F81" s="13">
        <f>IFERROR(IF(AND(ValuesEntered,הפחתה[[#This Row],[תאריך]]&lt;&gt;""),-PPMT(שיעור_ריבית/12,1,תקופת_ההלוואה-ROWS($C$4:C81)+1,הפחתה[[#This Row],[יתרת פתיחה]]),""),0)</f>
        <v>957.29521265554718</v>
      </c>
      <c r="G81" s="13">
        <f>(הפחתה[[#This Row],[יתרת פתיחה]])*(מדד/12)</f>
        <v>0</v>
      </c>
      <c r="H81" s="13">
        <f>IF(הפחתה[[#This Row],[תאריך]]="",0,הפחתה[[#This Row],[ריבית]]+הפחתה[[#This Row],[קרן]]+הפחתה[[#This Row],[מדד]])</f>
        <v>3327.5998605293225</v>
      </c>
      <c r="I81" s="13">
        <f>IF(הפחתה[[#This Row],[תאריך]]="",0,הפחתה[[#This Row],[יתרת פתיחה]]-הפחתה[[#This Row],[קרן]]+הפחתה[[#This Row],[מדד]])</f>
        <v>536672.75046198687</v>
      </c>
      <c r="J81" s="11">
        <f>IF(הפחתה[[#This Row],[יתרת
סגירה]]&gt;0,LastRow-ROW(),0)</f>
        <v>282</v>
      </c>
      <c r="K81" s="11">
        <f>ROWS($K$4:K81)</f>
        <v>78</v>
      </c>
      <c r="L81" s="12">
        <f>IF(ValuesEntered2,IF(הפחתה5[[#This Row],[מס'']]&lt;=תקופת_ההלוואה2,IF(ROW()-ROW(הפחתה5[[#Headers],[תאריך]])=1,LoanStart2,IF(R80&gt;0,EDATE(L80,1),"")),""),"")</f>
        <v>47727</v>
      </c>
      <c r="M81" s="13">
        <f>IF(ROW()-ROW(הפחתה5[[#Headers],[יתרת פתיחה]])=1,סכום_הלוואה2,IF(הפחתה5[[#This Row],[תאריך]]="",0,INDEX(הפחתה5[], ROW()-4,8)))</f>
        <v>252768.39268509319</v>
      </c>
      <c r="N81" s="13">
        <f>IF(ValuesEntered2,IF(ROW()-ROW(הפחתה5[[#Headers],[ריבית]])=1,-IPMT(שיעור_ריבית2/12,1,תקופת_ההלוואה2-ROWS($L$4:L81)+1,הפחתה5[[#This Row],[יתרת פתיחה]]),IFERROR(-IPMT(שיעור_ריבית2/12,1,הפחתה5[[#This Row],[תשלומים
שנותרו]],M82),0)),0)</f>
        <v>987.22194341771001</v>
      </c>
      <c r="O81" s="13">
        <f>IFERROR(IF(AND(ValuesEntered2,הפחתה5[[#This Row],[תאריך]]&lt;&gt;""),-PPMT(שיעור_ריבית2/12,1,תקופת_ההלוואה2-ROWS($L$4:L81)+1,הפחתה5[[#This Row],[יתרת פתיחה]]),""),0)</f>
        <v>711.72628057144414</v>
      </c>
      <c r="P81" s="13">
        <f>(הפחתה5[[#This Row],[יתרת פתיחה]])*(מדד2/12)</f>
        <v>0</v>
      </c>
      <c r="Q81" s="13">
        <f>IF(הפחתה5[[#This Row],[תאריך]]="",0,הפחתה5[[#This Row],[ריבית]]+הפחתה5[[#This Row],[קרן]]+הפחתה5[[#This Row],[מדד]])</f>
        <v>1698.948223989154</v>
      </c>
      <c r="R81" s="13">
        <f>IF(הפחתה5[[#This Row],[תאריך]]="",0,הפחתה5[[#This Row],[יתרת פתיחה]]-הפחתה5[[#This Row],[קרן]]+הפחתה5[[#This Row],[מדד]])</f>
        <v>252056.66640452173</v>
      </c>
      <c r="S81" s="11">
        <f>IF(הפחתה5[[#This Row],[יתרת
סגירה]]&gt;0,LastRow2-ROW(),0)</f>
        <v>222</v>
      </c>
      <c r="T81" s="11">
        <f>ROWS($T$4:T81)</f>
        <v>78</v>
      </c>
      <c r="U81" s="12">
        <f ca="1">IF(ValuesEntered3,IF(הפחתה7[[#This Row],[מס'']]&lt;=תקופת_ההלוואה3,IF(ROW()-ROW(הפחתה7[[#Headers],[תאריך]])=1,LoanStart3,IF(AA80&gt;0,EDATE(U80,1),"")),""),"")</f>
        <v>47963</v>
      </c>
      <c r="V81" s="13">
        <f ca="1">IF(ROW()-ROW(הפחתה7[[#Headers],[יתרת פתיחה]])=1,סכום_הלוואה3,IF(הפחתה7[[#This Row],[תאריך]]="",0,INDEX(הפחתה7[], ROW()-4,8)))</f>
        <v>90446.850629764231</v>
      </c>
      <c r="W81" s="13">
        <f ca="1">IF(ValuesEntered3,IF(ROW()-ROW(הפחתה7[[#Headers],[ריבית]])=1,-IPMT(שיעור_ריבית3/12,1,תקופת_ההלוואה3-ROWS($C$4:U81)+1,הפחתה7[[#This Row],[יתרת פתיחה]]),IFERROR(-IPMT(שיעור_ריבית3/12,1,הפחתה7[[#This Row],[תשלומים
שנותרו]],V82),0)),0)</f>
        <v>173.02160883793641</v>
      </c>
      <c r="X81" s="13">
        <f ca="1">IFERROR(IF(AND(ValuesEntered3,הפחתה7[[#This Row],[תאריך]]&lt;&gt;""),-PPMT(שיעור_ריבית3/12,1,תקופת_ההלוואה3-ROWS($C$4:U81)+1,הפחתה7[[#This Row],[יתרת פתיחה]]),""),0)</f>
        <v>325.45163928180324</v>
      </c>
      <c r="Y81" s="13">
        <f ca="1">(הפחתה7[[#This Row],[יתרת פתיחה]])*(מדד3/12)</f>
        <v>150.74475104960706</v>
      </c>
      <c r="Z81" s="13">
        <f ca="1">IF(הפחתה7[[#This Row],[תאריך]]="",0,הפחתה7[[#This Row],[ריבית]]+הפחתה7[[#This Row],[קרן]]+הפחתה7[[#This Row],[מדד]])</f>
        <v>649.21799916934674</v>
      </c>
      <c r="AA81" s="13">
        <f ca="1">IF(הפחתה7[[#This Row],[תאריך]]="",0,הפחתה7[[#This Row],[יתרת פתיחה]]-הפחתה7[[#This Row],[קרן]]+הפחתה7[[#This Row],[מדד]])</f>
        <v>90272.14374153204</v>
      </c>
      <c r="AB81" s="11">
        <f ca="1">IF(הפחתה7[[#This Row],[יתרת
סגירה]]&gt;0,LastRow3-ROW(),0)</f>
        <v>222</v>
      </c>
      <c r="AC81" s="17">
        <f>ROWS($AC$4:AC81)</f>
        <v>78</v>
      </c>
      <c r="AD81" s="18" t="str">
        <f ca="1">IF(ValuesEntered4,IF(הפחתה8[[#This Row],[מס'']]&lt;=תקופת_ההלוואה4,IF(ROW()-ROW(הפחתה8[[#Headers],[תאריך]])=1,LoanStart4,IF(AJ80&gt;0,EDATE(AD80,1),"")),""),"")</f>
        <v/>
      </c>
      <c r="AE81" s="19">
        <f ca="1">IF(ROW()-ROW(הפחתה8[[#Headers],[יתרת פתיחה]])=1,סכום_הלוואה4,IF(הפחתה8[[#This Row],[תאריך]]="",0,INDEX(הפחתה8[], ROW()-4,8)))</f>
        <v>0</v>
      </c>
      <c r="AF81" s="19">
        <f ca="1">IF(ValuesEntered4,IF(ROW()-ROW(הפחתה8[[#Headers],[ריבית]])=1,-IPMT(שיעור_ריבית4/12,1,תקופת_ההלוואה4-ROWS($C$4:AD81)+1,הפחתה8[[#This Row],[יתרת פתיחה]]),IFERROR(-IPMT(שיעור_ריבית4/12,1,הפחתה8[[#This Row],[תשלומים
שנותרו]],AE82),0)),0)</f>
        <v>0</v>
      </c>
      <c r="AG81" s="19" t="str">
        <f ca="1">IFERROR(IF(AND(ValuesEntered4,הפחתה8[[#This Row],[תאריך]]&lt;&gt;""),-PPMT(שיעור_ריבית4/12,1,תקופת_ההלוואה4-ROWS($C$4:AD81)+1,הפחתה8[[#This Row],[יתרת פתיחה]]),""),0)</f>
        <v/>
      </c>
      <c r="AH81" s="19">
        <f ca="1">(הפחתה8[[#This Row],[יתרת פתיחה]])*(מדד4/12)</f>
        <v>0</v>
      </c>
      <c r="AI81" s="19">
        <f ca="1">IF(הפחתה8[[#This Row],[תאריך]]="",0,הפחתה8[[#This Row],[ריבית]]+הפחתה8[[#This Row],[קרן]]+הפחתה8[[#This Row],[מדד]])</f>
        <v>0</v>
      </c>
      <c r="AJ81" s="19">
        <f ca="1">IF(הפחתה8[[#This Row],[תאריך]]="",0,הפחתה8[[#This Row],[יתרת פתיחה]]-הפחתה8[[#This Row],[קרן]])</f>
        <v>0</v>
      </c>
      <c r="AK81" s="20">
        <f ca="1">IF(הפחתה8[[#This Row],[יתרת
סגירה]]&gt;0,LastRow4-ROW(),0)</f>
        <v>0</v>
      </c>
    </row>
    <row r="82" spans="1:37" ht="15" customHeight="1" x14ac:dyDescent="0.25">
      <c r="A82" s="8"/>
      <c r="B82" s="11">
        <f>ROWS($B$4:B82)</f>
        <v>79</v>
      </c>
      <c r="C82" s="12">
        <f>IF(ValuesEntered,IF(הפחתה[[#This Row],[מס'']]&lt;=תקופת_ההלוואה,IF(ROW()-ROW(הפחתה[[#Headers],[תאריך]])=1,LoanStart,IF(I81&gt;0,EDATE(C81,1),"")),""),"")</f>
        <v>47757</v>
      </c>
      <c r="D82" s="13">
        <f>IF(ROW()-ROW(הפחתה[[#Headers],[יתרת פתיחה]])=1,סכום_הלוואה,IF(הפחתה[[#This Row],[תאריך]]="",0,INDEX(הפחתה[], ROW()-4,8)))</f>
        <v>536672.75046198687</v>
      </c>
      <c r="E82" s="13">
        <f>IF(ValuesEntered,IF(ROW()-ROW(הפחתה[[#Headers],[ריבית]])=1,-IPMT(שיעור_ריבית/12,1,תקופת_ההלוואה-ROWS($C$4:C82)+1,הפחתה[[#This Row],[יתרת פתיחה]]),IFERROR(-IPMT(שיעור_ריבית/12,1,הפחתה[[#This Row],[תשלומים
שנותרו]],D83),0)),0)</f>
        <v>2366.0579201133501</v>
      </c>
      <c r="F82" s="13">
        <f>IFERROR(IF(AND(ValuesEntered,הפחתה[[#This Row],[תאריך]]&lt;&gt;""),-PPMT(שיעור_ריבית/12,1,תקופת_ההלוואה-ROWS($C$4:C82)+1,הפחתה[[#This Row],[יתרת פתיחה]]),""),0)</f>
        <v>961.52326651144256</v>
      </c>
      <c r="G82" s="13">
        <f>(הפחתה[[#This Row],[יתרת פתיחה]])*(מדד/12)</f>
        <v>0</v>
      </c>
      <c r="H82" s="13">
        <f>IF(הפחתה[[#This Row],[תאריך]]="",0,הפחתה[[#This Row],[ריבית]]+הפחתה[[#This Row],[קרן]]+הפחתה[[#This Row],[מדד]])</f>
        <v>3327.5811866247927</v>
      </c>
      <c r="I82" s="13">
        <f>IF(הפחתה[[#This Row],[תאריך]]="",0,הפחתה[[#This Row],[יתרת פתיחה]]-הפחתה[[#This Row],[קרן]]+הפחתה[[#This Row],[מדד]])</f>
        <v>535711.22719547548</v>
      </c>
      <c r="J82" s="11">
        <f>IF(הפחתה[[#This Row],[יתרת
סגירה]]&gt;0,LastRow-ROW(),0)</f>
        <v>281</v>
      </c>
      <c r="K82" s="11">
        <f>ROWS($K$4:K82)</f>
        <v>79</v>
      </c>
      <c r="L82" s="12">
        <f>IF(ValuesEntered2,IF(הפחתה5[[#This Row],[מס'']]&lt;=תקופת_ההלוואה2,IF(ROW()-ROW(הפחתה5[[#Headers],[תאריך]])=1,LoanStart2,IF(R81&gt;0,EDATE(L81,1),"")),""),"")</f>
        <v>47757</v>
      </c>
      <c r="M82" s="13">
        <f>IF(ROW()-ROW(הפחתה5[[#Headers],[יתרת פתיחה]])=1,סכום_הלוואה2,IF(הפחתה5[[#This Row],[תאריך]]="",0,INDEX(הפחתה5[], ROW()-4,8)))</f>
        <v>252056.66640452173</v>
      </c>
      <c r="N82" s="13">
        <f>IF(ValuesEntered2,IF(ROW()-ROW(הפחתה5[[#Headers],[ריבית]])=1,-IPMT(שיעור_ריבית2/12,1,תקופת_ההלוואה2-ROWS($L$4:L82)+1,הפחתה5[[#This Row],[יתרת פתיחה]]),IFERROR(-IPMT(שיעור_ריבית2/12,1,הפחתה5[[#This Row],[תשלומים
שנותרו]],M83),0)),0)</f>
        <v>984.42343073995949</v>
      </c>
      <c r="O82" s="13">
        <f>IFERROR(IF(AND(ValuesEntered2,הפחתה5[[#This Row],[תאריך]]&lt;&gt;""),-PPMT(שיעור_ריבית2/12,1,תקופת_ההלוואה2-ROWS($L$4:L82)+1,הפחתה5[[#This Row],[יתרת פתיחה]]),""),0)</f>
        <v>714.51387517034891</v>
      </c>
      <c r="P82" s="13">
        <f>(הפחתה5[[#This Row],[יתרת פתיחה]])*(מדד2/12)</f>
        <v>0</v>
      </c>
      <c r="Q82" s="13">
        <f>IF(הפחתה5[[#This Row],[תאריך]]="",0,הפחתה5[[#This Row],[ריבית]]+הפחתה5[[#This Row],[קרן]]+הפחתה5[[#This Row],[מדד]])</f>
        <v>1698.9373059103084</v>
      </c>
      <c r="R82" s="13">
        <f>IF(הפחתה5[[#This Row],[תאריך]]="",0,הפחתה5[[#This Row],[יתרת פתיחה]]-הפחתה5[[#This Row],[קרן]]+הפחתה5[[#This Row],[מדד]])</f>
        <v>251342.15252935138</v>
      </c>
      <c r="S82" s="11">
        <f>IF(הפחתה5[[#This Row],[יתרת
סגירה]]&gt;0,LastRow2-ROW(),0)</f>
        <v>221</v>
      </c>
      <c r="T82" s="11">
        <f>ROWS($T$4:T82)</f>
        <v>79</v>
      </c>
      <c r="U82" s="12">
        <f ca="1">IF(ValuesEntered3,IF(הפחתה7[[#This Row],[מס'']]&lt;=תקופת_ההלוואה3,IF(ROW()-ROW(הפחתה7[[#Headers],[תאריך]])=1,LoanStart3,IF(AA81&gt;0,EDATE(U81,1),"")),""),"")</f>
        <v>47993</v>
      </c>
      <c r="V82" s="13">
        <f ca="1">IF(ROW()-ROW(הפחתה7[[#Headers],[יתרת פתיחה]])=1,סכום_הלוואה3,IF(הפחתה7[[#This Row],[תאריך]]="",0,INDEX(הפחתה7[], ROW()-4,8)))</f>
        <v>90272.14374153204</v>
      </c>
      <c r="W82" s="13">
        <f ca="1">IF(ValuesEntered3,IF(ROW()-ROW(הפחתה7[[#Headers],[ריבית]])=1,-IPMT(שיעור_ריבית3/12,1,תקופת_ההלוואה3-ROWS($C$4:U82)+1,הפחתה7[[#This Row],[יתרת פתיחה]]),IFERROR(-IPMT(שיעור_ריבית3/12,1,הפחתה7[[#This Row],[תשלומים
שנותרו]],V83),0)),0)</f>
        <v>172.68395490320478</v>
      </c>
      <c r="X82" s="13">
        <f ca="1">IFERROR(IF(AND(ValuesEntered3,הפחתה7[[#This Row],[תאריך]]&lt;&gt;""),-PPMT(שיעור_ריבית3/12,1,תקופת_ההלוואה3-ROWS($C$4:U82)+1,הפחתה7[[#This Row],[יתרת פתיחה]]),""),0)</f>
        <v>326.62084319729979</v>
      </c>
      <c r="Y82" s="13">
        <f ca="1">(הפחתה7[[#This Row],[יתרת פתיחה]])*(מדד3/12)</f>
        <v>150.45357290255342</v>
      </c>
      <c r="Z82" s="13">
        <f ca="1">IF(הפחתה7[[#This Row],[תאריך]]="",0,הפחתה7[[#This Row],[ריבית]]+הפחתה7[[#This Row],[קרן]]+הפחתה7[[#This Row],[מדד]])</f>
        <v>649.75837100305796</v>
      </c>
      <c r="AA82" s="13">
        <f ca="1">IF(הפחתה7[[#This Row],[תאריך]]="",0,הפחתה7[[#This Row],[יתרת פתיחה]]-הפחתה7[[#This Row],[קרן]]+הפחתה7[[#This Row],[מדד]])</f>
        <v>90095.976471237285</v>
      </c>
      <c r="AB82" s="11">
        <f ca="1">IF(הפחתה7[[#This Row],[יתרת
סגירה]]&gt;0,LastRow3-ROW(),0)</f>
        <v>221</v>
      </c>
      <c r="AC82" s="17">
        <f>ROWS($AC$4:AC82)</f>
        <v>79</v>
      </c>
      <c r="AD82" s="18" t="str">
        <f ca="1">IF(ValuesEntered4,IF(הפחתה8[[#This Row],[מס'']]&lt;=תקופת_ההלוואה4,IF(ROW()-ROW(הפחתה8[[#Headers],[תאריך]])=1,LoanStart4,IF(AJ81&gt;0,EDATE(AD81,1),"")),""),"")</f>
        <v/>
      </c>
      <c r="AE82" s="19">
        <f ca="1">IF(ROW()-ROW(הפחתה8[[#Headers],[יתרת פתיחה]])=1,סכום_הלוואה4,IF(הפחתה8[[#This Row],[תאריך]]="",0,INDEX(הפחתה8[], ROW()-4,8)))</f>
        <v>0</v>
      </c>
      <c r="AF82" s="19">
        <f ca="1">IF(ValuesEntered4,IF(ROW()-ROW(הפחתה8[[#Headers],[ריבית]])=1,-IPMT(שיעור_ריבית4/12,1,תקופת_ההלוואה4-ROWS($C$4:AD82)+1,הפחתה8[[#This Row],[יתרת פתיחה]]),IFERROR(-IPMT(שיעור_ריבית4/12,1,הפחתה8[[#This Row],[תשלומים
שנותרו]],AE83),0)),0)</f>
        <v>0</v>
      </c>
      <c r="AG82" s="19" t="str">
        <f ca="1">IFERROR(IF(AND(ValuesEntered4,הפחתה8[[#This Row],[תאריך]]&lt;&gt;""),-PPMT(שיעור_ריבית4/12,1,תקופת_ההלוואה4-ROWS($C$4:AD82)+1,הפחתה8[[#This Row],[יתרת פתיחה]]),""),0)</f>
        <v/>
      </c>
      <c r="AH82" s="19">
        <f ca="1">(הפחתה8[[#This Row],[יתרת פתיחה]])*(מדד4/12)</f>
        <v>0</v>
      </c>
      <c r="AI82" s="19">
        <f ca="1">IF(הפחתה8[[#This Row],[תאריך]]="",0,הפחתה8[[#This Row],[ריבית]]+הפחתה8[[#This Row],[קרן]]+הפחתה8[[#This Row],[מדד]])</f>
        <v>0</v>
      </c>
      <c r="AJ82" s="19">
        <f ca="1">IF(הפחתה8[[#This Row],[תאריך]]="",0,הפחתה8[[#This Row],[יתרת פתיחה]]-הפחתה8[[#This Row],[קרן]])</f>
        <v>0</v>
      </c>
      <c r="AK82" s="20">
        <f ca="1">IF(הפחתה8[[#This Row],[יתרת
סגירה]]&gt;0,LastRow4-ROW(),0)</f>
        <v>0</v>
      </c>
    </row>
    <row r="83" spans="1:37" ht="15" customHeight="1" x14ac:dyDescent="0.25">
      <c r="A83" s="8"/>
      <c r="B83" s="11">
        <f>ROWS($B$4:B83)</f>
        <v>80</v>
      </c>
      <c r="C83" s="12">
        <f>IF(ValuesEntered,IF(הפחתה[[#This Row],[מס'']]&lt;=תקופת_ההלוואה,IF(ROW()-ROW(הפחתה[[#Headers],[תאריך]])=1,LoanStart,IF(I82&gt;0,EDATE(C82,1),"")),""),"")</f>
        <v>47788</v>
      </c>
      <c r="D83" s="13">
        <f>IF(ROW()-ROW(הפחתה[[#Headers],[יתרת פתיחה]])=1,סכום_הלוואה,IF(הפחתה[[#This Row],[תאריך]]="",0,INDEX(הפחתה[], ROW()-4,8)))</f>
        <v>535711.22719547548</v>
      </c>
      <c r="E83" s="13">
        <f>IF(ValuesEntered,IF(ROW()-ROW(הפחתה[[#Headers],[ריבית]])=1,-IPMT(שיעור_ריבית/12,1,תקופת_ההלוואה-ROWS($C$4:C83)+1,הפחתה[[#This Row],[יתרת פתיחה]]),IFERROR(-IPMT(שיעור_ריבית/12,1,הפחתה[[#This Row],[תשלומים
שנותרו]],D84),0)),0)</f>
        <v>2361.7924359719823</v>
      </c>
      <c r="F83" s="13">
        <f>IFERROR(IF(AND(ValuesEntered,הפחתה[[#This Row],[תאריך]]&lt;&gt;""),-PPMT(שיעור_ריבית/12,1,תקופת_ההלוואה-ROWS($C$4:C83)+1,הפחתה[[#This Row],[יתרת פתיחה]]),""),0)</f>
        <v>965.76999427186797</v>
      </c>
      <c r="G83" s="13">
        <f>(הפחתה[[#This Row],[יתרת פתיחה]])*(מדד/12)</f>
        <v>0</v>
      </c>
      <c r="H83" s="13">
        <f>IF(הפחתה[[#This Row],[תאריך]]="",0,הפחתה[[#This Row],[ריבית]]+הפחתה[[#This Row],[קרן]]+הפחתה[[#This Row],[מדד]])</f>
        <v>3327.56243024385</v>
      </c>
      <c r="I83" s="13">
        <f>IF(הפחתה[[#This Row],[תאריך]]="",0,הפחתה[[#This Row],[יתרת פתיחה]]-הפחתה[[#This Row],[קרן]]+הפחתה[[#This Row],[מדד]])</f>
        <v>534745.45720120356</v>
      </c>
      <c r="J83" s="11">
        <f>IF(הפחתה[[#This Row],[יתרת
סגירה]]&gt;0,LastRow-ROW(),0)</f>
        <v>280</v>
      </c>
      <c r="K83" s="11">
        <f>ROWS($K$4:K83)</f>
        <v>80</v>
      </c>
      <c r="L83" s="12">
        <f>IF(ValuesEntered2,IF(הפחתה5[[#This Row],[מס'']]&lt;=תקופת_ההלוואה2,IF(ROW()-ROW(הפחתה5[[#Headers],[תאריך]])=1,LoanStart2,IF(R82&gt;0,EDATE(L82,1),"")),""),"")</f>
        <v>47788</v>
      </c>
      <c r="M83" s="13">
        <f>IF(ROW()-ROW(הפחתה5[[#Headers],[יתרת פתיחה]])=1,סכום_הלוואה2,IF(הפחתה5[[#This Row],[תאריך]]="",0,INDEX(הפחתה5[], ROW()-4,8)))</f>
        <v>251342.15252935138</v>
      </c>
      <c r="N83" s="13">
        <f>IF(ValuesEntered2,IF(ROW()-ROW(הפחתה5[[#Headers],[ריבית]])=1,-IPMT(שיעור_ריבית2/12,1,תקופת_ההלוואה2-ROWS($L$4:L83)+1,הפחתה5[[#This Row],[יתרת פתיחה]]),IFERROR(-IPMT(שיעור_ריבית2/12,1,הפחתה5[[#This Row],[תשלומים
שנותרו]],M84),0)),0)</f>
        <v>981.61395722088776</v>
      </c>
      <c r="O83" s="13">
        <f>IFERROR(IF(AND(ValuesEntered2,הפחתה5[[#This Row],[תאריך]]&lt;&gt;""),-PPMT(שיעור_ריבית2/12,1,תקופת_ההלוואה2-ROWS($L$4:L83)+1,הפחתה5[[#This Row],[יתרת פתיחה]]),""),0)</f>
        <v>717.31238784809955</v>
      </c>
      <c r="P83" s="13">
        <f>(הפחתה5[[#This Row],[יתרת פתיחה]])*(מדד2/12)</f>
        <v>0</v>
      </c>
      <c r="Q83" s="13">
        <f>IF(הפחתה5[[#This Row],[תאריך]]="",0,הפחתה5[[#This Row],[ריבית]]+הפחתה5[[#This Row],[קרן]]+הפחתה5[[#This Row],[מדד]])</f>
        <v>1698.9263450689873</v>
      </c>
      <c r="R83" s="13">
        <f>IF(הפחתה5[[#This Row],[תאריך]]="",0,הפחתה5[[#This Row],[יתרת פתיחה]]-הפחתה5[[#This Row],[קרן]]+הפחתה5[[#This Row],[מדד]])</f>
        <v>250624.84014150329</v>
      </c>
      <c r="S83" s="11">
        <f>IF(הפחתה5[[#This Row],[יתרת
סגירה]]&gt;0,LastRow2-ROW(),0)</f>
        <v>220</v>
      </c>
      <c r="T83" s="11">
        <f>ROWS($T$4:T83)</f>
        <v>80</v>
      </c>
      <c r="U83" s="12">
        <f ca="1">IF(ValuesEntered3,IF(הפחתה7[[#This Row],[מס'']]&lt;=תקופת_ההלוואה3,IF(ROW()-ROW(הפחתה7[[#Headers],[תאריך]])=1,LoanStart3,IF(AA82&gt;0,EDATE(U82,1),"")),""),"")</f>
        <v>48024</v>
      </c>
      <c r="V83" s="13">
        <f ca="1">IF(ROW()-ROW(הפחתה7[[#Headers],[יתרת פתיחה]])=1,סכום_הלוואה3,IF(הפחתה7[[#This Row],[תאריך]]="",0,INDEX(הפחתה7[], ROW()-4,8)))</f>
        <v>90095.976471237285</v>
      </c>
      <c r="W83" s="13">
        <f ca="1">IF(ValuesEntered3,IF(ROW()-ROW(הפחתה7[[#Headers],[ריבית]])=1,-IPMT(שיעור_ריבית3/12,1,תקופת_ההלוואה3-ROWS($C$4:U83)+1,הפחתה7[[#This Row],[יתרת פתיחה]]),IFERROR(-IPMT(שיעור_ריבית3/12,1,הפחתה7[[#This Row],[תשלומים
שנותרו]],V84),0)),0)</f>
        <v>172.34348916594357</v>
      </c>
      <c r="X83" s="13">
        <f ca="1">IFERROR(IF(AND(ValuesEntered3,הפחתה7[[#This Row],[תאריך]]&lt;&gt;""),-PPMT(שיעור_ריבית3/12,1,תקופת_ההלוואה3-ROWS($C$4:U83)+1,הפחתה7[[#This Row],[יתרת פתיחה]]),""),0)</f>
        <v>327.79425848690681</v>
      </c>
      <c r="Y83" s="13">
        <f ca="1">(הפחתה7[[#This Row],[יתרת פתיחה]])*(מדד3/12)</f>
        <v>150.1599607853955</v>
      </c>
      <c r="Z83" s="13">
        <f ca="1">IF(הפחתה7[[#This Row],[תאריך]]="",0,הפחתה7[[#This Row],[ריבית]]+הפחתה7[[#This Row],[קרן]]+הפחתה7[[#This Row],[מדד]])</f>
        <v>650.29770843824588</v>
      </c>
      <c r="AA83" s="13">
        <f ca="1">IF(הפחתה7[[#This Row],[תאריך]]="",0,הפחתה7[[#This Row],[יתרת פתיחה]]-הפחתה7[[#This Row],[קרן]]+הפחתה7[[#This Row],[מדד]])</f>
        <v>89918.342173535784</v>
      </c>
      <c r="AB83" s="11">
        <f ca="1">IF(הפחתה7[[#This Row],[יתרת
סגירה]]&gt;0,LastRow3-ROW(),0)</f>
        <v>220</v>
      </c>
      <c r="AC83" s="17">
        <f>ROWS($AC$4:AC83)</f>
        <v>80</v>
      </c>
      <c r="AD83" s="18" t="str">
        <f ca="1">IF(ValuesEntered4,IF(הפחתה8[[#This Row],[מס'']]&lt;=תקופת_ההלוואה4,IF(ROW()-ROW(הפחתה8[[#Headers],[תאריך]])=1,LoanStart4,IF(AJ82&gt;0,EDATE(AD82,1),"")),""),"")</f>
        <v/>
      </c>
      <c r="AE83" s="19">
        <f ca="1">IF(ROW()-ROW(הפחתה8[[#Headers],[יתרת פתיחה]])=1,סכום_הלוואה4,IF(הפחתה8[[#This Row],[תאריך]]="",0,INDEX(הפחתה8[], ROW()-4,8)))</f>
        <v>0</v>
      </c>
      <c r="AF83" s="19">
        <f ca="1">IF(ValuesEntered4,IF(ROW()-ROW(הפחתה8[[#Headers],[ריבית]])=1,-IPMT(שיעור_ריבית4/12,1,תקופת_ההלוואה4-ROWS($C$4:AD83)+1,הפחתה8[[#This Row],[יתרת פתיחה]]),IFERROR(-IPMT(שיעור_ריבית4/12,1,הפחתה8[[#This Row],[תשלומים
שנותרו]],AE84),0)),0)</f>
        <v>0</v>
      </c>
      <c r="AG83" s="19" t="str">
        <f ca="1">IFERROR(IF(AND(ValuesEntered4,הפחתה8[[#This Row],[תאריך]]&lt;&gt;""),-PPMT(שיעור_ריבית4/12,1,תקופת_ההלוואה4-ROWS($C$4:AD83)+1,הפחתה8[[#This Row],[יתרת פתיחה]]),""),0)</f>
        <v/>
      </c>
      <c r="AH83" s="19">
        <f ca="1">(הפחתה8[[#This Row],[יתרת פתיחה]])*(מדד4/12)</f>
        <v>0</v>
      </c>
      <c r="AI83" s="19">
        <f ca="1">IF(הפחתה8[[#This Row],[תאריך]]="",0,הפחתה8[[#This Row],[ריבית]]+הפחתה8[[#This Row],[קרן]]+הפחתה8[[#This Row],[מדד]])</f>
        <v>0</v>
      </c>
      <c r="AJ83" s="19">
        <f ca="1">IF(הפחתה8[[#This Row],[תאריך]]="",0,הפחתה8[[#This Row],[יתרת פתיחה]]-הפחתה8[[#This Row],[קרן]])</f>
        <v>0</v>
      </c>
      <c r="AK83" s="20">
        <f ca="1">IF(הפחתה8[[#This Row],[יתרת
סגירה]]&gt;0,LastRow4-ROW(),0)</f>
        <v>0</v>
      </c>
    </row>
    <row r="84" spans="1:37" ht="15" customHeight="1" x14ac:dyDescent="0.25">
      <c r="A84" s="8"/>
      <c r="B84" s="11">
        <f>ROWS($B$4:B84)</f>
        <v>81</v>
      </c>
      <c r="C84" s="12">
        <f>IF(ValuesEntered,IF(הפחתה[[#This Row],[מס'']]&lt;=תקופת_ההלוואה,IF(ROW()-ROW(הפחתה[[#Headers],[תאריך]])=1,LoanStart,IF(I83&gt;0,EDATE(C83,1),"")),""),"")</f>
        <v>47818</v>
      </c>
      <c r="D84" s="13">
        <f>IF(ROW()-ROW(הפחתה[[#Headers],[יתרת פתיחה]])=1,סכום_הלוואה,IF(הפחתה[[#This Row],[תאריך]]="",0,INDEX(הפחתה[], ROW()-4,8)))</f>
        <v>534745.45720120356</v>
      </c>
      <c r="E84" s="13">
        <f>IF(ValuesEntered,IF(ROW()-ROW(הפחתה[[#Headers],[ריבית]])=1,-IPMT(שיעור_ריבית/12,1,תקופת_ההלוואה-ROWS($C$4:C84)+1,הפחתה[[#This Row],[יתרת פתיחה]]),IFERROR(-IPMT(שיעור_ריבית/12,1,הפחתה[[#This Row],[תשלומים
שנותרו]],D85),0)),0)</f>
        <v>2357.5081126089908</v>
      </c>
      <c r="F84" s="13">
        <f>IFERROR(IF(AND(ValuesEntered,הפחתה[[#This Row],[תאריך]]&lt;&gt;""),-PPMT(שיעור_ריבית/12,1,תקופת_ההלוואה-ROWS($C$4:C84)+1,הפחתה[[#This Row],[יתרת פתיחה]]),""),0)</f>
        <v>970.03547841323552</v>
      </c>
      <c r="G84" s="13">
        <f>(הפחתה[[#This Row],[יתרת פתיחה]])*(מדד/12)</f>
        <v>0</v>
      </c>
      <c r="H84" s="13">
        <f>IF(הפחתה[[#This Row],[תאריך]]="",0,הפחתה[[#This Row],[ריבית]]+הפחתה[[#This Row],[קרן]]+הפחתה[[#This Row],[מדד]])</f>
        <v>3327.5435910222263</v>
      </c>
      <c r="I84" s="13">
        <f>IF(הפחתה[[#This Row],[תאריך]]="",0,הפחתה[[#This Row],[יתרת פתיחה]]-הפחתה[[#This Row],[קרן]]+הפחתה[[#This Row],[מדד]])</f>
        <v>533775.42172279034</v>
      </c>
      <c r="J84" s="11">
        <f>IF(הפחתה[[#This Row],[יתרת
סגירה]]&gt;0,LastRow-ROW(),0)</f>
        <v>279</v>
      </c>
      <c r="K84" s="11">
        <f>ROWS($K$4:K84)</f>
        <v>81</v>
      </c>
      <c r="L84" s="12">
        <f>IF(ValuesEntered2,IF(הפחתה5[[#This Row],[מס'']]&lt;=תקופת_ההלוואה2,IF(ROW()-ROW(הפחתה5[[#Headers],[תאריך]])=1,LoanStart2,IF(R83&gt;0,EDATE(L83,1),"")),""),"")</f>
        <v>47818</v>
      </c>
      <c r="M84" s="13">
        <f>IF(ROW()-ROW(הפחתה5[[#Headers],[יתרת פתיחה]])=1,סכום_הלוואה2,IF(הפחתה5[[#This Row],[תאריך]]="",0,INDEX(הפחתה5[], ROW()-4,8)))</f>
        <v>250624.84014150329</v>
      </c>
      <c r="N84" s="13">
        <f>IF(ValuesEntered2,IF(ROW()-ROW(הפחתה5[[#Headers],[ריבית]])=1,-IPMT(שיעור_ריבית2/12,1,תקופת_ההלוואה2-ROWS($L$4:L84)+1,הפחתה5[[#This Row],[יתרת פתיחה]]),IFERROR(-IPMT(שיעור_ריבית2/12,1,הפחתה5[[#This Row],[תשלומים
שנותרו]],M85),0)),0)</f>
        <v>978.79347993053307</v>
      </c>
      <c r="O84" s="13">
        <f>IFERROR(IF(AND(ValuesEntered2,הפחתה5[[#This Row],[תאריך]]&lt;&gt;""),-PPMT(שיעור_ריבית2/12,1,תקופת_ההלוואה2-ROWS($L$4:L84)+1,הפחתה5[[#This Row],[יתרת פתיחה]]),""),0)</f>
        <v>720.12186136717139</v>
      </c>
      <c r="P84" s="13">
        <f>(הפחתה5[[#This Row],[יתרת פתיחה]])*(מדד2/12)</f>
        <v>0</v>
      </c>
      <c r="Q84" s="13">
        <f>IF(הפחתה5[[#This Row],[תאריך]]="",0,הפחתה5[[#This Row],[ריבית]]+הפחתה5[[#This Row],[קרן]]+הפחתה5[[#This Row],[מדד]])</f>
        <v>1698.9153412977043</v>
      </c>
      <c r="R84" s="13">
        <f>IF(הפחתה5[[#This Row],[תאריך]]="",0,הפחתה5[[#This Row],[יתרת פתיחה]]-הפחתה5[[#This Row],[קרן]]+הפחתה5[[#This Row],[מדד]])</f>
        <v>249904.71828013612</v>
      </c>
      <c r="S84" s="11">
        <f>IF(הפחתה5[[#This Row],[יתרת
סגירה]]&gt;0,LastRow2-ROW(),0)</f>
        <v>219</v>
      </c>
      <c r="T84" s="11">
        <f>ROWS($T$4:T84)</f>
        <v>81</v>
      </c>
      <c r="U84" s="12">
        <f ca="1">IF(ValuesEntered3,IF(הפחתה7[[#This Row],[מס'']]&lt;=תקופת_ההלוואה3,IF(ROW()-ROW(הפחתה7[[#Headers],[תאריך]])=1,LoanStart3,IF(AA83&gt;0,EDATE(U83,1),"")),""),"")</f>
        <v>48054</v>
      </c>
      <c r="V84" s="13">
        <f ca="1">IF(ROW()-ROW(הפחתה7[[#Headers],[יתרת פתיחה]])=1,סכום_הלוואה3,IF(הפחתה7[[#This Row],[תאריך]]="",0,INDEX(הפחתה7[], ROW()-4,8)))</f>
        <v>89918.342173535784</v>
      </c>
      <c r="W84" s="13">
        <f ca="1">IF(ValuesEntered3,IF(ROW()-ROW(הפחתה7[[#Headers],[ריבית]])=1,-IPMT(שיעור_ריבית3/12,1,תקופת_ההלוואה3-ROWS($C$4:U84)+1,הפחתה7[[#This Row],[יתרת פתיחה]]),IFERROR(-IPMT(שיעור_ריבית3/12,1,הפחתה7[[#This Row],[תשלומים
שנותרו]],V85),0)),0)</f>
        <v>172.00019883867151</v>
      </c>
      <c r="X84" s="13">
        <f ca="1">IFERROR(IF(AND(ValuesEntered3,הפחתה7[[#This Row],[תאריך]]&lt;&gt;""),-PPMT(שיעור_ריבית3/12,1,תקופת_ההלוואה3-ROWS($C$4:U84)+1,הפחתה7[[#This Row],[יתרת פתיחה]]),""),0)</f>
        <v>328.97190046015891</v>
      </c>
      <c r="Y84" s="13">
        <f ca="1">(הפחתה7[[#This Row],[יתרת פתיחה]])*(מדד3/12)</f>
        <v>149.86390362255966</v>
      </c>
      <c r="Z84" s="13">
        <f ca="1">IF(הפחתה7[[#This Row],[תאריך]]="",0,הפחתה7[[#This Row],[ריבית]]+הפחתה7[[#This Row],[קרן]]+הפחתה7[[#This Row],[מדד]])</f>
        <v>650.8360029213901</v>
      </c>
      <c r="AA84" s="13">
        <f ca="1">IF(הפחתה7[[#This Row],[תאריך]]="",0,הפחתה7[[#This Row],[יתרת פתיחה]]-הפחתה7[[#This Row],[קרן]]+הפחתה7[[#This Row],[מדד]])</f>
        <v>89739.234176698184</v>
      </c>
      <c r="AB84" s="11">
        <f ca="1">IF(הפחתה7[[#This Row],[יתרת
סגירה]]&gt;0,LastRow3-ROW(),0)</f>
        <v>219</v>
      </c>
      <c r="AC84" s="17">
        <f>ROWS($AC$4:AC84)</f>
        <v>81</v>
      </c>
      <c r="AD84" s="18" t="str">
        <f ca="1">IF(ValuesEntered4,IF(הפחתה8[[#This Row],[מס'']]&lt;=תקופת_ההלוואה4,IF(ROW()-ROW(הפחתה8[[#Headers],[תאריך]])=1,LoanStart4,IF(AJ83&gt;0,EDATE(AD83,1),"")),""),"")</f>
        <v/>
      </c>
      <c r="AE84" s="19">
        <f ca="1">IF(ROW()-ROW(הפחתה8[[#Headers],[יתרת פתיחה]])=1,סכום_הלוואה4,IF(הפחתה8[[#This Row],[תאריך]]="",0,INDEX(הפחתה8[], ROW()-4,8)))</f>
        <v>0</v>
      </c>
      <c r="AF84" s="19">
        <f ca="1">IF(ValuesEntered4,IF(ROW()-ROW(הפחתה8[[#Headers],[ריבית]])=1,-IPMT(שיעור_ריבית4/12,1,תקופת_ההלוואה4-ROWS($C$4:AD84)+1,הפחתה8[[#This Row],[יתרת פתיחה]]),IFERROR(-IPMT(שיעור_ריבית4/12,1,הפחתה8[[#This Row],[תשלומים
שנותרו]],AE85),0)),0)</f>
        <v>0</v>
      </c>
      <c r="AG84" s="19" t="str">
        <f ca="1">IFERROR(IF(AND(ValuesEntered4,הפחתה8[[#This Row],[תאריך]]&lt;&gt;""),-PPMT(שיעור_ריבית4/12,1,תקופת_ההלוואה4-ROWS($C$4:AD84)+1,הפחתה8[[#This Row],[יתרת פתיחה]]),""),0)</f>
        <v/>
      </c>
      <c r="AH84" s="19">
        <f ca="1">(הפחתה8[[#This Row],[יתרת פתיחה]])*(מדד4/12)</f>
        <v>0</v>
      </c>
      <c r="AI84" s="19">
        <f ca="1">IF(הפחתה8[[#This Row],[תאריך]]="",0,הפחתה8[[#This Row],[ריבית]]+הפחתה8[[#This Row],[קרן]]+הפחתה8[[#This Row],[מדד]])</f>
        <v>0</v>
      </c>
      <c r="AJ84" s="19">
        <f ca="1">IF(הפחתה8[[#This Row],[תאריך]]="",0,הפחתה8[[#This Row],[יתרת פתיחה]]-הפחתה8[[#This Row],[קרן]])</f>
        <v>0</v>
      </c>
      <c r="AK84" s="20">
        <f ca="1">IF(הפחתה8[[#This Row],[יתרת
סגירה]]&gt;0,LastRow4-ROW(),0)</f>
        <v>0</v>
      </c>
    </row>
    <row r="85" spans="1:37" ht="15" customHeight="1" x14ac:dyDescent="0.25">
      <c r="A85" s="8"/>
      <c r="B85" s="11">
        <f>ROWS($B$4:B85)</f>
        <v>82</v>
      </c>
      <c r="C85" s="12">
        <f>IF(ValuesEntered,IF(הפחתה[[#This Row],[מס'']]&lt;=תקופת_ההלוואה,IF(ROW()-ROW(הפחתה[[#Headers],[תאריך]])=1,LoanStart,IF(I84&gt;0,EDATE(C84,1),"")),""),"")</f>
        <v>47849</v>
      </c>
      <c r="D85" s="13">
        <f>IF(ROW()-ROW(הפחתה[[#Headers],[יתרת פתיחה]])=1,סכום_הלוואה,IF(הפחתה[[#This Row],[תאריך]]="",0,INDEX(הפחתה[], ROW()-4,8)))</f>
        <v>533775.42172279034</v>
      </c>
      <c r="E85" s="13">
        <f>IF(ValuesEntered,IF(ROW()-ROW(הפחתה[[#Headers],[ריבית]])=1,-IPMT(שיעור_ריבית/12,1,תקופת_ההלוואה-ROWS($C$4:C85)+1,הפחתה[[#This Row],[יתרת פתיחה]]),IFERROR(-IPMT(שיעור_ריבית/12,1,הפחתה[[#This Row],[תשלומים
שנותרו]],D86),0)),0)</f>
        <v>2353.2048668178127</v>
      </c>
      <c r="F85" s="13">
        <f>IFERROR(IF(AND(ValuesEntered,הפחתה[[#This Row],[תאריך]]&lt;&gt;""),-PPMT(שיעור_ריבית/12,1,תקופת_ההלוואה-ROWS($C$4:C85)+1,הפחתה[[#This Row],[יתרת פתיחה]]),""),0)</f>
        <v>974.31980177622745</v>
      </c>
      <c r="G85" s="13">
        <f>(הפחתה[[#This Row],[יתרת פתיחה]])*(מדד/12)</f>
        <v>0</v>
      </c>
      <c r="H85" s="13">
        <f>IF(הפחתה[[#This Row],[תאריך]]="",0,הפחתה[[#This Row],[ריבית]]+הפחתה[[#This Row],[קרן]]+הפחתה[[#This Row],[מדד]])</f>
        <v>3327.5246685940401</v>
      </c>
      <c r="I85" s="13">
        <f>IF(הפחתה[[#This Row],[תאריך]]="",0,הפחתה[[#This Row],[יתרת פתיחה]]-הפחתה[[#This Row],[קרן]]+הפחתה[[#This Row],[מדד]])</f>
        <v>532801.10192101414</v>
      </c>
      <c r="J85" s="11">
        <f>IF(הפחתה[[#This Row],[יתרת
סגירה]]&gt;0,LastRow-ROW(),0)</f>
        <v>278</v>
      </c>
      <c r="K85" s="11">
        <f>ROWS($K$4:K85)</f>
        <v>82</v>
      </c>
      <c r="L85" s="12">
        <f>IF(ValuesEntered2,IF(הפחתה5[[#This Row],[מס'']]&lt;=תקופת_ההלוואה2,IF(ROW()-ROW(הפחתה5[[#Headers],[תאריך]])=1,LoanStart2,IF(R84&gt;0,EDATE(L84,1),"")),""),"")</f>
        <v>47849</v>
      </c>
      <c r="M85" s="13">
        <f>IF(ROW()-ROW(הפחתה5[[#Headers],[יתרת פתיחה]])=1,סכום_הלוואה2,IF(הפחתה5[[#This Row],[תאריך]]="",0,INDEX(הפחתה5[], ROW()-4,8)))</f>
        <v>249904.71828013612</v>
      </c>
      <c r="N85" s="13">
        <f>IF(ValuesEntered2,IF(ROW()-ROW(הפחתה5[[#Headers],[ריבית]])=1,-IPMT(שיעור_ריבית2/12,1,תקופת_ההלוואה2-ROWS($L$4:L85)+1,הפחתה5[[#This Row],[יתרת פתיחה]]),IFERROR(-IPMT(שיעור_ריבית2/12,1,הפחתה5[[#This Row],[תשלומים
שנותרו]],M86),0)),0)</f>
        <v>975.96195577079106</v>
      </c>
      <c r="O85" s="13">
        <f>IFERROR(IF(AND(ValuesEntered2,הפחתה5[[#This Row],[תאריך]]&lt;&gt;""),-PPMT(שיעור_ריבית2/12,1,תקופת_ההלוואה2-ROWS($L$4:L85)+1,הפחתה5[[#This Row],[יתרת פתיחה]]),""),0)</f>
        <v>722.94233865752597</v>
      </c>
      <c r="P85" s="13">
        <f>(הפחתה5[[#This Row],[יתרת פתיחה]])*(מדד2/12)</f>
        <v>0</v>
      </c>
      <c r="Q85" s="13">
        <f>IF(הפחתה5[[#This Row],[תאריך]]="",0,הפחתה5[[#This Row],[ריבית]]+הפחתה5[[#This Row],[קרן]]+הפחתה5[[#This Row],[מדד]])</f>
        <v>1698.9042944283169</v>
      </c>
      <c r="R85" s="13">
        <f>IF(הפחתה5[[#This Row],[תאריך]]="",0,הפחתה5[[#This Row],[יתרת פתיחה]]-הפחתה5[[#This Row],[קרן]]+הפחתה5[[#This Row],[מדד]])</f>
        <v>249181.77594147858</v>
      </c>
      <c r="S85" s="11">
        <f>IF(הפחתה5[[#This Row],[יתרת
סגירה]]&gt;0,LastRow2-ROW(),0)</f>
        <v>218</v>
      </c>
      <c r="T85" s="11">
        <f>ROWS($T$4:T85)</f>
        <v>82</v>
      </c>
      <c r="U85" s="12">
        <f ca="1">IF(ValuesEntered3,IF(הפחתה7[[#This Row],[מס'']]&lt;=תקופת_ההלוואה3,IF(ROW()-ROW(הפחתה7[[#Headers],[תאריך]])=1,LoanStart3,IF(AA84&gt;0,EDATE(U84,1),"")),""),"")</f>
        <v>48085</v>
      </c>
      <c r="V85" s="13">
        <f ca="1">IF(ROW()-ROW(הפחתה7[[#Headers],[יתרת פתיחה]])=1,סכום_הלוואה3,IF(הפחתה7[[#This Row],[תאריך]]="",0,INDEX(הפחתה7[], ROW()-4,8)))</f>
        <v>89739.234176698184</v>
      </c>
      <c r="W85" s="13">
        <f ca="1">IF(ValuesEntered3,IF(ROW()-ROW(הפחתה7[[#Headers],[ריבית]])=1,-IPMT(שיעור_ריבית3/12,1,תקופת_ההלוואה3-ROWS($C$4:U85)+1,הפחתה7[[#This Row],[יתרת פתיחה]]),IFERROR(-IPMT(שיעור_ריבית3/12,1,הפחתה7[[#This Row],[תשלומים
שנותרו]],V86),0)),0)</f>
        <v>171.65407108314065</v>
      </c>
      <c r="X85" s="13">
        <f ca="1">IFERROR(IF(AND(ValuesEntered3,הפחתה7[[#This Row],[תאריך]]&lt;&gt;""),-PPMT(שיעור_ריבית3/12,1,תקופת_ההלוואה3-ROWS($C$4:U85)+1,הפחתה7[[#This Row],[יתרת פתיחה]]),""),0)</f>
        <v>330.15378448450059</v>
      </c>
      <c r="Y85" s="13">
        <f ca="1">(הפחתה7[[#This Row],[יתרת פתיחה]])*(מדד3/12)</f>
        <v>149.56539029449698</v>
      </c>
      <c r="Z85" s="13">
        <f ca="1">IF(הפחתה7[[#This Row],[תאריך]]="",0,הפחתה7[[#This Row],[ריבית]]+הפחתה7[[#This Row],[קרן]]+הפחתה7[[#This Row],[מדד]])</f>
        <v>651.37324586213822</v>
      </c>
      <c r="AA85" s="13">
        <f ca="1">IF(הפחתה7[[#This Row],[תאריך]]="",0,הפחתה7[[#This Row],[יתרת פתיחה]]-הפחתה7[[#This Row],[קרן]]+הפחתה7[[#This Row],[מדד]])</f>
        <v>89558.645782508174</v>
      </c>
      <c r="AB85" s="11">
        <f ca="1">IF(הפחתה7[[#This Row],[יתרת
סגירה]]&gt;0,LastRow3-ROW(),0)</f>
        <v>218</v>
      </c>
      <c r="AC85" s="17">
        <f>ROWS($AC$4:AC85)</f>
        <v>82</v>
      </c>
      <c r="AD85" s="18" t="str">
        <f ca="1">IF(ValuesEntered4,IF(הפחתה8[[#This Row],[מס'']]&lt;=תקופת_ההלוואה4,IF(ROW()-ROW(הפחתה8[[#Headers],[תאריך]])=1,LoanStart4,IF(AJ84&gt;0,EDATE(AD84,1),"")),""),"")</f>
        <v/>
      </c>
      <c r="AE85" s="19">
        <f ca="1">IF(ROW()-ROW(הפחתה8[[#Headers],[יתרת פתיחה]])=1,סכום_הלוואה4,IF(הפחתה8[[#This Row],[תאריך]]="",0,INDEX(הפחתה8[], ROW()-4,8)))</f>
        <v>0</v>
      </c>
      <c r="AF85" s="19">
        <f ca="1">IF(ValuesEntered4,IF(ROW()-ROW(הפחתה8[[#Headers],[ריבית]])=1,-IPMT(שיעור_ריבית4/12,1,תקופת_ההלוואה4-ROWS($C$4:AD85)+1,הפחתה8[[#This Row],[יתרת פתיחה]]),IFERROR(-IPMT(שיעור_ריבית4/12,1,הפחתה8[[#This Row],[תשלומים
שנותרו]],AE86),0)),0)</f>
        <v>0</v>
      </c>
      <c r="AG85" s="19" t="str">
        <f ca="1">IFERROR(IF(AND(ValuesEntered4,הפחתה8[[#This Row],[תאריך]]&lt;&gt;""),-PPMT(שיעור_ריבית4/12,1,תקופת_ההלוואה4-ROWS($C$4:AD85)+1,הפחתה8[[#This Row],[יתרת פתיחה]]),""),0)</f>
        <v/>
      </c>
      <c r="AH85" s="19">
        <f ca="1">(הפחתה8[[#This Row],[יתרת פתיחה]])*(מדד4/12)</f>
        <v>0</v>
      </c>
      <c r="AI85" s="19">
        <f ca="1">IF(הפחתה8[[#This Row],[תאריך]]="",0,הפחתה8[[#This Row],[ריבית]]+הפחתה8[[#This Row],[קרן]]+הפחתה8[[#This Row],[מדד]])</f>
        <v>0</v>
      </c>
      <c r="AJ85" s="19">
        <f ca="1">IF(הפחתה8[[#This Row],[תאריך]]="",0,הפחתה8[[#This Row],[יתרת פתיחה]]-הפחתה8[[#This Row],[קרן]])</f>
        <v>0</v>
      </c>
      <c r="AK85" s="20">
        <f ca="1">IF(הפחתה8[[#This Row],[יתרת
סגירה]]&gt;0,LastRow4-ROW(),0)</f>
        <v>0</v>
      </c>
    </row>
    <row r="86" spans="1:37" ht="15" customHeight="1" x14ac:dyDescent="0.25">
      <c r="A86" s="8"/>
      <c r="B86" s="11">
        <f>ROWS($B$4:B86)</f>
        <v>83</v>
      </c>
      <c r="C86" s="12">
        <f>IF(ValuesEntered,IF(הפחתה[[#This Row],[מס'']]&lt;=תקופת_ההלוואה,IF(ROW()-ROW(הפחתה[[#Headers],[תאריך]])=1,LoanStart,IF(I85&gt;0,EDATE(C85,1),"")),""),"")</f>
        <v>47880</v>
      </c>
      <c r="D86" s="13">
        <f>IF(ROW()-ROW(הפחתה[[#Headers],[יתרת פתיחה]])=1,סכום_הלוואה,IF(הפחתה[[#This Row],[תאריך]]="",0,INDEX(הפחתה[], ROW()-4,8)))</f>
        <v>532801.10192101414</v>
      </c>
      <c r="E86" s="13">
        <f>IF(ValuesEntered,IF(ROW()-ROW(הפחתה[[#Headers],[ריבית]])=1,-IPMT(שיעור_ריבית/12,1,תקופת_ההלוואה-ROWS($C$4:C86)+1,הפחתה[[#This Row],[יתרת פתיחה]]),IFERROR(-IPMT(שיעור_ריבית/12,1,הפחתה[[#This Row],[תשלומים
שנותרו]],D87),0)),0)</f>
        <v>2348.8826150243899</v>
      </c>
      <c r="F86" s="13">
        <f>IFERROR(IF(AND(ValuesEntered,הפחתה[[#This Row],[תאריך]]&lt;&gt;""),-PPMT(שיעור_ריבית/12,1,תקופת_ההלוואה-ROWS($C$4:C86)+1,הפחתה[[#This Row],[יתרת פתיחה]]),""),0)</f>
        <v>978.62304756740582</v>
      </c>
      <c r="G86" s="13">
        <f>(הפחתה[[#This Row],[יתרת פתיחה]])*(מדד/12)</f>
        <v>0</v>
      </c>
      <c r="H86" s="13">
        <f>IF(הפחתה[[#This Row],[תאריך]]="",0,הפחתה[[#This Row],[ריבית]]+הפחתה[[#This Row],[קרן]]+הפחתה[[#This Row],[מדד]])</f>
        <v>3327.505662591796</v>
      </c>
      <c r="I86" s="13">
        <f>IF(הפחתה[[#This Row],[תאריך]]="",0,הפחתה[[#This Row],[יתרת פתיחה]]-הפחתה[[#This Row],[קרן]]+הפחתה[[#This Row],[מדד]])</f>
        <v>531822.4788734467</v>
      </c>
      <c r="J86" s="11">
        <f>IF(הפחתה[[#This Row],[יתרת
סגירה]]&gt;0,LastRow-ROW(),0)</f>
        <v>277</v>
      </c>
      <c r="K86" s="11">
        <f>ROWS($K$4:K86)</f>
        <v>83</v>
      </c>
      <c r="L86" s="12">
        <f>IF(ValuesEntered2,IF(הפחתה5[[#This Row],[מס'']]&lt;=תקופת_ההלוואה2,IF(ROW()-ROW(הפחתה5[[#Headers],[תאריך]])=1,LoanStart2,IF(R85&gt;0,EDATE(L85,1),"")),""),"")</f>
        <v>47880</v>
      </c>
      <c r="M86" s="13">
        <f>IF(ROW()-ROW(הפחתה5[[#Headers],[יתרת פתיחה]])=1,סכום_הלוואה2,IF(הפחתה5[[#This Row],[תאריך]]="",0,INDEX(הפחתה5[], ROW()-4,8)))</f>
        <v>249181.77594147858</v>
      </c>
      <c r="N86" s="13">
        <f>IF(ValuesEntered2,IF(ROW()-ROW(הפחתה5[[#Headers],[ריבית]])=1,-IPMT(שיעור_ריבית2/12,1,תקופת_ההלוואה2-ROWS($L$4:L86)+1,הפחתה5[[#This Row],[יתרת פתיחה]]),IFERROR(-IPMT(שיעור_ריבית2/12,1,הפחתה5[[#This Row],[תשלומים
שנותרו]],M87),0)),0)</f>
        <v>973.11934147475677</v>
      </c>
      <c r="O86" s="13">
        <f>IFERROR(IF(AND(ValuesEntered2,הפחתה5[[#This Row],[תאריך]]&lt;&gt;""),-PPMT(שיעור_ריבית2/12,1,תקופת_ההלוואה2-ROWS($L$4:L86)+1,הפחתה5[[#This Row],[יתרת פתיחה]]),""),0)</f>
        <v>725.77386281726797</v>
      </c>
      <c r="P86" s="13">
        <f>(הפחתה5[[#This Row],[יתרת פתיחה]])*(מדד2/12)</f>
        <v>0</v>
      </c>
      <c r="Q86" s="13">
        <f>IF(הפחתה5[[#This Row],[תאריך]]="",0,הפחתה5[[#This Row],[ריבית]]+הפחתה5[[#This Row],[קרן]]+הפחתה5[[#This Row],[מדד]])</f>
        <v>1698.8932042920246</v>
      </c>
      <c r="R86" s="13">
        <f>IF(הפחתה5[[#This Row],[תאריך]]="",0,הפחתה5[[#This Row],[יתרת פתיחה]]-הפחתה5[[#This Row],[קרן]]+הפחתה5[[#This Row],[מדד]])</f>
        <v>248456.00207866132</v>
      </c>
      <c r="S86" s="11">
        <f>IF(הפחתה5[[#This Row],[יתרת
סגירה]]&gt;0,LastRow2-ROW(),0)</f>
        <v>217</v>
      </c>
      <c r="T86" s="11">
        <f>ROWS($T$4:T86)</f>
        <v>83</v>
      </c>
      <c r="U86" s="12">
        <f ca="1">IF(ValuesEntered3,IF(הפחתה7[[#This Row],[מס'']]&lt;=תקופת_ההלוואה3,IF(ROW()-ROW(הפחתה7[[#Headers],[תאריך]])=1,LoanStart3,IF(AA85&gt;0,EDATE(U85,1),"")),""),"")</f>
        <v>48116</v>
      </c>
      <c r="V86" s="13">
        <f ca="1">IF(ROW()-ROW(הפחתה7[[#Headers],[יתרת פתיחה]])=1,סכום_הלוואה3,IF(הפחתה7[[#This Row],[תאריך]]="",0,INDEX(הפחתה7[], ROW()-4,8)))</f>
        <v>89558.645782508174</v>
      </c>
      <c r="W86" s="13">
        <f ca="1">IF(ValuesEntered3,IF(ROW()-ROW(הפחתה7[[#Headers],[ריבית]])=1,-IPMT(שיעור_ריבית3/12,1,תקופת_ההלוואה3-ROWS($C$4:U86)+1,הפחתה7[[#This Row],[יתרת פתיחה]]),IFERROR(-IPMT(שיעור_ריבית3/12,1,הפחתה7[[#This Row],[תשלומים
שנותרו]],V87),0)),0)</f>
        <v>171.30509301014027</v>
      </c>
      <c r="X86" s="13">
        <f ca="1">IFERROR(IF(AND(ValuesEntered3,הפחתה7[[#This Row],[תאריך]]&lt;&gt;""),-PPMT(שיעור_ריבית3/12,1,תקופת_ההלוואה3-ROWS($C$4:U86)+1,הפחתה7[[#This Row],[יתרת פתיחה]]),""),0)</f>
        <v>331.33992598555022</v>
      </c>
      <c r="Y86" s="13">
        <f ca="1">(הפחתה7[[#This Row],[יתרת פתיחה]])*(מדד3/12)</f>
        <v>149.26440963751364</v>
      </c>
      <c r="Z86" s="13">
        <f ca="1">IF(הפחתה7[[#This Row],[תאריך]]="",0,הפחתה7[[#This Row],[ריבית]]+הפחתה7[[#This Row],[קרן]]+הפחתה7[[#This Row],[מדד]])</f>
        <v>651.90942863320413</v>
      </c>
      <c r="AA86" s="13">
        <f ca="1">IF(הפחתה7[[#This Row],[תאריך]]="",0,הפחתה7[[#This Row],[יתרת פתיחה]]-הפחתה7[[#This Row],[קרן]]+הפחתה7[[#This Row],[מדד]])</f>
        <v>89376.570266160139</v>
      </c>
      <c r="AB86" s="11">
        <f ca="1">IF(הפחתה7[[#This Row],[יתרת
סגירה]]&gt;0,LastRow3-ROW(),0)</f>
        <v>217</v>
      </c>
      <c r="AC86" s="17">
        <f>ROWS($AC$4:AC86)</f>
        <v>83</v>
      </c>
      <c r="AD86" s="18" t="str">
        <f ca="1">IF(ValuesEntered4,IF(הפחתה8[[#This Row],[מס'']]&lt;=תקופת_ההלוואה4,IF(ROW()-ROW(הפחתה8[[#Headers],[תאריך]])=1,LoanStart4,IF(AJ85&gt;0,EDATE(AD85,1),"")),""),"")</f>
        <v/>
      </c>
      <c r="AE86" s="19">
        <f ca="1">IF(ROW()-ROW(הפחתה8[[#Headers],[יתרת פתיחה]])=1,סכום_הלוואה4,IF(הפחתה8[[#This Row],[תאריך]]="",0,INDEX(הפחתה8[], ROW()-4,8)))</f>
        <v>0</v>
      </c>
      <c r="AF86" s="19">
        <f ca="1">IF(ValuesEntered4,IF(ROW()-ROW(הפחתה8[[#Headers],[ריבית]])=1,-IPMT(שיעור_ריבית4/12,1,תקופת_ההלוואה4-ROWS($C$4:AD86)+1,הפחתה8[[#This Row],[יתרת פתיחה]]),IFERROR(-IPMT(שיעור_ריבית4/12,1,הפחתה8[[#This Row],[תשלומים
שנותרו]],AE87),0)),0)</f>
        <v>0</v>
      </c>
      <c r="AG86" s="19" t="str">
        <f ca="1">IFERROR(IF(AND(ValuesEntered4,הפחתה8[[#This Row],[תאריך]]&lt;&gt;""),-PPMT(שיעור_ריבית4/12,1,תקופת_ההלוואה4-ROWS($C$4:AD86)+1,הפחתה8[[#This Row],[יתרת פתיחה]]),""),0)</f>
        <v/>
      </c>
      <c r="AH86" s="19">
        <f ca="1">(הפחתה8[[#This Row],[יתרת פתיחה]])*(מדד4/12)</f>
        <v>0</v>
      </c>
      <c r="AI86" s="19">
        <f ca="1">IF(הפחתה8[[#This Row],[תאריך]]="",0,הפחתה8[[#This Row],[ריבית]]+הפחתה8[[#This Row],[קרן]]+הפחתה8[[#This Row],[מדד]])</f>
        <v>0</v>
      </c>
      <c r="AJ86" s="19">
        <f ca="1">IF(הפחתה8[[#This Row],[תאריך]]="",0,הפחתה8[[#This Row],[יתרת פתיחה]]-הפחתה8[[#This Row],[קרן]])</f>
        <v>0</v>
      </c>
      <c r="AK86" s="20">
        <f ca="1">IF(הפחתה8[[#This Row],[יתרת
סגירה]]&gt;0,LastRow4-ROW(),0)</f>
        <v>0</v>
      </c>
    </row>
    <row r="87" spans="1:37" ht="15" customHeight="1" x14ac:dyDescent="0.25">
      <c r="A87" s="8"/>
      <c r="B87" s="11">
        <f>ROWS($B$4:B87)</f>
        <v>84</v>
      </c>
      <c r="C87" s="12">
        <f>IF(ValuesEntered,IF(הפחתה[[#This Row],[מס'']]&lt;=תקופת_ההלוואה,IF(ROW()-ROW(הפחתה[[#Headers],[תאריך]])=1,LoanStart,IF(I86&gt;0,EDATE(C86,1),"")),""),"")</f>
        <v>47908</v>
      </c>
      <c r="D87" s="13">
        <f>IF(ROW()-ROW(הפחתה[[#Headers],[יתרת פתיחה]])=1,סכום_הלוואה,IF(הפחתה[[#This Row],[תאריך]]="",0,INDEX(הפחתה[], ROW()-4,8)))</f>
        <v>531822.4788734467</v>
      </c>
      <c r="E87" s="13">
        <f>IF(ValuesEntered,IF(ROW()-ROW(הפחתה[[#Headers],[ריבית]])=1,-IPMT(שיעור_ריבית/12,1,תקופת_ההלוואה-ROWS($C$4:C87)+1,הפחתה[[#This Row],[יתרת פתיחה]]),IFERROR(-IPMT(שיעור_ריבית/12,1,הפחתה[[#This Row],[תשלומים
שנותרו]],D88),0)),0)</f>
        <v>2344.5412732855461</v>
      </c>
      <c r="F87" s="13">
        <f>IFERROR(IF(AND(ValuesEntered,הפחתה[[#This Row],[תאריך]]&lt;&gt;""),-PPMT(שיעור_ריבית/12,1,תקופת_ההלוואה-ROWS($C$4:C87)+1,הפחתה[[#This Row],[יתרת פתיחה]]),""),0)</f>
        <v>982.94529936082824</v>
      </c>
      <c r="G87" s="13">
        <f>(הפחתה[[#This Row],[יתרת פתיחה]])*(מדד/12)</f>
        <v>0</v>
      </c>
      <c r="H87" s="13">
        <f>IF(הפחתה[[#This Row],[תאריך]]="",0,הפחתה[[#This Row],[ריבית]]+הפחתה[[#This Row],[קרן]]+הפחתה[[#This Row],[מדד]])</f>
        <v>3327.4865726463745</v>
      </c>
      <c r="I87" s="13">
        <f>IF(הפחתה[[#This Row],[תאריך]]="",0,הפחתה[[#This Row],[יתרת פתיחה]]-הפחתה[[#This Row],[קרן]]+הפחתה[[#This Row],[מדד]])</f>
        <v>530839.53357408592</v>
      </c>
      <c r="J87" s="11">
        <f>IF(הפחתה[[#This Row],[יתרת
סגירה]]&gt;0,LastRow-ROW(),0)</f>
        <v>276</v>
      </c>
      <c r="K87" s="11">
        <f>ROWS($K$4:K87)</f>
        <v>84</v>
      </c>
      <c r="L87" s="12">
        <f>IF(ValuesEntered2,IF(הפחתה5[[#This Row],[מס'']]&lt;=תקופת_ההלוואה2,IF(ROW()-ROW(הפחתה5[[#Headers],[תאריך]])=1,LoanStart2,IF(R86&gt;0,EDATE(L86,1),"")),""),"")</f>
        <v>47908</v>
      </c>
      <c r="M87" s="13">
        <f>IF(ROW()-ROW(הפחתה5[[#Headers],[יתרת פתיחה]])=1,סכום_הלוואה2,IF(הפחתה5[[#This Row],[תאריך]]="",0,INDEX(הפחתה5[], ROW()-4,8)))</f>
        <v>248456.00207866132</v>
      </c>
      <c r="N87" s="13">
        <f>IF(ValuesEntered2,IF(ROW()-ROW(הפחתה5[[#Headers],[ריבית]])=1,-IPMT(שיעור_ריבית2/12,1,תקופת_ההלוואה2-ROWS($L$4:L87)+1,הפחתה5[[#This Row],[יתרת פתיחה]]),IFERROR(-IPMT(שיעור_ריבית2/12,1,הפחתה5[[#This Row],[תשלומים
שנותרו]],M88),0)),0)</f>
        <v>970.26559360606302</v>
      </c>
      <c r="O87" s="13">
        <f>IFERROR(IF(AND(ValuesEntered2,הפחתה5[[#This Row],[תאריך]]&lt;&gt;""),-PPMT(שיעור_ריבית2/12,1,תקופת_ההלוואה2-ROWS($L$4:L87)+1,הפחתה5[[#This Row],[יתרת פתיחה]]),""),0)</f>
        <v>728.61647711330227</v>
      </c>
      <c r="P87" s="13">
        <f>(הפחתה5[[#This Row],[יתרת פתיחה]])*(מדד2/12)</f>
        <v>0</v>
      </c>
      <c r="Q87" s="13">
        <f>IF(הפחתה5[[#This Row],[תאריך]]="",0,הפחתה5[[#This Row],[ריבית]]+הפחתה5[[#This Row],[קרן]]+הפחתה5[[#This Row],[מדד]])</f>
        <v>1698.8820707193654</v>
      </c>
      <c r="R87" s="13">
        <f>IF(הפחתה5[[#This Row],[תאריך]]="",0,הפחתה5[[#This Row],[יתרת פתיחה]]-הפחתה5[[#This Row],[קרן]]+הפחתה5[[#This Row],[מדד]])</f>
        <v>247727.38560154801</v>
      </c>
      <c r="S87" s="11">
        <f>IF(הפחתה5[[#This Row],[יתרת
סגירה]]&gt;0,LastRow2-ROW(),0)</f>
        <v>216</v>
      </c>
      <c r="T87" s="11">
        <f>ROWS($T$4:T87)</f>
        <v>84</v>
      </c>
      <c r="U87" s="12">
        <f ca="1">IF(ValuesEntered3,IF(הפחתה7[[#This Row],[מס'']]&lt;=תקופת_ההלוואה3,IF(ROW()-ROW(הפחתה7[[#Headers],[תאריך]])=1,LoanStart3,IF(AA86&gt;0,EDATE(U86,1),"")),""),"")</f>
        <v>48146</v>
      </c>
      <c r="V87" s="13">
        <f ca="1">IF(ROW()-ROW(הפחתה7[[#Headers],[יתרת פתיחה]])=1,סכום_הלוואה3,IF(הפחתה7[[#This Row],[תאריך]]="",0,INDEX(הפחתה7[], ROW()-4,8)))</f>
        <v>89376.570266160139</v>
      </c>
      <c r="W87" s="13">
        <f ca="1">IF(ValuesEntered3,IF(ROW()-ROW(הפחתה7[[#Headers],[ריבית]])=1,-IPMT(שיעור_ריבית3/12,1,תקופת_ההלוואה3-ROWS($C$4:U87)+1,הפחתה7[[#This Row],[יתרת פתיחה]]),IFERROR(-IPMT(שיעור_ריבית3/12,1,הפחתה7[[#This Row],[תשלומים
שנותרו]],V88),0)),0)</f>
        <v>170.95325167929968</v>
      </c>
      <c r="X87" s="13">
        <f ca="1">IFERROR(IF(AND(ValuesEntered3,הפחתה7[[#This Row],[תאריך]]&lt;&gt;""),-PPMT(שיעור_ריבית3/12,1,תקופת_ההלוואה3-ROWS($C$4:U87)+1,הפחתה7[[#This Row],[יתרת פתיחה]]),""),0)</f>
        <v>332.53034044736643</v>
      </c>
      <c r="Y87" s="13">
        <f ca="1">(הפחתה7[[#This Row],[יתרת פתיחה]])*(מדד3/12)</f>
        <v>148.96095044360024</v>
      </c>
      <c r="Z87" s="13">
        <f ca="1">IF(הפחתה7[[#This Row],[תאריך]]="",0,הפחתה7[[#This Row],[ריבית]]+הפחתה7[[#This Row],[קרן]]+הפחתה7[[#This Row],[מדד]])</f>
        <v>652.44454257026632</v>
      </c>
      <c r="AA87" s="13">
        <f ca="1">IF(הפחתה7[[#This Row],[תאריך]]="",0,הפחתה7[[#This Row],[יתרת פתיחה]]-הפחתה7[[#This Row],[קרן]]+הפחתה7[[#This Row],[מדד]])</f>
        <v>89193.000876156366</v>
      </c>
      <c r="AB87" s="11">
        <f ca="1">IF(הפחתה7[[#This Row],[יתרת
סגירה]]&gt;0,LastRow3-ROW(),0)</f>
        <v>216</v>
      </c>
      <c r="AC87" s="17">
        <f>ROWS($AC$4:AC87)</f>
        <v>84</v>
      </c>
      <c r="AD87" s="18" t="str">
        <f ca="1">IF(ValuesEntered4,IF(הפחתה8[[#This Row],[מס'']]&lt;=תקופת_ההלוואה4,IF(ROW()-ROW(הפחתה8[[#Headers],[תאריך]])=1,LoanStart4,IF(AJ86&gt;0,EDATE(AD86,1),"")),""),"")</f>
        <v/>
      </c>
      <c r="AE87" s="19">
        <f ca="1">IF(ROW()-ROW(הפחתה8[[#Headers],[יתרת פתיחה]])=1,סכום_הלוואה4,IF(הפחתה8[[#This Row],[תאריך]]="",0,INDEX(הפחתה8[], ROW()-4,8)))</f>
        <v>0</v>
      </c>
      <c r="AF87" s="19">
        <f ca="1">IF(ValuesEntered4,IF(ROW()-ROW(הפחתה8[[#Headers],[ריבית]])=1,-IPMT(שיעור_ריבית4/12,1,תקופת_ההלוואה4-ROWS($C$4:AD87)+1,הפחתה8[[#This Row],[יתרת פתיחה]]),IFERROR(-IPMT(שיעור_ריבית4/12,1,הפחתה8[[#This Row],[תשלומים
שנותרו]],AE88),0)),0)</f>
        <v>0</v>
      </c>
      <c r="AG87" s="19" t="str">
        <f ca="1">IFERROR(IF(AND(ValuesEntered4,הפחתה8[[#This Row],[תאריך]]&lt;&gt;""),-PPMT(שיעור_ריבית4/12,1,תקופת_ההלוואה4-ROWS($C$4:AD87)+1,הפחתה8[[#This Row],[יתרת פתיחה]]),""),0)</f>
        <v/>
      </c>
      <c r="AH87" s="19">
        <f ca="1">(הפחתה8[[#This Row],[יתרת פתיחה]])*(מדד4/12)</f>
        <v>0</v>
      </c>
      <c r="AI87" s="19">
        <f ca="1">IF(הפחתה8[[#This Row],[תאריך]]="",0,הפחתה8[[#This Row],[ריבית]]+הפחתה8[[#This Row],[קרן]]+הפחתה8[[#This Row],[מדד]])</f>
        <v>0</v>
      </c>
      <c r="AJ87" s="19">
        <f ca="1">IF(הפחתה8[[#This Row],[תאריך]]="",0,הפחתה8[[#This Row],[יתרת פתיחה]]-הפחתה8[[#This Row],[קרן]])</f>
        <v>0</v>
      </c>
      <c r="AK87" s="20">
        <f ca="1">IF(הפחתה8[[#This Row],[יתרת
סגירה]]&gt;0,LastRow4-ROW(),0)</f>
        <v>0</v>
      </c>
    </row>
    <row r="88" spans="1:37" ht="15" customHeight="1" x14ac:dyDescent="0.25">
      <c r="A88" s="8"/>
      <c r="B88" s="11">
        <f>ROWS($B$4:B88)</f>
        <v>85</v>
      </c>
      <c r="C88" s="12">
        <f>IF(ValuesEntered,IF(הפחתה[[#This Row],[מס'']]&lt;=תקופת_ההלוואה,IF(ROW()-ROW(הפחתה[[#Headers],[תאריך]])=1,LoanStart,IF(I87&gt;0,EDATE(C87,1),"")),""),"")</f>
        <v>47939</v>
      </c>
      <c r="D88" s="13">
        <f>IF(ROW()-ROW(הפחתה[[#Headers],[יתרת פתיחה]])=1,סכום_הלוואה,IF(הפחתה[[#This Row],[תאריך]]="",0,INDEX(הפחתה[], ROW()-4,8)))</f>
        <v>530839.53357408592</v>
      </c>
      <c r="E88" s="13">
        <f>IF(ValuesEntered,IF(ROW()-ROW(הפחתה[[#Headers],[ריבית]])=1,-IPMT(שיעור_ריבית/12,1,תקופת_ההלוואה-ROWS($C$4:C88)+1,הפחתה[[#This Row],[יתרת פתיחה]]),IFERROR(-IPMT(שיעור_ריבית/12,1,הפחתה[[#This Row],[תשלומים
שנותרו]],D89),0)),0)</f>
        <v>2340.1807572873558</v>
      </c>
      <c r="F88" s="13">
        <f>IFERROR(IF(AND(ValuesEntered,הפחתה[[#This Row],[תאריך]]&lt;&gt;""),-PPMT(שיעור_ריבית/12,1,תקופת_ההלוואה-ROWS($C$4:C88)+1,הפחתה[[#This Row],[יתרת פתיחה]]),""),0)</f>
        <v>987.28664109967167</v>
      </c>
      <c r="G88" s="13">
        <f>(הפחתה[[#This Row],[יתרת פתיחה]])*(מדד/12)</f>
        <v>0</v>
      </c>
      <c r="H88" s="13">
        <f>IF(הפחתה[[#This Row],[תאריך]]="",0,הפחתה[[#This Row],[ריבית]]+הפחתה[[#This Row],[קרן]]+הפחתה[[#This Row],[מדד]])</f>
        <v>3327.4673983870275</v>
      </c>
      <c r="I88" s="13">
        <f>IF(הפחתה[[#This Row],[תאריך]]="",0,הפחתה[[#This Row],[יתרת פתיחה]]-הפחתה[[#This Row],[קרן]]+הפחתה[[#This Row],[מדד]])</f>
        <v>529852.24693298619</v>
      </c>
      <c r="J88" s="11">
        <f>IF(הפחתה[[#This Row],[יתרת
סגירה]]&gt;0,LastRow-ROW(),0)</f>
        <v>275</v>
      </c>
      <c r="K88" s="11">
        <f>ROWS($K$4:K88)</f>
        <v>85</v>
      </c>
      <c r="L88" s="12">
        <f>IF(ValuesEntered2,IF(הפחתה5[[#This Row],[מס'']]&lt;=תקופת_ההלוואה2,IF(ROW()-ROW(הפחתה5[[#Headers],[תאריך]])=1,LoanStart2,IF(R87&gt;0,EDATE(L87,1),"")),""),"")</f>
        <v>47939</v>
      </c>
      <c r="M88" s="13">
        <f>IF(ROW()-ROW(הפחתה5[[#Headers],[יתרת פתיחה]])=1,סכום_הלוואה2,IF(הפחתה5[[#This Row],[תאריך]]="",0,INDEX(הפחתה5[], ROW()-4,8)))</f>
        <v>247727.38560154801</v>
      </c>
      <c r="N88" s="13">
        <f>IF(ValuesEntered2,IF(ROW()-ROW(הפחתה5[[#Headers],[ריבית]])=1,-IPMT(שיעור_ריבית2/12,1,תקופת_ההלוואה2-ROWS($L$4:L88)+1,הפחתה5[[#This Row],[יתרת פתיחה]]),IFERROR(-IPMT(שיעור_ריבית2/12,1,הפחתה5[[#This Row],[תשלומים
שנותרו]],M89),0)),0)</f>
        <v>967.40066855821692</v>
      </c>
      <c r="O88" s="13">
        <f>IFERROR(IF(AND(ValuesEntered2,הפחתה5[[#This Row],[תאריך]]&lt;&gt;""),-PPMT(שיעור_ריבית2/12,1,תקופת_ההלוואה2-ROWS($L$4:L88)+1,הפחתה5[[#This Row],[יתרת פתיחה]]),""),0)</f>
        <v>731.47022498199601</v>
      </c>
      <c r="P88" s="13">
        <f>(הפחתה5[[#This Row],[יתרת פתיחה]])*(מדד2/12)</f>
        <v>0</v>
      </c>
      <c r="Q88" s="13">
        <f>IF(הפחתה5[[#This Row],[תאריך]]="",0,הפחתה5[[#This Row],[ריבית]]+הפחתה5[[#This Row],[קרן]]+הפחתה5[[#This Row],[מדד]])</f>
        <v>1698.8708935402128</v>
      </c>
      <c r="R88" s="13">
        <f>IF(הפחתה5[[#This Row],[תאריך]]="",0,הפחתה5[[#This Row],[יתרת פתיחה]]-הפחתה5[[#This Row],[קרן]]+הפחתה5[[#This Row],[מדד]])</f>
        <v>246995.91537656603</v>
      </c>
      <c r="S88" s="11">
        <f>IF(הפחתה5[[#This Row],[יתרת
סגירה]]&gt;0,LastRow2-ROW(),0)</f>
        <v>215</v>
      </c>
      <c r="T88" s="11">
        <f>ROWS($T$4:T88)</f>
        <v>85</v>
      </c>
      <c r="U88" s="12">
        <f ca="1">IF(ValuesEntered3,IF(הפחתה7[[#This Row],[מס'']]&lt;=תקופת_ההלוואה3,IF(ROW()-ROW(הפחתה7[[#Headers],[תאריך]])=1,LoanStart3,IF(AA87&gt;0,EDATE(U87,1),"")),""),"")</f>
        <v>48177</v>
      </c>
      <c r="V88" s="13">
        <f ca="1">IF(ROW()-ROW(הפחתה7[[#Headers],[יתרת פתיחה]])=1,סכום_הלוואה3,IF(הפחתה7[[#This Row],[תאריך]]="",0,INDEX(הפחתה7[], ROW()-4,8)))</f>
        <v>89193.000876156366</v>
      </c>
      <c r="W88" s="13">
        <f ca="1">IF(ValuesEntered3,IF(ROW()-ROW(הפחתה7[[#Headers],[ריבית]])=1,-IPMT(שיעור_ריבית3/12,1,תקופת_ההלוואה3-ROWS($C$4:U88)+1,הפחתה7[[#This Row],[יתרת פתיחה]]),IFERROR(-IPMT(שיעור_ריבית3/12,1,הפחתה7[[#This Row],[תשלומים
שנותרו]],V89),0)),0)</f>
        <v>170.59853409889081</v>
      </c>
      <c r="X88" s="13">
        <f ca="1">IFERROR(IF(AND(ValuesEntered3,הפחתה7[[#This Row],[תאריך]]&lt;&gt;""),-PPMT(שיעור_ריבית3/12,1,תקופת_ההלוואה3-ROWS($C$4:U88)+1,הפחתה7[[#This Row],[יתרת פתיחה]]),""),0)</f>
        <v>333.72504341271508</v>
      </c>
      <c r="Y88" s="13">
        <f ca="1">(הפחתה7[[#This Row],[יתרת פתיחה]])*(מדד3/12)</f>
        <v>148.65500146026062</v>
      </c>
      <c r="Z88" s="13">
        <f ca="1">IF(הפחתה7[[#This Row],[תאריך]]="",0,הפחתה7[[#This Row],[ריבית]]+הפחתה7[[#This Row],[קרן]]+הפחתה7[[#This Row],[מדד]])</f>
        <v>652.97857897186645</v>
      </c>
      <c r="AA88" s="13">
        <f ca="1">IF(הפחתה7[[#This Row],[תאריך]]="",0,הפחתה7[[#This Row],[יתרת פתיחה]]-הפחתה7[[#This Row],[קרן]]+הפחתה7[[#This Row],[מדד]])</f>
        <v>89007.9308342039</v>
      </c>
      <c r="AB88" s="11">
        <f ca="1">IF(הפחתה7[[#This Row],[יתרת
סגירה]]&gt;0,LastRow3-ROW(),0)</f>
        <v>215</v>
      </c>
      <c r="AC88" s="17">
        <f>ROWS($AC$4:AC88)</f>
        <v>85</v>
      </c>
      <c r="AD88" s="18" t="str">
        <f ca="1">IF(ValuesEntered4,IF(הפחתה8[[#This Row],[מס'']]&lt;=תקופת_ההלוואה4,IF(ROW()-ROW(הפחתה8[[#Headers],[תאריך]])=1,LoanStart4,IF(AJ87&gt;0,EDATE(AD87,1),"")),""),"")</f>
        <v/>
      </c>
      <c r="AE88" s="19">
        <f ca="1">IF(ROW()-ROW(הפחתה8[[#Headers],[יתרת פתיחה]])=1,סכום_הלוואה4,IF(הפחתה8[[#This Row],[תאריך]]="",0,INDEX(הפחתה8[], ROW()-4,8)))</f>
        <v>0</v>
      </c>
      <c r="AF88" s="19">
        <f ca="1">IF(ValuesEntered4,IF(ROW()-ROW(הפחתה8[[#Headers],[ריבית]])=1,-IPMT(שיעור_ריבית4/12,1,תקופת_ההלוואה4-ROWS($C$4:AD88)+1,הפחתה8[[#This Row],[יתרת פתיחה]]),IFERROR(-IPMT(שיעור_ריבית4/12,1,הפחתה8[[#This Row],[תשלומים
שנותרו]],AE89),0)),0)</f>
        <v>0</v>
      </c>
      <c r="AG88" s="19" t="str">
        <f ca="1">IFERROR(IF(AND(ValuesEntered4,הפחתה8[[#This Row],[תאריך]]&lt;&gt;""),-PPMT(שיעור_ריבית4/12,1,תקופת_ההלוואה4-ROWS($C$4:AD88)+1,הפחתה8[[#This Row],[יתרת פתיחה]]),""),0)</f>
        <v/>
      </c>
      <c r="AH88" s="19">
        <f ca="1">(הפחתה8[[#This Row],[יתרת פתיחה]])*(מדד4/12)</f>
        <v>0</v>
      </c>
      <c r="AI88" s="19">
        <f ca="1">IF(הפחתה8[[#This Row],[תאריך]]="",0,הפחתה8[[#This Row],[ריבית]]+הפחתה8[[#This Row],[קרן]]+הפחתה8[[#This Row],[מדד]])</f>
        <v>0</v>
      </c>
      <c r="AJ88" s="19">
        <f ca="1">IF(הפחתה8[[#This Row],[תאריך]]="",0,הפחתה8[[#This Row],[יתרת פתיחה]]-הפחתה8[[#This Row],[קרן]])</f>
        <v>0</v>
      </c>
      <c r="AK88" s="20">
        <f ca="1">IF(הפחתה8[[#This Row],[יתרת
סגירה]]&gt;0,LastRow4-ROW(),0)</f>
        <v>0</v>
      </c>
    </row>
    <row r="89" spans="1:37" ht="15" customHeight="1" x14ac:dyDescent="0.25">
      <c r="A89" s="8"/>
      <c r="B89" s="11">
        <f>ROWS($B$4:B89)</f>
        <v>86</v>
      </c>
      <c r="C89" s="12">
        <f>IF(ValuesEntered,IF(הפחתה[[#This Row],[מס'']]&lt;=תקופת_ההלוואה,IF(ROW()-ROW(הפחתה[[#Headers],[תאריך]])=1,LoanStart,IF(I88&gt;0,EDATE(C88,1),"")),""),"")</f>
        <v>47969</v>
      </c>
      <c r="D89" s="13">
        <f>IF(ROW()-ROW(הפחתה[[#Headers],[יתרת פתיחה]])=1,סכום_הלוואה,IF(הפחתה[[#This Row],[תאריך]]="",0,INDEX(הפחתה[], ROW()-4,8)))</f>
        <v>529852.24693298619</v>
      </c>
      <c r="E89" s="13">
        <f>IF(ValuesEntered,IF(ROW()-ROW(הפחתה[[#Headers],[ריבית]])=1,-IPMT(שיעור_ריבית/12,1,תקופת_ההלוואה-ROWS($C$4:C89)+1,הפחתה[[#This Row],[יתרת פתיחה]]),IFERROR(-IPMT(שיעור_ריבית/12,1,הפחתה[[#This Row],[תשלומים
שנותרו]],D90),0)),0)</f>
        <v>2335.8009823435073</v>
      </c>
      <c r="F89" s="13">
        <f>IFERROR(IF(AND(ValuesEntered,הפחתה[[#This Row],[תאריך]]&lt;&gt;""),-PPMT(שיעור_ריבית/12,1,תקופת_ההלוואה-ROWS($C$4:C89)+1,הפחתה[[#This Row],[יתרת פתיחה]]),""),0)</f>
        <v>991.64715709786185</v>
      </c>
      <c r="G89" s="13">
        <f>(הפחתה[[#This Row],[יתרת פתיחה]])*(מדד/12)</f>
        <v>0</v>
      </c>
      <c r="H89" s="13">
        <f>IF(הפחתה[[#This Row],[תאריך]]="",0,הפחתה[[#This Row],[ריבית]]+הפחתה[[#This Row],[קרן]]+הפחתה[[#This Row],[מדד]])</f>
        <v>3327.4481394413692</v>
      </c>
      <c r="I89" s="13">
        <f>IF(הפחתה[[#This Row],[תאריך]]="",0,הפחתה[[#This Row],[יתרת פתיחה]]-הפחתה[[#This Row],[קרן]]+הפחתה[[#This Row],[מדד]])</f>
        <v>528860.59977588838</v>
      </c>
      <c r="J89" s="11">
        <f>IF(הפחתה[[#This Row],[יתרת
סגירה]]&gt;0,LastRow-ROW(),0)</f>
        <v>274</v>
      </c>
      <c r="K89" s="11">
        <f>ROWS($K$4:K89)</f>
        <v>86</v>
      </c>
      <c r="L89" s="12">
        <f>IF(ValuesEntered2,IF(הפחתה5[[#This Row],[מס'']]&lt;=תקופת_ההלוואה2,IF(ROW()-ROW(הפחתה5[[#Headers],[תאריך]])=1,LoanStart2,IF(R88&gt;0,EDATE(L88,1),"")),""),"")</f>
        <v>47969</v>
      </c>
      <c r="M89" s="13">
        <f>IF(ROW()-ROW(הפחתה5[[#Headers],[יתרת פתיחה]])=1,סכום_הלוואה2,IF(הפחתה5[[#This Row],[תאריך]]="",0,INDEX(הפחתה5[], ROW()-4,8)))</f>
        <v>246995.91537656603</v>
      </c>
      <c r="N89" s="13">
        <f>IF(ValuesEntered2,IF(ROW()-ROW(הפחתה5[[#Headers],[ריבית]])=1,-IPMT(שיעור_ריבית2/12,1,תקופת_ההלוואה2-ROWS($L$4:L89)+1,הפחתה5[[#This Row],[יתרת פתיחה]]),IFERROR(-IPMT(שיעור_ריבית2/12,1,הפחתה5[[#This Row],[תשלומים
שנותרו]],M90),0)),0)</f>
        <v>964.52452255393337</v>
      </c>
      <c r="O89" s="13">
        <f>IFERROR(IF(AND(ValuesEntered2,הפחתה5[[#This Row],[תאריך]]&lt;&gt;""),-PPMT(שיעור_ריבית2/12,1,תקופת_ההלוואה2-ROWS($L$4:L89)+1,הפחתה5[[#This Row],[יתרת פתיחה]]),""),0)</f>
        <v>734.33515002984223</v>
      </c>
      <c r="P89" s="13">
        <f>(הפחתה5[[#This Row],[יתרת פתיחה]])*(מדד2/12)</f>
        <v>0</v>
      </c>
      <c r="Q89" s="13">
        <f>IF(הפחתה5[[#This Row],[תאריך]]="",0,הפחתה5[[#This Row],[ריבית]]+הפחתה5[[#This Row],[קרן]]+הפחתה5[[#This Row],[מדד]])</f>
        <v>1698.8596725837756</v>
      </c>
      <c r="R89" s="13">
        <f>IF(הפחתה5[[#This Row],[תאריך]]="",0,הפחתה5[[#This Row],[יתרת פתיחה]]-הפחתה5[[#This Row],[קרן]]+הפחתה5[[#This Row],[מדד]])</f>
        <v>246261.5802265362</v>
      </c>
      <c r="S89" s="11">
        <f>IF(הפחתה5[[#This Row],[יתרת
סגירה]]&gt;0,LastRow2-ROW(),0)</f>
        <v>214</v>
      </c>
      <c r="T89" s="11">
        <f>ROWS($T$4:T89)</f>
        <v>86</v>
      </c>
      <c r="U89" s="12">
        <f ca="1">IF(ValuesEntered3,IF(הפחתה7[[#This Row],[מס'']]&lt;=תקופת_ההלוואה3,IF(ROW()-ROW(הפחתה7[[#Headers],[תאריך]])=1,LoanStart3,IF(AA88&gt;0,EDATE(U88,1),"")),""),"")</f>
        <v>48207</v>
      </c>
      <c r="V89" s="13">
        <f ca="1">IF(ROW()-ROW(הפחתה7[[#Headers],[יתרת פתיחה]])=1,סכום_הלוואה3,IF(הפחתה7[[#This Row],[תאריך]]="",0,INDEX(הפחתה7[], ROW()-4,8)))</f>
        <v>89007.9308342039</v>
      </c>
      <c r="W89" s="13">
        <f ca="1">IF(ValuesEntered3,IF(ROW()-ROW(הפחתה7[[#Headers],[ריבית]])=1,-IPMT(שיעור_ריבית3/12,1,תקופת_ההלוואה3-ROWS($C$4:U89)+1,הפחתה7[[#This Row],[יתרת פתיחה]]),IFERROR(-IPMT(שיעור_ריבית3/12,1,הפחתה7[[#This Row],[תשלומים
שנותרו]],V90),0)),0)</f>
        <v>170.24092722562921</v>
      </c>
      <c r="X89" s="13">
        <f ca="1">IFERROR(IF(AND(ValuesEntered3,הפחתה7[[#This Row],[תאריך]]&lt;&gt;""),-PPMT(שיעור_ריבית3/12,1,תקופת_ההלוואה3-ROWS($C$4:U89)+1,הפחתה7[[#This Row],[יתרת פתיחה]]),""),0)</f>
        <v>334.92405048334075</v>
      </c>
      <c r="Y89" s="13">
        <f ca="1">(הפחתה7[[#This Row],[יתרת פתיחה]])*(מדד3/12)</f>
        <v>148.34655139033984</v>
      </c>
      <c r="Z89" s="13">
        <f ca="1">IF(הפחתה7[[#This Row],[תאריך]]="",0,הפחתה7[[#This Row],[ריבית]]+הפחתה7[[#This Row],[קרן]]+הפחתה7[[#This Row],[מדד]])</f>
        <v>653.51152909930977</v>
      </c>
      <c r="AA89" s="13">
        <f ca="1">IF(הפחתה7[[#This Row],[תאריך]]="",0,הפחתה7[[#This Row],[יתרת פתיחה]]-הפחתה7[[#This Row],[קרן]]+הפחתה7[[#This Row],[מדד]])</f>
        <v>88821.353335110893</v>
      </c>
      <c r="AB89" s="11">
        <f ca="1">IF(הפחתה7[[#This Row],[יתרת
סגירה]]&gt;0,LastRow3-ROW(),0)</f>
        <v>214</v>
      </c>
      <c r="AC89" s="17">
        <f>ROWS($AC$4:AC89)</f>
        <v>86</v>
      </c>
      <c r="AD89" s="18" t="str">
        <f ca="1">IF(ValuesEntered4,IF(הפחתה8[[#This Row],[מס'']]&lt;=תקופת_ההלוואה4,IF(ROW()-ROW(הפחתה8[[#Headers],[תאריך]])=1,LoanStart4,IF(AJ88&gt;0,EDATE(AD88,1),"")),""),"")</f>
        <v/>
      </c>
      <c r="AE89" s="19">
        <f ca="1">IF(ROW()-ROW(הפחתה8[[#Headers],[יתרת פתיחה]])=1,סכום_הלוואה4,IF(הפחתה8[[#This Row],[תאריך]]="",0,INDEX(הפחתה8[], ROW()-4,8)))</f>
        <v>0</v>
      </c>
      <c r="AF89" s="19">
        <f ca="1">IF(ValuesEntered4,IF(ROW()-ROW(הפחתה8[[#Headers],[ריבית]])=1,-IPMT(שיעור_ריבית4/12,1,תקופת_ההלוואה4-ROWS($C$4:AD89)+1,הפחתה8[[#This Row],[יתרת פתיחה]]),IFERROR(-IPMT(שיעור_ריבית4/12,1,הפחתה8[[#This Row],[תשלומים
שנותרו]],AE90),0)),0)</f>
        <v>0</v>
      </c>
      <c r="AG89" s="19" t="str">
        <f ca="1">IFERROR(IF(AND(ValuesEntered4,הפחתה8[[#This Row],[תאריך]]&lt;&gt;""),-PPMT(שיעור_ריבית4/12,1,תקופת_ההלוואה4-ROWS($C$4:AD89)+1,הפחתה8[[#This Row],[יתרת פתיחה]]),""),0)</f>
        <v/>
      </c>
      <c r="AH89" s="19">
        <f ca="1">(הפחתה8[[#This Row],[יתרת פתיחה]])*(מדד4/12)</f>
        <v>0</v>
      </c>
      <c r="AI89" s="19">
        <f ca="1">IF(הפחתה8[[#This Row],[תאריך]]="",0,הפחתה8[[#This Row],[ריבית]]+הפחתה8[[#This Row],[קרן]]+הפחתה8[[#This Row],[מדד]])</f>
        <v>0</v>
      </c>
      <c r="AJ89" s="19">
        <f ca="1">IF(הפחתה8[[#This Row],[תאריך]]="",0,הפחתה8[[#This Row],[יתרת פתיחה]]-הפחתה8[[#This Row],[קרן]])</f>
        <v>0</v>
      </c>
      <c r="AK89" s="20">
        <f ca="1">IF(הפחתה8[[#This Row],[יתרת
סגירה]]&gt;0,LastRow4-ROW(),0)</f>
        <v>0</v>
      </c>
    </row>
    <row r="90" spans="1:37" ht="15" customHeight="1" x14ac:dyDescent="0.25">
      <c r="A90" s="8"/>
      <c r="B90" s="11">
        <f>ROWS($B$4:B90)</f>
        <v>87</v>
      </c>
      <c r="C90" s="12">
        <f>IF(ValuesEntered,IF(הפחתה[[#This Row],[מס'']]&lt;=תקופת_ההלוואה,IF(ROW()-ROW(הפחתה[[#Headers],[תאריך]])=1,LoanStart,IF(I89&gt;0,EDATE(C89,1),"")),""),"")</f>
        <v>48000</v>
      </c>
      <c r="D90" s="13">
        <f>IF(ROW()-ROW(הפחתה[[#Headers],[יתרת פתיחה]])=1,סכום_הלוואה,IF(הפחתה[[#This Row],[תאריך]]="",0,INDEX(הפחתה[], ROW()-4,8)))</f>
        <v>528860.59977588838</v>
      </c>
      <c r="E90" s="13">
        <f>IF(ValuesEntered,IF(ROW()-ROW(הפחתה[[#Headers],[ריבית]])=1,-IPMT(שיעור_ריבית/12,1,תקופת_ההלוואה-ROWS($C$4:C90)+1,הפחתה[[#This Row],[יתרת פתיחה]]),IFERROR(-IPMT(שיעור_ריבית/12,1,הפחתה[[#This Row],[תשלומים
שנותרו]],D91),0)),0)</f>
        <v>2331.4018633936562</v>
      </c>
      <c r="F90" s="13">
        <f>IFERROR(IF(AND(ValuesEntered,הפחתה[[#This Row],[תאריך]]&lt;&gt;""),-PPMT(שיעור_ריבית/12,1,תקופת_ההלוואה-ROWS($C$4:C90)+1,הפחתה[[#This Row],[יתרת פתיחה]]),""),0)</f>
        <v>996.02693204171089</v>
      </c>
      <c r="G90" s="13">
        <f>(הפחתה[[#This Row],[יתרת פתיחה]])*(מדד/12)</f>
        <v>0</v>
      </c>
      <c r="H90" s="13">
        <f>IF(הפחתה[[#This Row],[תאריך]]="",0,הפחתה[[#This Row],[ריבית]]+הפחתה[[#This Row],[קרן]]+הפחתה[[#This Row],[מדד]])</f>
        <v>3327.4287954353672</v>
      </c>
      <c r="I90" s="13">
        <f>IF(הפחתה[[#This Row],[תאריך]]="",0,הפחתה[[#This Row],[יתרת פתיחה]]-הפחתה[[#This Row],[קרן]]+הפחתה[[#This Row],[מדד]])</f>
        <v>527864.57284384663</v>
      </c>
      <c r="J90" s="11">
        <f>IF(הפחתה[[#This Row],[יתרת
סגירה]]&gt;0,LastRow-ROW(),0)</f>
        <v>273</v>
      </c>
      <c r="K90" s="11">
        <f>ROWS($K$4:K90)</f>
        <v>87</v>
      </c>
      <c r="L90" s="12">
        <f>IF(ValuesEntered2,IF(הפחתה5[[#This Row],[מס'']]&lt;=תקופת_ההלוואה2,IF(ROW()-ROW(הפחתה5[[#Headers],[תאריך]])=1,LoanStart2,IF(R89&gt;0,EDATE(L89,1),"")),""),"")</f>
        <v>48000</v>
      </c>
      <c r="M90" s="13">
        <f>IF(ROW()-ROW(הפחתה5[[#Headers],[יתרת פתיחה]])=1,סכום_הלוואה2,IF(הפחתה5[[#This Row],[תאריך]]="",0,INDEX(הפחתה5[], ROW()-4,8)))</f>
        <v>246261.5802265362</v>
      </c>
      <c r="N90" s="13">
        <f>IF(ValuesEntered2,IF(ROW()-ROW(הפחתה5[[#Headers],[ריבית]])=1,-IPMT(שיעור_ריבית2/12,1,תקופת_ההלוואה2-ROWS($L$4:L90)+1,הפחתה5[[#This Row],[יתרת פתיחה]]),IFERROR(-IPMT(שיעור_ריבית2/12,1,הפחתה5[[#This Row],[תשלומים
שנותרו]],M91),0)),0)</f>
        <v>961.63711164446636</v>
      </c>
      <c r="O90" s="13">
        <f>IFERROR(IF(AND(ValuesEntered2,הפחתה5[[#This Row],[תאריך]]&lt;&gt;""),-PPMT(שיעור_ריבית2/12,1,תקופת_ההלוואה2-ROWS($L$4:L90)+1,הפחתה5[[#This Row],[יתרת פתיחה]]),""),0)</f>
        <v>737.21129603412589</v>
      </c>
      <c r="P90" s="13">
        <f>(הפחתה5[[#This Row],[יתרת פתיחה]])*(מדד2/12)</f>
        <v>0</v>
      </c>
      <c r="Q90" s="13">
        <f>IF(הפחתה5[[#This Row],[תאריך]]="",0,הפחתה5[[#This Row],[ריבית]]+הפחתה5[[#This Row],[קרן]]+הפחתה5[[#This Row],[מדד]])</f>
        <v>1698.8484076785921</v>
      </c>
      <c r="R90" s="13">
        <f>IF(הפחתה5[[#This Row],[תאריך]]="",0,הפחתה5[[#This Row],[יתרת פתיחה]]-הפחתה5[[#This Row],[קרן]]+הפחתה5[[#This Row],[מדד]])</f>
        <v>245524.36893050207</v>
      </c>
      <c r="S90" s="11">
        <f>IF(הפחתה5[[#This Row],[יתרת
סגירה]]&gt;0,LastRow2-ROW(),0)</f>
        <v>213</v>
      </c>
      <c r="T90" s="11">
        <f>ROWS($T$4:T90)</f>
        <v>87</v>
      </c>
      <c r="U90" s="12">
        <f ca="1">IF(ValuesEntered3,IF(הפחתה7[[#This Row],[מס'']]&lt;=תקופת_ההלוואה3,IF(ROW()-ROW(הפחתה7[[#Headers],[תאריך]])=1,LoanStart3,IF(AA89&gt;0,EDATE(U89,1),"")),""),"")</f>
        <v>48238</v>
      </c>
      <c r="V90" s="13">
        <f ca="1">IF(ROW()-ROW(הפחתה7[[#Headers],[יתרת פתיחה]])=1,סכום_הלוואה3,IF(הפחתה7[[#This Row],[תאריך]]="",0,INDEX(הפחתה7[], ROW()-4,8)))</f>
        <v>88821.353335110893</v>
      </c>
      <c r="W90" s="13">
        <f ca="1">IF(ValuesEntered3,IF(ROW()-ROW(הפחתה7[[#Headers],[ריבית]])=1,-IPMT(שיעור_ריבית3/12,1,תקופת_ההלוואה3-ROWS($C$4:U90)+1,הפחתה7[[#This Row],[יתרת פתיחה]]),IFERROR(-IPMT(שיעור_ריבית3/12,1,הפחתה7[[#This Row],[תשלומים
שנותרו]],V91),0)),0)</f>
        <v>169.88041796447479</v>
      </c>
      <c r="X90" s="13">
        <f ca="1">IFERROR(IF(AND(ValuesEntered3,הפחתה7[[#This Row],[תאריך]]&lt;&gt;""),-PPMT(שיעור_ריבית3/12,1,תקופת_ההלוואה3-ROWS($C$4:U90)+1,הפחתה7[[#This Row],[יתרת פתיחה]]),""),0)</f>
        <v>336.12737732023919</v>
      </c>
      <c r="Y90" s="13">
        <f ca="1">(הפחתה7[[#This Row],[יתרת פתיחה]])*(מדד3/12)</f>
        <v>148.03558889185149</v>
      </c>
      <c r="Z90" s="13">
        <f ca="1">IF(הפחתה7[[#This Row],[תאריך]]="",0,הפחתה7[[#This Row],[ריבית]]+הפחתה7[[#This Row],[קרן]]+הפחתה7[[#This Row],[מדד]])</f>
        <v>654.0433841765655</v>
      </c>
      <c r="AA90" s="13">
        <f ca="1">IF(הפחתה7[[#This Row],[תאריך]]="",0,הפחתה7[[#This Row],[יתרת פתיחה]]-הפחתה7[[#This Row],[קרן]]+הפחתה7[[#This Row],[מדד]])</f>
        <v>88633.261546682508</v>
      </c>
      <c r="AB90" s="11">
        <f ca="1">IF(הפחתה7[[#This Row],[יתרת
סגירה]]&gt;0,LastRow3-ROW(),0)</f>
        <v>213</v>
      </c>
      <c r="AC90" s="17">
        <f>ROWS($AC$4:AC90)</f>
        <v>87</v>
      </c>
      <c r="AD90" s="18" t="str">
        <f ca="1">IF(ValuesEntered4,IF(הפחתה8[[#This Row],[מס'']]&lt;=תקופת_ההלוואה4,IF(ROW()-ROW(הפחתה8[[#Headers],[תאריך]])=1,LoanStart4,IF(AJ89&gt;0,EDATE(AD89,1),"")),""),"")</f>
        <v/>
      </c>
      <c r="AE90" s="19">
        <f ca="1">IF(ROW()-ROW(הפחתה8[[#Headers],[יתרת פתיחה]])=1,סכום_הלוואה4,IF(הפחתה8[[#This Row],[תאריך]]="",0,INDEX(הפחתה8[], ROW()-4,8)))</f>
        <v>0</v>
      </c>
      <c r="AF90" s="19">
        <f ca="1">IF(ValuesEntered4,IF(ROW()-ROW(הפחתה8[[#Headers],[ריבית]])=1,-IPMT(שיעור_ריבית4/12,1,תקופת_ההלוואה4-ROWS($C$4:AD90)+1,הפחתה8[[#This Row],[יתרת פתיחה]]),IFERROR(-IPMT(שיעור_ריבית4/12,1,הפחתה8[[#This Row],[תשלומים
שנותרו]],AE91),0)),0)</f>
        <v>0</v>
      </c>
      <c r="AG90" s="19" t="str">
        <f ca="1">IFERROR(IF(AND(ValuesEntered4,הפחתה8[[#This Row],[תאריך]]&lt;&gt;""),-PPMT(שיעור_ריבית4/12,1,תקופת_ההלוואה4-ROWS($C$4:AD90)+1,הפחתה8[[#This Row],[יתרת פתיחה]]),""),0)</f>
        <v/>
      </c>
      <c r="AH90" s="19">
        <f ca="1">(הפחתה8[[#This Row],[יתרת פתיחה]])*(מדד4/12)</f>
        <v>0</v>
      </c>
      <c r="AI90" s="19">
        <f ca="1">IF(הפחתה8[[#This Row],[תאריך]]="",0,הפחתה8[[#This Row],[ריבית]]+הפחתה8[[#This Row],[קרן]]+הפחתה8[[#This Row],[מדד]])</f>
        <v>0</v>
      </c>
      <c r="AJ90" s="19">
        <f ca="1">IF(הפחתה8[[#This Row],[תאריך]]="",0,הפחתה8[[#This Row],[יתרת פתיחה]]-הפחתה8[[#This Row],[קרן]])</f>
        <v>0</v>
      </c>
      <c r="AK90" s="20">
        <f ca="1">IF(הפחתה8[[#This Row],[יתרת
סגירה]]&gt;0,LastRow4-ROW(),0)</f>
        <v>0</v>
      </c>
    </row>
    <row r="91" spans="1:37" ht="15" customHeight="1" x14ac:dyDescent="0.25">
      <c r="A91" s="8"/>
      <c r="B91" s="11">
        <f>ROWS($B$4:B91)</f>
        <v>88</v>
      </c>
      <c r="C91" s="12">
        <f>IF(ValuesEntered,IF(הפחתה[[#This Row],[מס'']]&lt;=תקופת_ההלוואה,IF(ROW()-ROW(הפחתה[[#Headers],[תאריך]])=1,LoanStart,IF(I90&gt;0,EDATE(C90,1),"")),""),"")</f>
        <v>48030</v>
      </c>
      <c r="D91" s="13">
        <f>IF(ROW()-ROW(הפחתה[[#Headers],[יתרת פתיחה]])=1,סכום_הלוואה,IF(הפחתה[[#This Row],[תאריך]]="",0,INDEX(הפחתה[], ROW()-4,8)))</f>
        <v>527864.57284384663</v>
      </c>
      <c r="E91" s="13">
        <f>IF(ValuesEntered,IF(ROW()-ROW(הפחתה[[#Headers],[ריבית]])=1,-IPMT(שיעור_ריבית/12,1,תקופת_ההלוואה-ROWS($C$4:C91)+1,הפחתה[[#This Row],[יתרת פתיחה]]),IFERROR(-IPMT(שיעור_ריבית/12,1,הפחתה[[#This Row],[תשלומים
שנותרו]],D92),0)),0)</f>
        <v>2326.9833150017766</v>
      </c>
      <c r="F91" s="13">
        <f>IFERROR(IF(AND(ValuesEntered,הפחתה[[#This Row],[תאריך]]&lt;&gt;""),-PPMT(שיעור_ריבית/12,1,תקופת_ההלוואה-ROWS($C$4:C91)+1,הפחתה[[#This Row],[יתרת פתיחה]]),""),0)</f>
        <v>1000.4260509915619</v>
      </c>
      <c r="G91" s="13">
        <f>(הפחתה[[#This Row],[יתרת פתיחה]])*(מדד/12)</f>
        <v>0</v>
      </c>
      <c r="H91" s="13">
        <f>IF(הפחתה[[#This Row],[תאריך]]="",0,הפחתה[[#This Row],[ריבית]]+הפחתה[[#This Row],[קרן]]+הפחתה[[#This Row],[מדד]])</f>
        <v>3327.4093659933387</v>
      </c>
      <c r="I91" s="13">
        <f>IF(הפחתה[[#This Row],[תאריך]]="",0,הפחתה[[#This Row],[יתרת פתיחה]]-הפחתה[[#This Row],[קרן]]+הפחתה[[#This Row],[מדד]])</f>
        <v>526864.14679285511</v>
      </c>
      <c r="J91" s="11">
        <f>IF(הפחתה[[#This Row],[יתרת
סגירה]]&gt;0,LastRow-ROW(),0)</f>
        <v>272</v>
      </c>
      <c r="K91" s="11">
        <f>ROWS($K$4:K91)</f>
        <v>88</v>
      </c>
      <c r="L91" s="12">
        <f>IF(ValuesEntered2,IF(הפחתה5[[#This Row],[מס'']]&lt;=תקופת_ההלוואה2,IF(ROW()-ROW(הפחתה5[[#Headers],[תאריך]])=1,LoanStart2,IF(R90&gt;0,EDATE(L90,1),"")),""),"")</f>
        <v>48030</v>
      </c>
      <c r="M91" s="13">
        <f>IF(ROW()-ROW(הפחתה5[[#Headers],[יתרת פתיחה]])=1,סכום_הלוואה2,IF(הפחתה5[[#This Row],[תאריך]]="",0,INDEX(הפחתה5[], ROW()-4,8)))</f>
        <v>245524.36893050207</v>
      </c>
      <c r="N91" s="13">
        <f>IF(ValuesEntered2,IF(ROW()-ROW(הפחתה5[[#Headers],[ריבית]])=1,-IPMT(שיעור_ריבית2/12,1,תקופת_ההלוואה2-ROWS($L$4:L91)+1,הפחתה5[[#This Row],[יתרת פתיחה]]),IFERROR(-IPMT(שיעור_ריבית2/12,1,הפחתה5[[#This Row],[תשלומים
שנותרו]],M92),0)),0)</f>
        <v>958.73839170893712</v>
      </c>
      <c r="O91" s="13">
        <f>IFERROR(IF(AND(ValuesEntered2,הפחתה5[[#This Row],[תאריך]]&lt;&gt;""),-PPMT(שיעור_ריבית2/12,1,תקופת_ההלוואה2-ROWS($L$4:L91)+1,הפחתה5[[#This Row],[יתרת פתיחה]]),""),0)</f>
        <v>740.09870694359267</v>
      </c>
      <c r="P91" s="13">
        <f>(הפחתה5[[#This Row],[יתרת פתיחה]])*(מדד2/12)</f>
        <v>0</v>
      </c>
      <c r="Q91" s="13">
        <f>IF(הפחתה5[[#This Row],[תאריך]]="",0,הפחתה5[[#This Row],[ריבית]]+הפחתה5[[#This Row],[קרן]]+הפחתה5[[#This Row],[מדד]])</f>
        <v>1698.8370986525297</v>
      </c>
      <c r="R91" s="13">
        <f>IF(הפחתה5[[#This Row],[תאריך]]="",0,הפחתה5[[#This Row],[יתרת פתיחה]]-הפחתה5[[#This Row],[קרן]]+הפחתה5[[#This Row],[מדד]])</f>
        <v>244784.27022355847</v>
      </c>
      <c r="S91" s="11">
        <f>IF(הפחתה5[[#This Row],[יתרת
סגירה]]&gt;0,LastRow2-ROW(),0)</f>
        <v>212</v>
      </c>
      <c r="T91" s="11">
        <f>ROWS($T$4:T91)</f>
        <v>88</v>
      </c>
      <c r="U91" s="12">
        <f ca="1">IF(ValuesEntered3,IF(הפחתה7[[#This Row],[מס'']]&lt;=תקופת_ההלוואה3,IF(ROW()-ROW(הפחתה7[[#Headers],[תאריך]])=1,LoanStart3,IF(AA90&gt;0,EDATE(U90,1),"")),""),"")</f>
        <v>48269</v>
      </c>
      <c r="V91" s="13">
        <f ca="1">IF(ROW()-ROW(הפחתה7[[#Headers],[יתרת פתיחה]])=1,סכום_הלוואה3,IF(הפחתה7[[#This Row],[תאריך]]="",0,INDEX(הפחתה7[], ROW()-4,8)))</f>
        <v>88633.261546682508</v>
      </c>
      <c r="W91" s="13">
        <f ca="1">IF(ValuesEntered3,IF(ROW()-ROW(הפחתה7[[#Headers],[ריבית]])=1,-IPMT(שיעור_ריבית3/12,1,תקופת_ההלוואה3-ROWS($C$4:U91)+1,הפחתה7[[#This Row],[יתרת פתיחה]]),IFERROR(-IPMT(שיעור_ריבית3/12,1,הפחתה7[[#This Row],[תשלומים
שנותרו]],V92),0)),0)</f>
        <v>169.51699316843138</v>
      </c>
      <c r="X91" s="13">
        <f ca="1">IFERROR(IF(AND(ValuesEntered3,הפחתה7[[#This Row],[תאריך]]&lt;&gt;""),-PPMT(שיעור_ריבית3/12,1,תקופת_ההלוואה3-ROWS($C$4:U91)+1,הפחתה7[[#This Row],[יתרת פתיחה]]),""),0)</f>
        <v>337.33503964393293</v>
      </c>
      <c r="Y91" s="13">
        <f ca="1">(הפחתה7[[#This Row],[יתרת פתיחה]])*(מדד3/12)</f>
        <v>147.72210257780418</v>
      </c>
      <c r="Z91" s="13">
        <f ca="1">IF(הפחתה7[[#This Row],[תאריך]]="",0,הפחתה7[[#This Row],[ריבית]]+הפחתה7[[#This Row],[קרן]]+הפחתה7[[#This Row],[מדד]])</f>
        <v>654.57413539016852</v>
      </c>
      <c r="AA91" s="13">
        <f ca="1">IF(הפחתה7[[#This Row],[תאריך]]="",0,הפחתה7[[#This Row],[יתרת פתיחה]]-הפחתה7[[#This Row],[קרן]]+הפחתה7[[#This Row],[מדד]])</f>
        <v>88443.648609616372</v>
      </c>
      <c r="AB91" s="11">
        <f ca="1">IF(הפחתה7[[#This Row],[יתרת
סגירה]]&gt;0,LastRow3-ROW(),0)</f>
        <v>212</v>
      </c>
      <c r="AC91" s="17">
        <f>ROWS($AC$4:AC91)</f>
        <v>88</v>
      </c>
      <c r="AD91" s="18" t="str">
        <f ca="1">IF(ValuesEntered4,IF(הפחתה8[[#This Row],[מס'']]&lt;=תקופת_ההלוואה4,IF(ROW()-ROW(הפחתה8[[#Headers],[תאריך]])=1,LoanStart4,IF(AJ90&gt;0,EDATE(AD90,1),"")),""),"")</f>
        <v/>
      </c>
      <c r="AE91" s="19">
        <f ca="1">IF(ROW()-ROW(הפחתה8[[#Headers],[יתרת פתיחה]])=1,סכום_הלוואה4,IF(הפחתה8[[#This Row],[תאריך]]="",0,INDEX(הפחתה8[], ROW()-4,8)))</f>
        <v>0</v>
      </c>
      <c r="AF91" s="19">
        <f ca="1">IF(ValuesEntered4,IF(ROW()-ROW(הפחתה8[[#Headers],[ריבית]])=1,-IPMT(שיעור_ריבית4/12,1,תקופת_ההלוואה4-ROWS($C$4:AD91)+1,הפחתה8[[#This Row],[יתרת פתיחה]]),IFERROR(-IPMT(שיעור_ריבית4/12,1,הפחתה8[[#This Row],[תשלומים
שנותרו]],AE92),0)),0)</f>
        <v>0</v>
      </c>
      <c r="AG91" s="19" t="str">
        <f ca="1">IFERROR(IF(AND(ValuesEntered4,הפחתה8[[#This Row],[תאריך]]&lt;&gt;""),-PPMT(שיעור_ריבית4/12,1,תקופת_ההלוואה4-ROWS($C$4:AD91)+1,הפחתה8[[#This Row],[יתרת פתיחה]]),""),0)</f>
        <v/>
      </c>
      <c r="AH91" s="19">
        <f ca="1">(הפחתה8[[#This Row],[יתרת פתיחה]])*(מדד4/12)</f>
        <v>0</v>
      </c>
      <c r="AI91" s="19">
        <f ca="1">IF(הפחתה8[[#This Row],[תאריך]]="",0,הפחתה8[[#This Row],[ריבית]]+הפחתה8[[#This Row],[קרן]]+הפחתה8[[#This Row],[מדד]])</f>
        <v>0</v>
      </c>
      <c r="AJ91" s="19">
        <f ca="1">IF(הפחתה8[[#This Row],[תאריך]]="",0,הפחתה8[[#This Row],[יתרת פתיחה]]-הפחתה8[[#This Row],[קרן]])</f>
        <v>0</v>
      </c>
      <c r="AK91" s="20">
        <f ca="1">IF(הפחתה8[[#This Row],[יתרת
סגירה]]&gt;0,LastRow4-ROW(),0)</f>
        <v>0</v>
      </c>
    </row>
    <row r="92" spans="1:37" ht="15" customHeight="1" x14ac:dyDescent="0.25">
      <c r="A92" s="8"/>
      <c r="B92" s="11">
        <f>ROWS($B$4:B92)</f>
        <v>89</v>
      </c>
      <c r="C92" s="12">
        <f>IF(ValuesEntered,IF(הפחתה[[#This Row],[מס'']]&lt;=תקופת_ההלוואה,IF(ROW()-ROW(הפחתה[[#Headers],[תאריך]])=1,LoanStart,IF(I91&gt;0,EDATE(C91,1),"")),""),"")</f>
        <v>48061</v>
      </c>
      <c r="D92" s="13">
        <f>IF(ROW()-ROW(הפחתה[[#Headers],[יתרת פתיחה]])=1,סכום_הלוואה,IF(הפחתה[[#This Row],[תאריך]]="",0,INDEX(הפחתה[], ROW()-4,8)))</f>
        <v>526864.14679285511</v>
      </c>
      <c r="E92" s="13">
        <f>IF(ValuesEntered,IF(ROW()-ROW(הפחתה[[#Headers],[ריבית]])=1,-IPMT(שיעור_ריבית/12,1,תקופת_ההלוואה-ROWS($C$4:C92)+1,הפחתה[[#This Row],[יתרת פתיחה]]),IFERROR(-IPMT(שיעור_ריבית/12,1,הפחתה[[#This Row],[תשלומים
שנותרו]],D93),0)),0)</f>
        <v>2322.5452513545001</v>
      </c>
      <c r="F92" s="13">
        <f>IFERROR(IF(AND(ValuesEntered,הפחתה[[#This Row],[תאריך]]&lt;&gt;""),-PPMT(שיעור_ריבית/12,1,תקופת_ההלוואה-ROWS($C$4:C92)+1,הפחתה[[#This Row],[יתרת פתיחה]]),""),0)</f>
        <v>1004.8445993834412</v>
      </c>
      <c r="G92" s="13">
        <f>(הפחתה[[#This Row],[יתרת פתיחה]])*(מדד/12)</f>
        <v>0</v>
      </c>
      <c r="H92" s="13">
        <f>IF(הפחתה[[#This Row],[תאריך]]="",0,הפחתה[[#This Row],[ריבית]]+הפחתה[[#This Row],[קרן]]+הפחתה[[#This Row],[מדד]])</f>
        <v>3327.3898507379413</v>
      </c>
      <c r="I92" s="13">
        <f>IF(הפחתה[[#This Row],[תאריך]]="",0,הפחתה[[#This Row],[יתרת פתיחה]]-הפחתה[[#This Row],[קרן]]+הפחתה[[#This Row],[מדד]])</f>
        <v>525859.3021934717</v>
      </c>
      <c r="J92" s="11">
        <f>IF(הפחתה[[#This Row],[יתרת
סגירה]]&gt;0,LastRow-ROW(),0)</f>
        <v>271</v>
      </c>
      <c r="K92" s="11">
        <f>ROWS($K$4:K92)</f>
        <v>89</v>
      </c>
      <c r="L92" s="12">
        <f>IF(ValuesEntered2,IF(הפחתה5[[#This Row],[מס'']]&lt;=תקופת_ההלוואה2,IF(ROW()-ROW(הפחתה5[[#Headers],[תאריך]])=1,LoanStart2,IF(R91&gt;0,EDATE(L91,1),"")),""),"")</f>
        <v>48061</v>
      </c>
      <c r="M92" s="13">
        <f>IF(ROW()-ROW(הפחתה5[[#Headers],[יתרת פתיחה]])=1,סכום_הלוואה2,IF(הפחתה5[[#This Row],[תאריך]]="",0,INDEX(הפחתה5[], ROW()-4,8)))</f>
        <v>244784.27022355847</v>
      </c>
      <c r="N92" s="13">
        <f>IF(ValuesEntered2,IF(ROW()-ROW(הפחתה5[[#Headers],[ריבית]])=1,-IPMT(שיעור_ריבית2/12,1,תקופת_ההלוואה2-ROWS($L$4:L92)+1,הפחתה5[[#This Row],[יתרת פתיחה]]),IFERROR(-IPMT(שיעור_ריבית2/12,1,הפחתה5[[#This Row],[תשלומים
שנותרו]],M93),0)),0)</f>
        <v>955.8283184536607</v>
      </c>
      <c r="O92" s="13">
        <f>IFERROR(IF(AND(ValuesEntered2,הפחתה5[[#This Row],[תאריך]]&lt;&gt;""),-PPMT(שיעור_ריבית2/12,1,תקופת_ההלוואה2-ROWS($L$4:L92)+1,הפחתה5[[#This Row],[יתרת פתיחה]]),""),0)</f>
        <v>742.99742687912169</v>
      </c>
      <c r="P92" s="13">
        <f>(הפחתה5[[#This Row],[יתרת פתיחה]])*(מדד2/12)</f>
        <v>0</v>
      </c>
      <c r="Q92" s="13">
        <f>IF(הפחתה5[[#This Row],[תאריך]]="",0,הפחתה5[[#This Row],[ריבית]]+הפחתה5[[#This Row],[קרן]]+הפחתה5[[#This Row],[מדד]])</f>
        <v>1698.8257453327824</v>
      </c>
      <c r="R92" s="13">
        <f>IF(הפחתה5[[#This Row],[תאריך]]="",0,הפחתה5[[#This Row],[יתרת פתיחה]]-הפחתה5[[#This Row],[קרן]]+הפחתה5[[#This Row],[מדד]])</f>
        <v>244041.27279667935</v>
      </c>
      <c r="S92" s="11">
        <f>IF(הפחתה5[[#This Row],[יתרת
סגירה]]&gt;0,LastRow2-ROW(),0)</f>
        <v>211</v>
      </c>
      <c r="T92" s="11">
        <f>ROWS($T$4:T92)</f>
        <v>89</v>
      </c>
      <c r="U92" s="12">
        <f ca="1">IF(ValuesEntered3,IF(הפחתה7[[#This Row],[מס'']]&lt;=תקופת_ההלוואה3,IF(ROW()-ROW(הפחתה7[[#Headers],[תאריך]])=1,LoanStart3,IF(AA91&gt;0,EDATE(U91,1),"")),""),"")</f>
        <v>48298</v>
      </c>
      <c r="V92" s="13">
        <f ca="1">IF(ROW()-ROW(הפחתה7[[#Headers],[יתרת פתיחה]])=1,סכום_הלוואה3,IF(הפחתה7[[#This Row],[תאריך]]="",0,INDEX(הפחתה7[], ROW()-4,8)))</f>
        <v>88443.648609616372</v>
      </c>
      <c r="W92" s="13">
        <f ca="1">IF(ValuesEntered3,IF(ROW()-ROW(הפחתה7[[#Headers],[ריבית]])=1,-IPMT(שיעור_ריבית3/12,1,תקופת_ההלוואה3-ROWS($C$4:U92)+1,הפחתה7[[#This Row],[יתרת פתיחה]]),IFERROR(-IPMT(שיעור_ריבית3/12,1,הפחתה7[[#This Row],[תשלומים
שנותרו]],V93),0)),0)</f>
        <v>169.1506396383455</v>
      </c>
      <c r="X92" s="13">
        <f ca="1">IFERROR(IF(AND(ValuesEntered3,הפחתה7[[#This Row],[תאריך]]&lt;&gt;""),-PPMT(שיעור_ריבית3/12,1,תקופת_ההלוואה3-ROWS($C$4:U92)+1,הפחתה7[[#This Row],[יתרת פתיחה]]),""),0)</f>
        <v>338.54705323474815</v>
      </c>
      <c r="Y92" s="13">
        <f ca="1">(הפחתה7[[#This Row],[יתרת פתיחה]])*(מדד3/12)</f>
        <v>147.40608101602729</v>
      </c>
      <c r="Z92" s="13">
        <f ca="1">IF(הפחתה7[[#This Row],[תאריך]]="",0,הפחתה7[[#This Row],[ריבית]]+הפחתה7[[#This Row],[קרן]]+הפחתה7[[#This Row],[מדד]])</f>
        <v>655.10377388912093</v>
      </c>
      <c r="AA92" s="13">
        <f ca="1">IF(הפחתה7[[#This Row],[תאריך]]="",0,הפחתה7[[#This Row],[יתרת פתיחה]]-הפחתה7[[#This Row],[קרן]]+הפחתה7[[#This Row],[מדד]])</f>
        <v>88252.507637397648</v>
      </c>
      <c r="AB92" s="11">
        <f ca="1">IF(הפחתה7[[#This Row],[יתרת
סגירה]]&gt;0,LastRow3-ROW(),0)</f>
        <v>211</v>
      </c>
      <c r="AC92" s="17">
        <f>ROWS($AC$4:AC92)</f>
        <v>89</v>
      </c>
      <c r="AD92" s="18" t="str">
        <f ca="1">IF(ValuesEntered4,IF(הפחתה8[[#This Row],[מס'']]&lt;=תקופת_ההלוואה4,IF(ROW()-ROW(הפחתה8[[#Headers],[תאריך]])=1,LoanStart4,IF(AJ91&gt;0,EDATE(AD91,1),"")),""),"")</f>
        <v/>
      </c>
      <c r="AE92" s="19">
        <f ca="1">IF(ROW()-ROW(הפחתה8[[#Headers],[יתרת פתיחה]])=1,סכום_הלוואה4,IF(הפחתה8[[#This Row],[תאריך]]="",0,INDEX(הפחתה8[], ROW()-4,8)))</f>
        <v>0</v>
      </c>
      <c r="AF92" s="19">
        <f ca="1">IF(ValuesEntered4,IF(ROW()-ROW(הפחתה8[[#Headers],[ריבית]])=1,-IPMT(שיעור_ריבית4/12,1,תקופת_ההלוואה4-ROWS($C$4:AD92)+1,הפחתה8[[#This Row],[יתרת פתיחה]]),IFERROR(-IPMT(שיעור_ריבית4/12,1,הפחתה8[[#This Row],[תשלומים
שנותרו]],AE93),0)),0)</f>
        <v>0</v>
      </c>
      <c r="AG92" s="19" t="str">
        <f ca="1">IFERROR(IF(AND(ValuesEntered4,הפחתה8[[#This Row],[תאריך]]&lt;&gt;""),-PPMT(שיעור_ריבית4/12,1,תקופת_ההלוואה4-ROWS($C$4:AD92)+1,הפחתה8[[#This Row],[יתרת פתיחה]]),""),0)</f>
        <v/>
      </c>
      <c r="AH92" s="19">
        <f ca="1">(הפחתה8[[#This Row],[יתרת פתיחה]])*(מדד4/12)</f>
        <v>0</v>
      </c>
      <c r="AI92" s="19">
        <f ca="1">IF(הפחתה8[[#This Row],[תאריך]]="",0,הפחתה8[[#This Row],[ריבית]]+הפחתה8[[#This Row],[קרן]]+הפחתה8[[#This Row],[מדד]])</f>
        <v>0</v>
      </c>
      <c r="AJ92" s="19">
        <f ca="1">IF(הפחתה8[[#This Row],[תאריך]]="",0,הפחתה8[[#This Row],[יתרת פתיחה]]-הפחתה8[[#This Row],[קרן]])</f>
        <v>0</v>
      </c>
      <c r="AK92" s="20">
        <f ca="1">IF(הפחתה8[[#This Row],[יתרת
סגירה]]&gt;0,LastRow4-ROW(),0)</f>
        <v>0</v>
      </c>
    </row>
    <row r="93" spans="1:37" ht="15" customHeight="1" x14ac:dyDescent="0.25">
      <c r="A93" s="8"/>
      <c r="B93" s="11">
        <f>ROWS($B$4:B93)</f>
        <v>90</v>
      </c>
      <c r="C93" s="12">
        <f>IF(ValuesEntered,IF(הפחתה[[#This Row],[מס'']]&lt;=תקופת_ההלוואה,IF(ROW()-ROW(הפחתה[[#Headers],[תאריך]])=1,LoanStart,IF(I92&gt;0,EDATE(C92,1),"")),""),"")</f>
        <v>48092</v>
      </c>
      <c r="D93" s="13">
        <f>IF(ROW()-ROW(הפחתה[[#Headers],[יתרת פתיחה]])=1,סכום_הלוואה,IF(הפחתה[[#This Row],[תאריך]]="",0,INDEX(הפחתה[], ROW()-4,8)))</f>
        <v>525859.3021934717</v>
      </c>
      <c r="E93" s="13">
        <f>IF(ValuesEntered,IF(ROW()-ROW(הפחתה[[#Headers],[ריבית]])=1,-IPMT(שיעור_ריבית/12,1,תקופת_ההלוואה-ROWS($C$4:C93)+1,הפחתה[[#This Row],[יתרת פתיחה]]),IFERROR(-IPMT(שיעור_ריבית/12,1,הפחתה[[#This Row],[תשלומים
שנותרו]],D94),0)),0)</f>
        <v>2318.087586259448</v>
      </c>
      <c r="F93" s="13">
        <f>IFERROR(IF(AND(ValuesEntered,הפחתה[[#This Row],[תאריך]]&lt;&gt;""),-PPMT(שיעור_ריבית/12,1,תקופת_ההלוואה-ROWS($C$4:C93)+1,הפחתה[[#This Row],[יתרת פתיחה]]),""),0)</f>
        <v>1009.2826630307183</v>
      </c>
      <c r="G93" s="13">
        <f>(הפחתה[[#This Row],[יתרת פתיחה]])*(מדד/12)</f>
        <v>0</v>
      </c>
      <c r="H93" s="13">
        <f>IF(הפחתה[[#This Row],[תאריך]]="",0,הפחתה[[#This Row],[ריבית]]+הפחתה[[#This Row],[קרן]]+הפחתה[[#This Row],[מדד]])</f>
        <v>3327.3702492901662</v>
      </c>
      <c r="I93" s="13">
        <f>IF(הפחתה[[#This Row],[תאריך]]="",0,הפחתה[[#This Row],[יתרת פתיחה]]-הפחתה[[#This Row],[קרן]]+הפחתה[[#This Row],[מדד]])</f>
        <v>524850.01953044103</v>
      </c>
      <c r="J93" s="11">
        <f>IF(הפחתה[[#This Row],[יתרת
סגירה]]&gt;0,LastRow-ROW(),0)</f>
        <v>270</v>
      </c>
      <c r="K93" s="11">
        <f>ROWS($K$4:K93)</f>
        <v>90</v>
      </c>
      <c r="L93" s="12">
        <f>IF(ValuesEntered2,IF(הפחתה5[[#This Row],[מס'']]&lt;=תקופת_ההלוואה2,IF(ROW()-ROW(הפחתה5[[#Headers],[תאריך]])=1,LoanStart2,IF(R92&gt;0,EDATE(L92,1),"")),""),"")</f>
        <v>48092</v>
      </c>
      <c r="M93" s="13">
        <f>IF(ROW()-ROW(הפחתה5[[#Headers],[יתרת פתיחה]])=1,סכום_הלוואה2,IF(הפחתה5[[#This Row],[תאריך]]="",0,INDEX(הפחתה5[], ROW()-4,8)))</f>
        <v>244041.27279667935</v>
      </c>
      <c r="N93" s="13">
        <f>IF(ValuesEntered2,IF(ROW()-ROW(הפחתה5[[#Headers],[ריבית]])=1,-IPMT(שיעור_ריבית2/12,1,תקופת_ההלוואה2-ROWS($L$4:L93)+1,הפחתה5[[#This Row],[יתרת פתיחה]]),IFERROR(-IPMT(שיעור_ריבית2/12,1,הפחתה5[[#This Row],[תשלומים
שנותרו]],M94),0)),0)</f>
        <v>952.90684741146765</v>
      </c>
      <c r="O93" s="13">
        <f>IFERROR(IF(AND(ValuesEntered2,הפחתה5[[#This Row],[תאריך]]&lt;&gt;""),-PPMT(שיעור_ריבית2/12,1,תקופת_ההלוואה2-ROWS($L$4:L93)+1,הפחתה5[[#This Row],[יתרת פתיחה]]),""),0)</f>
        <v>745.90750013439845</v>
      </c>
      <c r="P93" s="13">
        <f>(הפחתה5[[#This Row],[יתרת פתיחה]])*(מדד2/12)</f>
        <v>0</v>
      </c>
      <c r="Q93" s="13">
        <f>IF(הפחתה5[[#This Row],[תאריך]]="",0,הפחתה5[[#This Row],[ריבית]]+הפחתה5[[#This Row],[קרן]]+הפחתה5[[#This Row],[מדד]])</f>
        <v>1698.814347545866</v>
      </c>
      <c r="R93" s="13">
        <f>IF(הפחתה5[[#This Row],[תאריך]]="",0,הפחתה5[[#This Row],[יתרת פתיחה]]-הפחתה5[[#This Row],[קרן]]+הפחתה5[[#This Row],[מדד]])</f>
        <v>243295.36529654494</v>
      </c>
      <c r="S93" s="11">
        <f>IF(הפחתה5[[#This Row],[יתרת
סגירה]]&gt;0,LastRow2-ROW(),0)</f>
        <v>210</v>
      </c>
      <c r="T93" s="11">
        <f>ROWS($T$4:T93)</f>
        <v>90</v>
      </c>
      <c r="U93" s="12">
        <f ca="1">IF(ValuesEntered3,IF(הפחתה7[[#This Row],[מס'']]&lt;=תקופת_ההלוואה3,IF(ROW()-ROW(הפחתה7[[#Headers],[תאריך]])=1,LoanStart3,IF(AA92&gt;0,EDATE(U92,1),"")),""),"")</f>
        <v>48329</v>
      </c>
      <c r="V93" s="13">
        <f ca="1">IF(ROW()-ROW(הפחתה7[[#Headers],[יתרת פתיחה]])=1,סכום_הלוואה3,IF(הפחתה7[[#This Row],[תאריך]]="",0,INDEX(הפחתה7[], ROW()-4,8)))</f>
        <v>88252.507637397648</v>
      </c>
      <c r="W93" s="13">
        <f ca="1">IF(ValuesEntered3,IF(ROW()-ROW(הפחתה7[[#Headers],[ריבית]])=1,-IPMT(שיעור_ריבית3/12,1,תקופת_ההלוואה3-ROWS($C$4:U93)+1,הפחתה7[[#This Row],[יתרת פתיחה]]),IFERROR(-IPMT(שיעור_ריבית3/12,1,הפחתה7[[#This Row],[תשלומים
שנותרו]],V94),0)),0)</f>
        <v>168.78134412270427</v>
      </c>
      <c r="X93" s="13">
        <f ca="1">IFERROR(IF(AND(ValuesEntered3,הפחתה7[[#This Row],[תאריך]]&lt;&gt;""),-PPMT(שיעור_ריבית3/12,1,תקופת_ההלוואה3-ROWS($C$4:U93)+1,הפחתה7[[#This Row],[יתרת פתיחה]]),""),0)</f>
        <v>339.76343393309639</v>
      </c>
      <c r="Y93" s="13">
        <f ca="1">(הפחתה7[[#This Row],[יתרת פתיחה]])*(מדד3/12)</f>
        <v>147.0875127289961</v>
      </c>
      <c r="Z93" s="13">
        <f ca="1">IF(הפחתה7[[#This Row],[תאריך]]="",0,הפחתה7[[#This Row],[ריבית]]+הפחתה7[[#This Row],[קרן]]+הפחתה7[[#This Row],[מדד]])</f>
        <v>655.63229078479674</v>
      </c>
      <c r="AA93" s="13">
        <f ca="1">IF(הפחתה7[[#This Row],[תאריך]]="",0,הפחתה7[[#This Row],[יתרת פתיחה]]-הפחתה7[[#This Row],[קרן]]+הפחתה7[[#This Row],[מדד]])</f>
        <v>88059.831716193541</v>
      </c>
      <c r="AB93" s="11">
        <f ca="1">IF(הפחתה7[[#This Row],[יתרת
סגירה]]&gt;0,LastRow3-ROW(),0)</f>
        <v>210</v>
      </c>
      <c r="AC93" s="17">
        <f>ROWS($AC$4:AC93)</f>
        <v>90</v>
      </c>
      <c r="AD93" s="18" t="str">
        <f ca="1">IF(ValuesEntered4,IF(הפחתה8[[#This Row],[מס'']]&lt;=תקופת_ההלוואה4,IF(ROW()-ROW(הפחתה8[[#Headers],[תאריך]])=1,LoanStart4,IF(AJ92&gt;0,EDATE(AD92,1),"")),""),"")</f>
        <v/>
      </c>
      <c r="AE93" s="19">
        <f ca="1">IF(ROW()-ROW(הפחתה8[[#Headers],[יתרת פתיחה]])=1,סכום_הלוואה4,IF(הפחתה8[[#This Row],[תאריך]]="",0,INDEX(הפחתה8[], ROW()-4,8)))</f>
        <v>0</v>
      </c>
      <c r="AF93" s="19">
        <f ca="1">IF(ValuesEntered4,IF(ROW()-ROW(הפחתה8[[#Headers],[ריבית]])=1,-IPMT(שיעור_ריבית4/12,1,תקופת_ההלוואה4-ROWS($C$4:AD93)+1,הפחתה8[[#This Row],[יתרת פתיחה]]),IFERROR(-IPMT(שיעור_ריבית4/12,1,הפחתה8[[#This Row],[תשלומים
שנותרו]],AE94),0)),0)</f>
        <v>0</v>
      </c>
      <c r="AG93" s="19" t="str">
        <f ca="1">IFERROR(IF(AND(ValuesEntered4,הפחתה8[[#This Row],[תאריך]]&lt;&gt;""),-PPMT(שיעור_ריבית4/12,1,תקופת_ההלוואה4-ROWS($C$4:AD93)+1,הפחתה8[[#This Row],[יתרת פתיחה]]),""),0)</f>
        <v/>
      </c>
      <c r="AH93" s="19">
        <f ca="1">(הפחתה8[[#This Row],[יתרת פתיחה]])*(מדד4/12)</f>
        <v>0</v>
      </c>
      <c r="AI93" s="19">
        <f ca="1">IF(הפחתה8[[#This Row],[תאריך]]="",0,הפחתה8[[#This Row],[ריבית]]+הפחתה8[[#This Row],[קרן]]+הפחתה8[[#This Row],[מדד]])</f>
        <v>0</v>
      </c>
      <c r="AJ93" s="19">
        <f ca="1">IF(הפחתה8[[#This Row],[תאריך]]="",0,הפחתה8[[#This Row],[יתרת פתיחה]]-הפחתה8[[#This Row],[קרן]])</f>
        <v>0</v>
      </c>
      <c r="AK93" s="20">
        <f ca="1">IF(הפחתה8[[#This Row],[יתרת
סגירה]]&gt;0,LastRow4-ROW(),0)</f>
        <v>0</v>
      </c>
    </row>
    <row r="94" spans="1:37" ht="15" customHeight="1" x14ac:dyDescent="0.25">
      <c r="A94" s="8"/>
      <c r="B94" s="11">
        <f>ROWS($B$4:B94)</f>
        <v>91</v>
      </c>
      <c r="C94" s="12">
        <f>IF(ValuesEntered,IF(הפחתה[[#This Row],[מס'']]&lt;=תקופת_ההלוואה,IF(ROW()-ROW(הפחתה[[#Headers],[תאריך]])=1,LoanStart,IF(I93&gt;0,EDATE(C93,1),"")),""),"")</f>
        <v>48122</v>
      </c>
      <c r="D94" s="13">
        <f>IF(ROW()-ROW(הפחתה[[#Headers],[יתרת פתיחה]])=1,סכום_הלוואה,IF(הפחתה[[#This Row],[תאריך]]="",0,INDEX(הפחתה[], ROW()-4,8)))</f>
        <v>524850.01953044103</v>
      </c>
      <c r="E94" s="13">
        <f>IF(ValuesEntered,IF(ROW()-ROW(הפחתה[[#Headers],[ריבית]])=1,-IPMT(שיעור_ריבית/12,1,תקופת_ההלוואה-ROWS($C$4:C94)+1,הפחתה[[#This Row],[יתרת פתיחה]]),IFERROR(-IPMT(שיעור_ריבית/12,1,הפחתה[[#This Row],[תשלומים
שנותרו]],D95),0)),0)</f>
        <v>2313.6102331435591</v>
      </c>
      <c r="F94" s="13">
        <f>IFERROR(IF(AND(ValuesEntered,הפחתה[[#This Row],[תאריך]]&lt;&gt;""),-PPMT(שיעור_ריבית/12,1,תקופת_ההלוואה-ROWS($C$4:C94)+1,הפחתה[[#This Row],[יתרת פתיחה]]),""),0)</f>
        <v>1013.7403281257708</v>
      </c>
      <c r="G94" s="13">
        <f>(הפחתה[[#This Row],[יתרת פתיחה]])*(מדד/12)</f>
        <v>0</v>
      </c>
      <c r="H94" s="13">
        <f>IF(הפחתה[[#This Row],[תאריך]]="",0,הפחתה[[#This Row],[ריבית]]+הפחתה[[#This Row],[קרן]]+הפחתה[[#This Row],[מדד]])</f>
        <v>3327.3505612693298</v>
      </c>
      <c r="I94" s="13">
        <f>IF(הפחתה[[#This Row],[תאריך]]="",0,הפחתה[[#This Row],[יתרת פתיחה]]-הפחתה[[#This Row],[קרן]]+הפחתה[[#This Row],[מדד]])</f>
        <v>523836.27920231526</v>
      </c>
      <c r="J94" s="11">
        <f>IF(הפחתה[[#This Row],[יתרת
סגירה]]&gt;0,LastRow-ROW(),0)</f>
        <v>269</v>
      </c>
      <c r="K94" s="11">
        <f>ROWS($K$4:K94)</f>
        <v>91</v>
      </c>
      <c r="L94" s="12">
        <f>IF(ValuesEntered2,IF(הפחתה5[[#This Row],[מס'']]&lt;=תקופת_ההלוואה2,IF(ROW()-ROW(הפחתה5[[#Headers],[תאריך]])=1,LoanStart2,IF(R93&gt;0,EDATE(L93,1),"")),""),"")</f>
        <v>48122</v>
      </c>
      <c r="M94" s="13">
        <f>IF(ROW()-ROW(הפחתה5[[#Headers],[יתרת פתיחה]])=1,סכום_הלוואה2,IF(הפחתה5[[#This Row],[תאריך]]="",0,INDEX(הפחתה5[], ROW()-4,8)))</f>
        <v>243295.36529654494</v>
      </c>
      <c r="N94" s="13">
        <f>IF(ValuesEntered2,IF(ROW()-ROW(הפחתה5[[#Headers],[ריבית]])=1,-IPMT(שיעור_ריבית2/12,1,תקופת_ההלוואה2-ROWS($L$4:L94)+1,הפחתה5[[#This Row],[יתרת פתיחה]]),IFERROR(-IPMT(שיעור_ריבית2/12,1,הפחתה5[[#This Row],[תשלומים
שנותרו]],M95),0)),0)</f>
        <v>949.97393394102596</v>
      </c>
      <c r="O94" s="13">
        <f>IFERROR(IF(AND(ValuesEntered2,הפחתה5[[#This Row],[תאריך]]&lt;&gt;""),-PPMT(שיעור_ריבית2/12,1,תקופת_ההלוואה2-ROWS($L$4:L94)+1,הפחתה5[[#This Row],[יתרת פתיחה]]),""),0)</f>
        <v>748.82897117659138</v>
      </c>
      <c r="P94" s="13">
        <f>(הפחתה5[[#This Row],[יתרת פתיחה]])*(מדד2/12)</f>
        <v>0</v>
      </c>
      <c r="Q94" s="13">
        <f>IF(הפחתה5[[#This Row],[תאריך]]="",0,הפחתה5[[#This Row],[ריבית]]+הפחתה5[[#This Row],[קרן]]+הפחתה5[[#This Row],[מדד]])</f>
        <v>1698.8029051176172</v>
      </c>
      <c r="R94" s="13">
        <f>IF(הפחתה5[[#This Row],[תאריך]]="",0,הפחתה5[[#This Row],[יתרת פתיחה]]-הפחתה5[[#This Row],[קרן]]+הפחתה5[[#This Row],[מדד]])</f>
        <v>242546.53632536836</v>
      </c>
      <c r="S94" s="11">
        <f>IF(הפחתה5[[#This Row],[יתרת
סגירה]]&gt;0,LastRow2-ROW(),0)</f>
        <v>209</v>
      </c>
      <c r="T94" s="11">
        <f>ROWS($T$4:T94)</f>
        <v>91</v>
      </c>
      <c r="U94" s="12">
        <f ca="1">IF(ValuesEntered3,IF(הפחתה7[[#This Row],[מס'']]&lt;=תקופת_ההלוואה3,IF(ROW()-ROW(הפחתה7[[#Headers],[תאריך]])=1,LoanStart3,IF(AA93&gt;0,EDATE(U93,1),"")),""),"")</f>
        <v>48359</v>
      </c>
      <c r="V94" s="13">
        <f ca="1">IF(ROW()-ROW(הפחתה7[[#Headers],[יתרת פתיחה]])=1,סכום_הלוואה3,IF(הפחתה7[[#This Row],[תאריך]]="",0,INDEX(הפחתה7[], ROW()-4,8)))</f>
        <v>88059.831716193541</v>
      </c>
      <c r="W94" s="13">
        <f ca="1">IF(ValuesEntered3,IF(ROW()-ROW(הפחתה7[[#Headers],[ריבית]])=1,-IPMT(שיעור_ריבית3/12,1,תקופת_ההלוואה3-ROWS($C$4:U94)+1,הפחתה7[[#This Row],[יתרת פתיחה]]),IFERROR(-IPMT(שיעור_ריבית3/12,1,הפחתה7[[#This Row],[תשלומים
שנותרו]],V95),0)),0)</f>
        <v>168.40909331743259</v>
      </c>
      <c r="X94" s="13">
        <f ca="1">IFERROR(IF(AND(ValuesEntered3,הפחתה7[[#This Row],[תאריך]]&lt;&gt;""),-PPMT(שיעור_ריבית3/12,1,תקופת_ההלוואה3-ROWS($C$4:U94)+1,הפחתה7[[#This Row],[יתרת פתיחה]]),""),0)</f>
        <v>340.98419763975619</v>
      </c>
      <c r="Y94" s="13">
        <f ca="1">(הפחתה7[[#This Row],[יתרת פתיחה]])*(מדד3/12)</f>
        <v>146.7663861936559</v>
      </c>
      <c r="Z94" s="13">
        <f ca="1">IF(הפחתה7[[#This Row],[תאריך]]="",0,הפחתה7[[#This Row],[ריבית]]+הפחתה7[[#This Row],[קרן]]+הפחתה7[[#This Row],[מדד]])</f>
        <v>656.15967715084469</v>
      </c>
      <c r="AA94" s="13">
        <f ca="1">IF(הפחתה7[[#This Row],[תאריך]]="",0,הפחתה7[[#This Row],[יתרת פתיחה]]-הפחתה7[[#This Row],[קרן]]+הפחתה7[[#This Row],[מדד]])</f>
        <v>87865.613904747443</v>
      </c>
      <c r="AB94" s="11">
        <f ca="1">IF(הפחתה7[[#This Row],[יתרת
סגירה]]&gt;0,LastRow3-ROW(),0)</f>
        <v>209</v>
      </c>
      <c r="AC94" s="17">
        <f>ROWS($AC$4:AC94)</f>
        <v>91</v>
      </c>
      <c r="AD94" s="18" t="str">
        <f ca="1">IF(ValuesEntered4,IF(הפחתה8[[#This Row],[מס'']]&lt;=תקופת_ההלוואה4,IF(ROW()-ROW(הפחתה8[[#Headers],[תאריך]])=1,LoanStart4,IF(AJ93&gt;0,EDATE(AD93,1),"")),""),"")</f>
        <v/>
      </c>
      <c r="AE94" s="19">
        <f ca="1">IF(ROW()-ROW(הפחתה8[[#Headers],[יתרת פתיחה]])=1,סכום_הלוואה4,IF(הפחתה8[[#This Row],[תאריך]]="",0,INDEX(הפחתה8[], ROW()-4,8)))</f>
        <v>0</v>
      </c>
      <c r="AF94" s="19">
        <f ca="1">IF(ValuesEntered4,IF(ROW()-ROW(הפחתה8[[#Headers],[ריבית]])=1,-IPMT(שיעור_ריבית4/12,1,תקופת_ההלוואה4-ROWS($C$4:AD94)+1,הפחתה8[[#This Row],[יתרת פתיחה]]),IFERROR(-IPMT(שיעור_ריבית4/12,1,הפחתה8[[#This Row],[תשלומים
שנותרו]],AE95),0)),0)</f>
        <v>0</v>
      </c>
      <c r="AG94" s="19" t="str">
        <f ca="1">IFERROR(IF(AND(ValuesEntered4,הפחתה8[[#This Row],[תאריך]]&lt;&gt;""),-PPMT(שיעור_ריבית4/12,1,תקופת_ההלוואה4-ROWS($C$4:AD94)+1,הפחתה8[[#This Row],[יתרת פתיחה]]),""),0)</f>
        <v/>
      </c>
      <c r="AH94" s="19">
        <f ca="1">(הפחתה8[[#This Row],[יתרת פתיחה]])*(מדד4/12)</f>
        <v>0</v>
      </c>
      <c r="AI94" s="19">
        <f ca="1">IF(הפחתה8[[#This Row],[תאריך]]="",0,הפחתה8[[#This Row],[ריבית]]+הפחתה8[[#This Row],[קרן]]+הפחתה8[[#This Row],[מדד]])</f>
        <v>0</v>
      </c>
      <c r="AJ94" s="19">
        <f ca="1">IF(הפחתה8[[#This Row],[תאריך]]="",0,הפחתה8[[#This Row],[יתרת פתיחה]]-הפחתה8[[#This Row],[קרן]])</f>
        <v>0</v>
      </c>
      <c r="AK94" s="20">
        <f ca="1">IF(הפחתה8[[#This Row],[יתרת
סגירה]]&gt;0,LastRow4-ROW(),0)</f>
        <v>0</v>
      </c>
    </row>
    <row r="95" spans="1:37" ht="15" customHeight="1" x14ac:dyDescent="0.25">
      <c r="A95" s="8"/>
      <c r="B95" s="11">
        <f>ROWS($B$4:B95)</f>
        <v>92</v>
      </c>
      <c r="C95" s="12">
        <f>IF(ValuesEntered,IF(הפחתה[[#This Row],[מס'']]&lt;=תקופת_ההלוואה,IF(ROW()-ROW(הפחתה[[#Headers],[תאריך]])=1,LoanStart,IF(I94&gt;0,EDATE(C94,1),"")),""),"")</f>
        <v>48153</v>
      </c>
      <c r="D95" s="13">
        <f>IF(ROW()-ROW(הפחתה[[#Headers],[יתרת פתיחה]])=1,סכום_הלוואה,IF(הפחתה[[#This Row],[תאריך]]="",0,INDEX(הפחתה[], ROW()-4,8)))</f>
        <v>523836.27920231526</v>
      </c>
      <c r="E95" s="13">
        <f>IF(ValuesEntered,IF(ROW()-ROW(הפחתה[[#Headers],[ריבית]])=1,-IPMT(שיעור_ריבית/12,1,תקופת_ההלוואה-ROWS($C$4:C95)+1,הפחתה[[#This Row],[יתרת פתיחה]]),IFERROR(-IPMT(שיעור_ריבית/12,1,הפחתה[[#This Row],[תשלומים
שנותרו]],D96),0)),0)</f>
        <v>2309.1131050514082</v>
      </c>
      <c r="F95" s="13">
        <f>IFERROR(IF(AND(ValuesEntered,הפחתה[[#This Row],[תאריך]]&lt;&gt;""),-PPMT(שיעור_ריבית/12,1,תקופת_ההלוואה-ROWS($C$4:C95)+1,הפחתה[[#This Row],[יתרת פתיחה]]),""),0)</f>
        <v>1018.2176812416594</v>
      </c>
      <c r="G95" s="13">
        <f>(הפחתה[[#This Row],[יתרת פתיחה]])*(מדד/12)</f>
        <v>0</v>
      </c>
      <c r="H95" s="13">
        <f>IF(הפחתה[[#This Row],[תאריך]]="",0,הפחתה[[#This Row],[ריבית]]+הפחתה[[#This Row],[קרן]]+הפחתה[[#This Row],[מדד]])</f>
        <v>3327.3307862930678</v>
      </c>
      <c r="I95" s="13">
        <f>IF(הפחתה[[#This Row],[תאריך]]="",0,הפחתה[[#This Row],[יתרת פתיחה]]-הפחתה[[#This Row],[קרן]]+הפחתה[[#This Row],[מדד]])</f>
        <v>522818.06152107357</v>
      </c>
      <c r="J95" s="11">
        <f>IF(הפחתה[[#This Row],[יתרת
סגירה]]&gt;0,LastRow-ROW(),0)</f>
        <v>268</v>
      </c>
      <c r="K95" s="11">
        <f>ROWS($K$4:K95)</f>
        <v>92</v>
      </c>
      <c r="L95" s="12">
        <f>IF(ValuesEntered2,IF(הפחתה5[[#This Row],[מס'']]&lt;=תקופת_ההלוואה2,IF(ROW()-ROW(הפחתה5[[#Headers],[תאריך]])=1,LoanStart2,IF(R94&gt;0,EDATE(L94,1),"")),""),"")</f>
        <v>48153</v>
      </c>
      <c r="M95" s="13">
        <f>IF(ROW()-ROW(הפחתה5[[#Headers],[יתרת פתיחה]])=1,סכום_הלוואה2,IF(הפחתה5[[#This Row],[תאריך]]="",0,INDEX(הפחתה5[], ROW()-4,8)))</f>
        <v>242546.53632536836</v>
      </c>
      <c r="N95" s="13">
        <f>IF(ValuesEntered2,IF(ROW()-ROW(הפחתה5[[#Headers],[ריבית]])=1,-IPMT(שיעור_ריבית2/12,1,תקופת_ההלוואה2-ROWS($L$4:L95)+1,הפחתה5[[#This Row],[יתרת פתיחה]]),IFERROR(-IPMT(שיעור_ריבית2/12,1,הפחתה5[[#This Row],[תשלומים
שנותרו]],M96),0)),0)</f>
        <v>947.02953322615838</v>
      </c>
      <c r="O95" s="13">
        <f>IFERROR(IF(AND(ValuesEntered2,הפחתה5[[#This Row],[תאריך]]&lt;&gt;""),-PPMT(שיעור_ריבית2/12,1,תקופת_ההלוואה2-ROWS($L$4:L95)+1,הפחתה5[[#This Row],[יתרת פתיחה]]),""),0)</f>
        <v>751.76188464703296</v>
      </c>
      <c r="P95" s="13">
        <f>(הפחתה5[[#This Row],[יתרת פתיחה]])*(מדד2/12)</f>
        <v>0</v>
      </c>
      <c r="Q95" s="13">
        <f>IF(הפחתה5[[#This Row],[תאריך]]="",0,הפחתה5[[#This Row],[ריבית]]+הפחתה5[[#This Row],[קרן]]+הפחתה5[[#This Row],[מדד]])</f>
        <v>1698.7914178731912</v>
      </c>
      <c r="R95" s="13">
        <f>IF(הפחתה5[[#This Row],[תאריך]]="",0,הפחתה5[[#This Row],[יתרת פתיחה]]-הפחתה5[[#This Row],[קרן]]+הפחתה5[[#This Row],[מדד]])</f>
        <v>241794.77444072132</v>
      </c>
      <c r="S95" s="11">
        <f>IF(הפחתה5[[#This Row],[יתרת
סגירה]]&gt;0,LastRow2-ROW(),0)</f>
        <v>208</v>
      </c>
      <c r="T95" s="11">
        <f>ROWS($T$4:T95)</f>
        <v>92</v>
      </c>
      <c r="U95" s="12">
        <f ca="1">IF(ValuesEntered3,IF(הפחתה7[[#This Row],[מס'']]&lt;=תקופת_ההלוואה3,IF(ROW()-ROW(הפחתה7[[#Headers],[תאריך]])=1,LoanStart3,IF(AA94&gt;0,EDATE(U94,1),"")),""),"")</f>
        <v>48390</v>
      </c>
      <c r="V95" s="13">
        <f ca="1">IF(ROW()-ROW(הפחתה7[[#Headers],[יתרת פתיחה]])=1,סכום_הלוואה3,IF(הפחתה7[[#This Row],[תאריך]]="",0,INDEX(הפחתה7[], ROW()-4,8)))</f>
        <v>87865.613904747443</v>
      </c>
      <c r="W95" s="13">
        <f ca="1">IF(ValuesEntered3,IF(ROW()-ROW(הפחתה7[[#Headers],[ריבית]])=1,-IPMT(שיעור_ריבית3/12,1,תקופת_ההלוואה3-ROWS($C$4:U95)+1,הפחתה7[[#This Row],[יתרת פתיחה]]),IFERROR(-IPMT(שיעור_ריבית3/12,1,הפחתה7[[#This Row],[תשלומים
שנותרו]],V96),0)),0)</f>
        <v>168.033873865689</v>
      </c>
      <c r="X95" s="13">
        <f ca="1">IFERROR(IF(AND(ValuesEntered3,הפחתה7[[#This Row],[תאריך]]&lt;&gt;""),-PPMT(שיעור_ריבית3/12,1,תקופת_ההלוואה3-ROWS($C$4:U95)+1,הפחתה7[[#This Row],[יתרת פתיחה]]),""),0)</f>
        <v>342.20936031615912</v>
      </c>
      <c r="Y95" s="13">
        <f ca="1">(הפחתה7[[#This Row],[יתרת פתיחה]])*(מדד3/12)</f>
        <v>146.44268984124574</v>
      </c>
      <c r="Z95" s="13">
        <f ca="1">IF(הפחתה7[[#This Row],[תאריך]]="",0,הפחתה7[[#This Row],[ריבית]]+הפחתה7[[#This Row],[קרן]]+הפחתה7[[#This Row],[מדד]])</f>
        <v>656.68592402309389</v>
      </c>
      <c r="AA95" s="13">
        <f ca="1">IF(הפחתה7[[#This Row],[תאריך]]="",0,הפחתה7[[#This Row],[יתרת פתיחה]]-הפחתה7[[#This Row],[קרן]]+הפחתה7[[#This Row],[מדד]])</f>
        <v>87669.847234272529</v>
      </c>
      <c r="AB95" s="11">
        <f ca="1">IF(הפחתה7[[#This Row],[יתרת
סגירה]]&gt;0,LastRow3-ROW(),0)</f>
        <v>208</v>
      </c>
      <c r="AC95" s="17">
        <f>ROWS($AC$4:AC95)</f>
        <v>92</v>
      </c>
      <c r="AD95" s="18" t="str">
        <f ca="1">IF(ValuesEntered4,IF(הפחתה8[[#This Row],[מס'']]&lt;=תקופת_ההלוואה4,IF(ROW()-ROW(הפחתה8[[#Headers],[תאריך]])=1,LoanStart4,IF(AJ94&gt;0,EDATE(AD94,1),"")),""),"")</f>
        <v/>
      </c>
      <c r="AE95" s="19">
        <f ca="1">IF(ROW()-ROW(הפחתה8[[#Headers],[יתרת פתיחה]])=1,סכום_הלוואה4,IF(הפחתה8[[#This Row],[תאריך]]="",0,INDEX(הפחתה8[], ROW()-4,8)))</f>
        <v>0</v>
      </c>
      <c r="AF95" s="19">
        <f ca="1">IF(ValuesEntered4,IF(ROW()-ROW(הפחתה8[[#Headers],[ריבית]])=1,-IPMT(שיעור_ריבית4/12,1,תקופת_ההלוואה4-ROWS($C$4:AD95)+1,הפחתה8[[#This Row],[יתרת פתיחה]]),IFERROR(-IPMT(שיעור_ריבית4/12,1,הפחתה8[[#This Row],[תשלומים
שנותרו]],AE96),0)),0)</f>
        <v>0</v>
      </c>
      <c r="AG95" s="19" t="str">
        <f ca="1">IFERROR(IF(AND(ValuesEntered4,הפחתה8[[#This Row],[תאריך]]&lt;&gt;""),-PPMT(שיעור_ריבית4/12,1,תקופת_ההלוואה4-ROWS($C$4:AD95)+1,הפחתה8[[#This Row],[יתרת פתיחה]]),""),0)</f>
        <v/>
      </c>
      <c r="AH95" s="19">
        <f ca="1">(הפחתה8[[#This Row],[יתרת פתיחה]])*(מדד4/12)</f>
        <v>0</v>
      </c>
      <c r="AI95" s="19">
        <f ca="1">IF(הפחתה8[[#This Row],[תאריך]]="",0,הפחתה8[[#This Row],[ריבית]]+הפחתה8[[#This Row],[קרן]]+הפחתה8[[#This Row],[מדד]])</f>
        <v>0</v>
      </c>
      <c r="AJ95" s="19">
        <f ca="1">IF(הפחתה8[[#This Row],[תאריך]]="",0,הפחתה8[[#This Row],[יתרת פתיחה]]-הפחתה8[[#This Row],[קרן]])</f>
        <v>0</v>
      </c>
      <c r="AK95" s="20">
        <f ca="1">IF(הפחתה8[[#This Row],[יתרת
סגירה]]&gt;0,LastRow4-ROW(),0)</f>
        <v>0</v>
      </c>
    </row>
    <row r="96" spans="1:37" ht="15" customHeight="1" x14ac:dyDescent="0.25">
      <c r="A96" s="8"/>
      <c r="B96" s="11">
        <f>ROWS($B$4:B96)</f>
        <v>93</v>
      </c>
      <c r="C96" s="12">
        <f>IF(ValuesEntered,IF(הפחתה[[#This Row],[מס'']]&lt;=תקופת_ההלוואה,IF(ROW()-ROW(הפחתה[[#Headers],[תאריך]])=1,LoanStart,IF(I95&gt;0,EDATE(C95,1),"")),""),"")</f>
        <v>48183</v>
      </c>
      <c r="D96" s="13">
        <f>IF(ROW()-ROW(הפחתה[[#Headers],[יתרת פתיחה]])=1,סכום_הלוואה,IF(הפחתה[[#This Row],[תאריך]]="",0,INDEX(הפחתה[], ROW()-4,8)))</f>
        <v>522818.06152107357</v>
      </c>
      <c r="E96" s="13">
        <f>IF(ValuesEntered,IF(ROW()-ROW(הפחתה[[#Headers],[ריבית]])=1,-IPMT(שיעור_ריבית/12,1,תקופת_ההלוואה-ROWS($C$4:C96)+1,הפחתה[[#This Row],[יתרת פתיחה]]),IFERROR(-IPMT(שיעור_ריבית/12,1,הפחתה[[#This Row],[תשלומים
שנותרו]],D97),0)),0)</f>
        <v>2304.5961146435179</v>
      </c>
      <c r="F96" s="13">
        <f>IFERROR(IF(AND(ValuesEntered,הפחתה[[#This Row],[תאריך]]&lt;&gt;""),-PPMT(שיעור_ריבית/12,1,תקופת_ההלוואה-ROWS($C$4:C96)+1,הפחתה[[#This Row],[יתרת פתיחה]]),""),0)</f>
        <v>1022.7148093338102</v>
      </c>
      <c r="G96" s="13">
        <f>(הפחתה[[#This Row],[יתרת פתיחה]])*(מדד/12)</f>
        <v>0</v>
      </c>
      <c r="H96" s="13">
        <f>IF(הפחתה[[#This Row],[תאריך]]="",0,הפחתה[[#This Row],[ריבית]]+הפחתה[[#This Row],[קרן]]+הפחתה[[#This Row],[מדד]])</f>
        <v>3327.310923977328</v>
      </c>
      <c r="I96" s="13">
        <f>IF(הפחתה[[#This Row],[תאריך]]="",0,הפחתה[[#This Row],[יתרת פתיחה]]-הפחתה[[#This Row],[קרן]]+הפחתה[[#This Row],[מדד]])</f>
        <v>521795.34671173978</v>
      </c>
      <c r="J96" s="11">
        <f>IF(הפחתה[[#This Row],[יתרת
סגירה]]&gt;0,LastRow-ROW(),0)</f>
        <v>267</v>
      </c>
      <c r="K96" s="11">
        <f>ROWS($K$4:K96)</f>
        <v>93</v>
      </c>
      <c r="L96" s="12">
        <f>IF(ValuesEntered2,IF(הפחתה5[[#This Row],[מס'']]&lt;=תקופת_ההלוואה2,IF(ROW()-ROW(הפחתה5[[#Headers],[תאריך]])=1,LoanStart2,IF(R95&gt;0,EDATE(L95,1),"")),""),"")</f>
        <v>48183</v>
      </c>
      <c r="M96" s="13">
        <f>IF(ROW()-ROW(הפחתה5[[#Headers],[יתרת פתיחה]])=1,סכום_הלוואה2,IF(הפחתה5[[#This Row],[תאריך]]="",0,INDEX(הפחתה5[], ROW()-4,8)))</f>
        <v>241794.77444072132</v>
      </c>
      <c r="N96" s="13">
        <f>IF(ValuesEntered2,IF(ROW()-ROW(הפחתה5[[#Headers],[ריבית]])=1,-IPMT(שיעור_ריבית2/12,1,תקופת_ההלוואה2-ROWS($L$4:L96)+1,הפחתה5[[#This Row],[יתרת פתיחה]]),IFERROR(-IPMT(שיעור_ריבית2/12,1,הפחתה5[[#This Row],[תשלומים
שנותרו]],M97),0)),0)</f>
        <v>944.07360027515756</v>
      </c>
      <c r="O96" s="13">
        <f>IFERROR(IF(AND(ValuesEntered2,הפחתה5[[#This Row],[תאריך]]&lt;&gt;""),-PPMT(שיעור_ריבית2/12,1,תקופת_ההלוואה2-ROWS($L$4:L96)+1,הפחתה5[[#This Row],[יתרת פתיחה]]),""),0)</f>
        <v>754.70628536190065</v>
      </c>
      <c r="P96" s="13">
        <f>(הפחתה5[[#This Row],[יתרת פתיחה]])*(מדד2/12)</f>
        <v>0</v>
      </c>
      <c r="Q96" s="13">
        <f>IF(הפחתה5[[#This Row],[תאריך]]="",0,הפחתה5[[#This Row],[ריבית]]+הפחתה5[[#This Row],[קרן]]+הפחתה5[[#This Row],[מדד]])</f>
        <v>1698.7798856370582</v>
      </c>
      <c r="R96" s="13">
        <f>IF(הפחתה5[[#This Row],[תאריך]]="",0,הפחתה5[[#This Row],[יתרת פתיחה]]-הפחתה5[[#This Row],[קרן]]+הפחתה5[[#This Row],[מדד]])</f>
        <v>241040.06815535942</v>
      </c>
      <c r="S96" s="11">
        <f>IF(הפחתה5[[#This Row],[יתרת
סגירה]]&gt;0,LastRow2-ROW(),0)</f>
        <v>207</v>
      </c>
      <c r="T96" s="11">
        <f>ROWS($T$4:T96)</f>
        <v>93</v>
      </c>
      <c r="U96" s="12">
        <f ca="1">IF(ValuesEntered3,IF(הפחתה7[[#This Row],[מס'']]&lt;=תקופת_ההלוואה3,IF(ROW()-ROW(הפחתה7[[#Headers],[תאריך]])=1,LoanStart3,IF(AA95&gt;0,EDATE(U95,1),"")),""),"")</f>
        <v>48420</v>
      </c>
      <c r="V96" s="13">
        <f ca="1">IF(ROW()-ROW(הפחתה7[[#Headers],[יתרת פתיחה]])=1,סכום_הלוואה3,IF(הפחתה7[[#This Row],[תאריך]]="",0,INDEX(הפחתה7[], ROW()-4,8)))</f>
        <v>87669.847234272529</v>
      </c>
      <c r="W96" s="13">
        <f ca="1">IF(ValuesEntered3,IF(ROW()-ROW(הפחתה7[[#Headers],[ריבית]])=1,-IPMT(שיעור_ריבית3/12,1,תקופת_ההלוואה3-ROWS($C$4:U96)+1,הפחתה7[[#This Row],[יתרת פתיחה]]),IFERROR(-IPMT(שיעור_ריבית3/12,1,הפחתה7[[#This Row],[תשלומים
שנותרו]],V97),0)),0)</f>
        <v>167.65567235766113</v>
      </c>
      <c r="X96" s="13">
        <f ca="1">IFERROR(IF(AND(ValuesEntered3,הפחתה7[[#This Row],[תאריך]]&lt;&gt;""),-PPMT(שיעור_ריבית3/12,1,תקופת_ההלוואה3-ROWS($C$4:U96)+1,הפחתה7[[#This Row],[יתרת פתיחה]]),""),0)</f>
        <v>343.43893798467798</v>
      </c>
      <c r="Y96" s="13">
        <f ca="1">(הפחתה7[[#This Row],[יתרת פתיחה]])*(מדד3/12)</f>
        <v>146.1164120571209</v>
      </c>
      <c r="Z96" s="13">
        <f ca="1">IF(הפחתה7[[#This Row],[תאריך]]="",0,הפחתה7[[#This Row],[ריבית]]+הפחתה7[[#This Row],[קרן]]+הפחתה7[[#This Row],[מדד]])</f>
        <v>657.21102239946003</v>
      </c>
      <c r="AA96" s="13">
        <f ca="1">IF(הפחתה7[[#This Row],[תאריך]]="",0,הפחתה7[[#This Row],[יתרת פתיחה]]-הפחתה7[[#This Row],[קרן]]+הפחתה7[[#This Row],[מדד]])</f>
        <v>87472.524708344965</v>
      </c>
      <c r="AB96" s="11">
        <f ca="1">IF(הפחתה7[[#This Row],[יתרת
סגירה]]&gt;0,LastRow3-ROW(),0)</f>
        <v>207</v>
      </c>
      <c r="AC96" s="17">
        <f>ROWS($AC$4:AC96)</f>
        <v>93</v>
      </c>
      <c r="AD96" s="18" t="str">
        <f ca="1">IF(ValuesEntered4,IF(הפחתה8[[#This Row],[מס'']]&lt;=תקופת_ההלוואה4,IF(ROW()-ROW(הפחתה8[[#Headers],[תאריך]])=1,LoanStart4,IF(AJ95&gt;0,EDATE(AD95,1),"")),""),"")</f>
        <v/>
      </c>
      <c r="AE96" s="19">
        <f ca="1">IF(ROW()-ROW(הפחתה8[[#Headers],[יתרת פתיחה]])=1,סכום_הלוואה4,IF(הפחתה8[[#This Row],[תאריך]]="",0,INDEX(הפחתה8[], ROW()-4,8)))</f>
        <v>0</v>
      </c>
      <c r="AF96" s="19">
        <f ca="1">IF(ValuesEntered4,IF(ROW()-ROW(הפחתה8[[#Headers],[ריבית]])=1,-IPMT(שיעור_ריבית4/12,1,תקופת_ההלוואה4-ROWS($C$4:AD96)+1,הפחתה8[[#This Row],[יתרת פתיחה]]),IFERROR(-IPMT(שיעור_ריבית4/12,1,הפחתה8[[#This Row],[תשלומים
שנותרו]],AE97),0)),0)</f>
        <v>0</v>
      </c>
      <c r="AG96" s="19" t="str">
        <f ca="1">IFERROR(IF(AND(ValuesEntered4,הפחתה8[[#This Row],[תאריך]]&lt;&gt;""),-PPMT(שיעור_ריבית4/12,1,תקופת_ההלוואה4-ROWS($C$4:AD96)+1,הפחתה8[[#This Row],[יתרת פתיחה]]),""),0)</f>
        <v/>
      </c>
      <c r="AH96" s="19">
        <f ca="1">(הפחתה8[[#This Row],[יתרת פתיחה]])*(מדד4/12)</f>
        <v>0</v>
      </c>
      <c r="AI96" s="19">
        <f ca="1">IF(הפחתה8[[#This Row],[תאריך]]="",0,הפחתה8[[#This Row],[ריבית]]+הפחתה8[[#This Row],[קרן]]+הפחתה8[[#This Row],[מדד]])</f>
        <v>0</v>
      </c>
      <c r="AJ96" s="19">
        <f ca="1">IF(הפחתה8[[#This Row],[תאריך]]="",0,הפחתה8[[#This Row],[יתרת פתיחה]]-הפחתה8[[#This Row],[קרן]])</f>
        <v>0</v>
      </c>
      <c r="AK96" s="20">
        <f ca="1">IF(הפחתה8[[#This Row],[יתרת
סגירה]]&gt;0,LastRow4-ROW(),0)</f>
        <v>0</v>
      </c>
    </row>
    <row r="97" spans="1:37" ht="15" customHeight="1" x14ac:dyDescent="0.25">
      <c r="A97" s="8"/>
      <c r="B97" s="11">
        <f>ROWS($B$4:B97)</f>
        <v>94</v>
      </c>
      <c r="C97" s="12">
        <f>IF(ValuesEntered,IF(הפחתה[[#This Row],[מס'']]&lt;=תקופת_ההלוואה,IF(ROW()-ROW(הפחתה[[#Headers],[תאריך]])=1,LoanStart,IF(I96&gt;0,EDATE(C96,1),"")),""),"")</f>
        <v>48214</v>
      </c>
      <c r="D97" s="13">
        <f>IF(ROW()-ROW(הפחתה[[#Headers],[יתרת פתיחה]])=1,סכום_הלוואה,IF(הפחתה[[#This Row],[תאריך]]="",0,INDEX(הפחתה[], ROW()-4,8)))</f>
        <v>521795.34671173978</v>
      </c>
      <c r="E97" s="13">
        <f>IF(ValuesEntered,IF(ROW()-ROW(הפחתה[[#Headers],[ריבית]])=1,-IPMT(שיעור_ריבית/12,1,תקופת_ההלוואה-ROWS($C$4:C97)+1,הפחתה[[#This Row],[יתרת פתיחה]]),IFERROR(-IPMT(שיעור_ריבית/12,1,הפחתה[[#This Row],[תשלומים
שנותרו]],D98),0)),0)</f>
        <v>2300.0591741946582</v>
      </c>
      <c r="F97" s="13">
        <f>IFERROR(IF(AND(ValuesEntered,הפחתה[[#This Row],[תאריך]]&lt;&gt;""),-PPMT(שיעור_ריבית/12,1,תקופת_ההלוואה-ROWS($C$4:C97)+1,הפחתה[[#This Row],[יתרת פתיחה]]),""),0)</f>
        <v>1027.2317997417013</v>
      </c>
      <c r="G97" s="13">
        <f>(הפחתה[[#This Row],[יתרת פתיחה]])*(מדד/12)</f>
        <v>0</v>
      </c>
      <c r="H97" s="13">
        <f>IF(הפחתה[[#This Row],[תאריך]]="",0,הפחתה[[#This Row],[ריבית]]+הפחתה[[#This Row],[קרן]]+הפחתה[[#This Row],[מדד]])</f>
        <v>3327.2909739363595</v>
      </c>
      <c r="I97" s="13">
        <f>IF(הפחתה[[#This Row],[תאריך]]="",0,הפחתה[[#This Row],[יתרת פתיחה]]-הפחתה[[#This Row],[קרן]]+הפחתה[[#This Row],[מדד]])</f>
        <v>520768.1149119981</v>
      </c>
      <c r="J97" s="11">
        <f>IF(הפחתה[[#This Row],[יתרת
סגירה]]&gt;0,LastRow-ROW(),0)</f>
        <v>266</v>
      </c>
      <c r="K97" s="11">
        <f>ROWS($K$4:K97)</f>
        <v>94</v>
      </c>
      <c r="L97" s="12">
        <f>IF(ValuesEntered2,IF(הפחתה5[[#This Row],[מס'']]&lt;=תקופת_ההלוואה2,IF(ROW()-ROW(הפחתה5[[#Headers],[תאריך]])=1,LoanStart2,IF(R96&gt;0,EDATE(L96,1),"")),""),"")</f>
        <v>48214</v>
      </c>
      <c r="M97" s="13">
        <f>IF(ROW()-ROW(הפחתה5[[#Headers],[יתרת פתיחה]])=1,סכום_הלוואה2,IF(הפחתה5[[#This Row],[תאריך]]="",0,INDEX(הפחתה5[], ROW()-4,8)))</f>
        <v>241040.06815535942</v>
      </c>
      <c r="N97" s="13">
        <f>IF(ValuesEntered2,IF(ROW()-ROW(הפחתה5[[#Headers],[ריבית]])=1,-IPMT(שיעור_ריבית2/12,1,תקופת_ההלוואה2-ROWS($L$4:L97)+1,הפחתה5[[#This Row],[יתרת פתיחה]]),IFERROR(-IPMT(שיעור_ריבית2/12,1,הפחתה5[[#This Row],[תשלומים
שנותרו]],M98),0)),0)</f>
        <v>941.10608992009873</v>
      </c>
      <c r="O97" s="13">
        <f>IFERROR(IF(AND(ValuesEntered2,הפחתה5[[#This Row],[תאריך]]&lt;&gt;""),-PPMT(שיעור_ריבית2/12,1,תקופת_ההלוואה2-ROWS($L$4:L97)+1,הפחתה5[[#This Row],[יתרת פתיחה]]),""),0)</f>
        <v>757.66221831290125</v>
      </c>
      <c r="P97" s="13">
        <f>(הפחתה5[[#This Row],[יתרת פתיחה]])*(מדד2/12)</f>
        <v>0</v>
      </c>
      <c r="Q97" s="13">
        <f>IF(הפחתה5[[#This Row],[תאריך]]="",0,הפחתה5[[#This Row],[ריבית]]+הפחתה5[[#This Row],[קרן]]+הפחתה5[[#This Row],[מדד]])</f>
        <v>1698.768308233</v>
      </c>
      <c r="R97" s="13">
        <f>IF(הפחתה5[[#This Row],[תאריך]]="",0,הפחתה5[[#This Row],[יתרת פתיחה]]-הפחתה5[[#This Row],[קרן]]+הפחתה5[[#This Row],[מדד]])</f>
        <v>240282.40593704651</v>
      </c>
      <c r="S97" s="11">
        <f>IF(הפחתה5[[#This Row],[יתרת
סגירה]]&gt;0,LastRow2-ROW(),0)</f>
        <v>206</v>
      </c>
      <c r="T97" s="11">
        <f>ROWS($T$4:T97)</f>
        <v>94</v>
      </c>
      <c r="U97" s="12">
        <f ca="1">IF(ValuesEntered3,IF(הפחתה7[[#This Row],[מס'']]&lt;=תקופת_ההלוואה3,IF(ROW()-ROW(הפחתה7[[#Headers],[תאריך]])=1,LoanStart3,IF(AA96&gt;0,EDATE(U96,1),"")),""),"")</f>
        <v>48451</v>
      </c>
      <c r="V97" s="13">
        <f ca="1">IF(ROW()-ROW(הפחתה7[[#Headers],[יתרת פתיחה]])=1,סכום_הלוואה3,IF(הפחתה7[[#This Row],[תאריך]]="",0,INDEX(הפחתה7[], ROW()-4,8)))</f>
        <v>87472.524708344965</v>
      </c>
      <c r="W97" s="13">
        <f ca="1">IF(ValuesEntered3,IF(ROW()-ROW(הפחתה7[[#Headers],[ריבית]])=1,-IPMT(שיעור_ריבית3/12,1,תקופת_ההלוואה3-ROWS($C$4:U97)+1,הפחתה7[[#This Row],[יתרת פתיחה]]),IFERROR(-IPMT(שיעור_ריבית3/12,1,הפחתה7[[#This Row],[תשלומים
שנותרו]],V98),0)),0)</f>
        <v>167.27447533036019</v>
      </c>
      <c r="X97" s="13">
        <f ca="1">IFERROR(IF(AND(ValuesEntered3,הפחתה7[[#This Row],[תאריך]]&lt;&gt;""),-PPMT(שיעור_ריבית3/12,1,תקופת_ההלוואה3-ROWS($C$4:U97)+1,הפחתה7[[#This Row],[יתרת פתיחה]]),""),0)</f>
        <v>344.67294672891745</v>
      </c>
      <c r="Y97" s="13">
        <f ca="1">(הפחתה7[[#This Row],[יתרת פתיחה]])*(מדד3/12)</f>
        <v>145.78754118057495</v>
      </c>
      <c r="Z97" s="13">
        <f ca="1">IF(הפחתה7[[#This Row],[תאריך]]="",0,הפחתה7[[#This Row],[ריבית]]+הפחתה7[[#This Row],[קרן]]+הפחתה7[[#This Row],[מדד]])</f>
        <v>657.73496323985262</v>
      </c>
      <c r="AA97" s="13">
        <f ca="1">IF(הפחתה7[[#This Row],[תאריך]]="",0,הפחתה7[[#This Row],[יתרת פתיחה]]-הפחתה7[[#This Row],[קרן]]+הפחתה7[[#This Row],[מדד]])</f>
        <v>87273.639302796626</v>
      </c>
      <c r="AB97" s="11">
        <f ca="1">IF(הפחתה7[[#This Row],[יתרת
סגירה]]&gt;0,LastRow3-ROW(),0)</f>
        <v>206</v>
      </c>
      <c r="AC97" s="17">
        <f>ROWS($AC$4:AC97)</f>
        <v>94</v>
      </c>
      <c r="AD97" s="18" t="str">
        <f ca="1">IF(ValuesEntered4,IF(הפחתה8[[#This Row],[מס'']]&lt;=תקופת_ההלוואה4,IF(ROW()-ROW(הפחתה8[[#Headers],[תאריך]])=1,LoanStart4,IF(AJ96&gt;0,EDATE(AD96,1),"")),""),"")</f>
        <v/>
      </c>
      <c r="AE97" s="19">
        <f ca="1">IF(ROW()-ROW(הפחתה8[[#Headers],[יתרת פתיחה]])=1,סכום_הלוואה4,IF(הפחתה8[[#This Row],[תאריך]]="",0,INDEX(הפחתה8[], ROW()-4,8)))</f>
        <v>0</v>
      </c>
      <c r="AF97" s="19">
        <f ca="1">IF(ValuesEntered4,IF(ROW()-ROW(הפחתה8[[#Headers],[ריבית]])=1,-IPMT(שיעור_ריבית4/12,1,תקופת_ההלוואה4-ROWS($C$4:AD97)+1,הפחתה8[[#This Row],[יתרת פתיחה]]),IFERROR(-IPMT(שיעור_ריבית4/12,1,הפחתה8[[#This Row],[תשלומים
שנותרו]],AE98),0)),0)</f>
        <v>0</v>
      </c>
      <c r="AG97" s="19" t="str">
        <f ca="1">IFERROR(IF(AND(ValuesEntered4,הפחתה8[[#This Row],[תאריך]]&lt;&gt;""),-PPMT(שיעור_ריבית4/12,1,תקופת_ההלוואה4-ROWS($C$4:AD97)+1,הפחתה8[[#This Row],[יתרת פתיחה]]),""),0)</f>
        <v/>
      </c>
      <c r="AH97" s="19">
        <f ca="1">(הפחתה8[[#This Row],[יתרת פתיחה]])*(מדד4/12)</f>
        <v>0</v>
      </c>
      <c r="AI97" s="19">
        <f ca="1">IF(הפחתה8[[#This Row],[תאריך]]="",0,הפחתה8[[#This Row],[ריבית]]+הפחתה8[[#This Row],[קרן]]+הפחתה8[[#This Row],[מדד]])</f>
        <v>0</v>
      </c>
      <c r="AJ97" s="19">
        <f ca="1">IF(הפחתה8[[#This Row],[תאריך]]="",0,הפחתה8[[#This Row],[יתרת פתיחה]]-הפחתה8[[#This Row],[קרן]])</f>
        <v>0</v>
      </c>
      <c r="AK97" s="20">
        <f ca="1">IF(הפחתה8[[#This Row],[יתרת
סגירה]]&gt;0,LastRow4-ROW(),0)</f>
        <v>0</v>
      </c>
    </row>
    <row r="98" spans="1:37" ht="15" customHeight="1" x14ac:dyDescent="0.25">
      <c r="A98" s="8"/>
      <c r="B98" s="11">
        <f>ROWS($B$4:B98)</f>
        <v>95</v>
      </c>
      <c r="C98" s="12">
        <f>IF(ValuesEntered,IF(הפחתה[[#This Row],[מס'']]&lt;=תקופת_ההלוואה,IF(ROW()-ROW(הפחתה[[#Headers],[תאריך]])=1,LoanStart,IF(I97&gt;0,EDATE(C97,1),"")),""),"")</f>
        <v>48245</v>
      </c>
      <c r="D98" s="13">
        <f>IF(ROW()-ROW(הפחתה[[#Headers],[יתרת פתיחה]])=1,סכום_הלוואה,IF(הפחתה[[#This Row],[תאריך]]="",0,INDEX(הפחתה[], ROW()-4,8)))</f>
        <v>520768.1149119981</v>
      </c>
      <c r="E98" s="13">
        <f>IF(ValuesEntered,IF(ROW()-ROW(הפחתה[[#Headers],[ריבית]])=1,-IPMT(שיעור_ריבית/12,1,תקופת_ההלוואה-ROWS($C$4:C98)+1,הפחתה[[#This Row],[יתרת פתיחה]]),IFERROR(-IPMT(שיעור_ריבית/12,1,הפחתה[[#This Row],[תשלומים
שנותרו]],D99),0)),0)</f>
        <v>2295.5021955921502</v>
      </c>
      <c r="F98" s="13">
        <f>IFERROR(IF(AND(ValuesEntered,הפחתה[[#This Row],[תאריך]]&lt;&gt;""),-PPMT(שיעור_ריבית/12,1,תקופת_ההלוואה-ROWS($C$4:C98)+1,הפחתה[[#This Row],[יתרת פתיחה]]),""),0)</f>
        <v>1031.7687401905605</v>
      </c>
      <c r="G98" s="13">
        <f>(הפחתה[[#This Row],[יתרת פתיחה]])*(מדד/12)</f>
        <v>0</v>
      </c>
      <c r="H98" s="13">
        <f>IF(הפחתה[[#This Row],[תאריך]]="",0,הפחתה[[#This Row],[ריבית]]+הפחתה[[#This Row],[קרן]]+הפחתה[[#This Row],[מדד]])</f>
        <v>3327.2709357827107</v>
      </c>
      <c r="I98" s="13">
        <f>IF(הפחתה[[#This Row],[תאריך]]="",0,הפחתה[[#This Row],[יתרת פתיחה]]-הפחתה[[#This Row],[קרן]]+הפחתה[[#This Row],[מדד]])</f>
        <v>519736.34617180756</v>
      </c>
      <c r="J98" s="11">
        <f>IF(הפחתה[[#This Row],[יתרת
סגירה]]&gt;0,LastRow-ROW(),0)</f>
        <v>265</v>
      </c>
      <c r="K98" s="11">
        <f>ROWS($K$4:K98)</f>
        <v>95</v>
      </c>
      <c r="L98" s="12">
        <f>IF(ValuesEntered2,IF(הפחתה5[[#This Row],[מס'']]&lt;=תקופת_ההלוואה2,IF(ROW()-ROW(הפחתה5[[#Headers],[תאריך]])=1,LoanStart2,IF(R97&gt;0,EDATE(L97,1),"")),""),"")</f>
        <v>48245</v>
      </c>
      <c r="M98" s="13">
        <f>IF(ROW()-ROW(הפחתה5[[#Headers],[יתרת פתיחה]])=1,סכום_הלוואה2,IF(הפחתה5[[#This Row],[תאריך]]="",0,INDEX(הפחתה5[], ROW()-4,8)))</f>
        <v>240282.40593704651</v>
      </c>
      <c r="N98" s="13">
        <f>IF(ValuesEntered2,IF(ROW()-ROW(הפחתה5[[#Headers],[ריבית]])=1,-IPMT(שיעור_ריבית2/12,1,תקופת_ההלוואה2-ROWS($L$4:L98)+1,הפחתה5[[#This Row],[יתרת פתיחה]]),IFERROR(-IPMT(שיעור_ריבית2/12,1,הפחתה5[[#This Row],[תשלומים
שנותרו]],M99),0)),0)</f>
        <v>938.12695681614923</v>
      </c>
      <c r="O98" s="13">
        <f>IFERROR(IF(AND(ValuesEntered2,הפחתה5[[#This Row],[תאריך]]&lt;&gt;""),-PPMT(שיעור_ריבית2/12,1,תקופת_ההלוואה2-ROWS($L$4:L98)+1,הפחתה5[[#This Row],[יתרת פתיחה]]),""),0)</f>
        <v>760.62972866796031</v>
      </c>
      <c r="P98" s="13">
        <f>(הפחתה5[[#This Row],[יתרת פתיחה]])*(מדד2/12)</f>
        <v>0</v>
      </c>
      <c r="Q98" s="13">
        <f>IF(הפחתה5[[#This Row],[תאריך]]="",0,הפחתה5[[#This Row],[ריבית]]+הפחתה5[[#This Row],[קרן]]+הפחתה5[[#This Row],[מדד]])</f>
        <v>1698.7566854841095</v>
      </c>
      <c r="R98" s="13">
        <f>IF(הפחתה5[[#This Row],[תאריך]]="",0,הפחתה5[[#This Row],[יתרת פתיחה]]-הפחתה5[[#This Row],[קרן]]+הפחתה5[[#This Row],[מדד]])</f>
        <v>239521.77620837855</v>
      </c>
      <c r="S98" s="11">
        <f>IF(הפחתה5[[#This Row],[יתרת
סגירה]]&gt;0,LastRow2-ROW(),0)</f>
        <v>205</v>
      </c>
      <c r="T98" s="11">
        <f>ROWS($T$4:T98)</f>
        <v>95</v>
      </c>
      <c r="U98" s="12">
        <f ca="1">IF(ValuesEntered3,IF(הפחתה7[[#This Row],[מס'']]&lt;=תקופת_ההלוואה3,IF(ROW()-ROW(הפחתה7[[#Headers],[תאריך]])=1,LoanStart3,IF(AA97&gt;0,EDATE(U97,1),"")),""),"")</f>
        <v>48482</v>
      </c>
      <c r="V98" s="13">
        <f ca="1">IF(ROW()-ROW(הפחתה7[[#Headers],[יתרת פתיחה]])=1,סכום_הלוואה3,IF(הפחתה7[[#This Row],[תאריך]]="",0,INDEX(הפחתה7[], ROW()-4,8)))</f>
        <v>87273.639302796626</v>
      </c>
      <c r="W98" s="13">
        <f ca="1">IF(ValuesEntered3,IF(ROW()-ROW(הפחתה7[[#Headers],[ריבית]])=1,-IPMT(שיעור_ריבית3/12,1,תקופת_ההלוואה3-ROWS($C$4:U98)+1,הפחתה7[[#This Row],[יתרת פתיחה]]),IFERROR(-IPMT(שיעור_ריבית3/12,1,הפחתה7[[#This Row],[תשלומים
שנותרו]],V99),0)),0)</f>
        <v>166.89026926741394</v>
      </c>
      <c r="X98" s="13">
        <f ca="1">IFERROR(IF(AND(ValuesEntered3,הפחתה7[[#This Row],[תאריך]]&lt;&gt;""),-PPMT(שיעור_ריבית3/12,1,תקופת_ההלוואה3-ROWS($C$4:U98)+1,הפחתה7[[#This Row],[יתרת פתיחה]]),""),0)</f>
        <v>345.91140269400836</v>
      </c>
      <c r="Y98" s="13">
        <f ca="1">(הפחתה7[[#This Row],[יתרת פתיחה]])*(מדד3/12)</f>
        <v>145.45606550466104</v>
      </c>
      <c r="Z98" s="13">
        <f ca="1">IF(הפחתה7[[#This Row],[תאריך]]="",0,הפחתה7[[#This Row],[ריבית]]+הפחתה7[[#This Row],[קרן]]+הפחתה7[[#This Row],[מדד]])</f>
        <v>658.25773746608331</v>
      </c>
      <c r="AA98" s="13">
        <f ca="1">IF(הפחתה7[[#This Row],[תאריך]]="",0,הפחתה7[[#This Row],[יתרת פתיחה]]-הפחתה7[[#This Row],[קרן]]+הפחתה7[[#This Row],[מדד]])</f>
        <v>87073.183965607284</v>
      </c>
      <c r="AB98" s="11">
        <f ca="1">IF(הפחתה7[[#This Row],[יתרת
סגירה]]&gt;0,LastRow3-ROW(),0)</f>
        <v>205</v>
      </c>
      <c r="AC98" s="17">
        <f>ROWS($AC$4:AC98)</f>
        <v>95</v>
      </c>
      <c r="AD98" s="18" t="str">
        <f ca="1">IF(ValuesEntered4,IF(הפחתה8[[#This Row],[מס'']]&lt;=תקופת_ההלוואה4,IF(ROW()-ROW(הפחתה8[[#Headers],[תאריך]])=1,LoanStart4,IF(AJ97&gt;0,EDATE(AD97,1),"")),""),"")</f>
        <v/>
      </c>
      <c r="AE98" s="19">
        <f ca="1">IF(ROW()-ROW(הפחתה8[[#Headers],[יתרת פתיחה]])=1,סכום_הלוואה4,IF(הפחתה8[[#This Row],[תאריך]]="",0,INDEX(הפחתה8[], ROW()-4,8)))</f>
        <v>0</v>
      </c>
      <c r="AF98" s="19">
        <f ca="1">IF(ValuesEntered4,IF(ROW()-ROW(הפחתה8[[#Headers],[ריבית]])=1,-IPMT(שיעור_ריבית4/12,1,תקופת_ההלוואה4-ROWS($C$4:AD98)+1,הפחתה8[[#This Row],[יתרת פתיחה]]),IFERROR(-IPMT(שיעור_ריבית4/12,1,הפחתה8[[#This Row],[תשלומים
שנותרו]],AE99),0)),0)</f>
        <v>0</v>
      </c>
      <c r="AG98" s="19" t="str">
        <f ca="1">IFERROR(IF(AND(ValuesEntered4,הפחתה8[[#This Row],[תאריך]]&lt;&gt;""),-PPMT(שיעור_ריבית4/12,1,תקופת_ההלוואה4-ROWS($C$4:AD98)+1,הפחתה8[[#This Row],[יתרת פתיחה]]),""),0)</f>
        <v/>
      </c>
      <c r="AH98" s="19">
        <f ca="1">(הפחתה8[[#This Row],[יתרת פתיחה]])*(מדד4/12)</f>
        <v>0</v>
      </c>
      <c r="AI98" s="19">
        <f ca="1">IF(הפחתה8[[#This Row],[תאריך]]="",0,הפחתה8[[#This Row],[ריבית]]+הפחתה8[[#This Row],[קרן]]+הפחתה8[[#This Row],[מדד]])</f>
        <v>0</v>
      </c>
      <c r="AJ98" s="19">
        <f ca="1">IF(הפחתה8[[#This Row],[תאריך]]="",0,הפחתה8[[#This Row],[יתרת פתיחה]]-הפחתה8[[#This Row],[קרן]])</f>
        <v>0</v>
      </c>
      <c r="AK98" s="20">
        <f ca="1">IF(הפחתה8[[#This Row],[יתרת
סגירה]]&gt;0,LastRow4-ROW(),0)</f>
        <v>0</v>
      </c>
    </row>
    <row r="99" spans="1:37" ht="15" customHeight="1" x14ac:dyDescent="0.25">
      <c r="A99" s="8"/>
      <c r="B99" s="11">
        <f>ROWS($B$4:B99)</f>
        <v>96</v>
      </c>
      <c r="C99" s="12">
        <f>IF(ValuesEntered,IF(הפחתה[[#This Row],[מס'']]&lt;=תקופת_ההלוואה,IF(ROW()-ROW(הפחתה[[#Headers],[תאריך]])=1,LoanStart,IF(I98&gt;0,EDATE(C98,1),"")),""),"")</f>
        <v>48274</v>
      </c>
      <c r="D99" s="13">
        <f>IF(ROW()-ROW(הפחתה[[#Headers],[יתרת פתיחה]])=1,סכום_הלוואה,IF(הפחתה[[#This Row],[תאריך]]="",0,INDEX(הפחתה[], ROW()-4,8)))</f>
        <v>519736.34617180756</v>
      </c>
      <c r="E99" s="13">
        <f>IF(ValuesEntered,IF(ROW()-ROW(הפחתה[[#Headers],[ריבית]])=1,-IPMT(שיעור_ריבית/12,1,תקופת_ההלוואה-ROWS($C$4:C99)+1,הפחתה[[#This Row],[יתרת פתיחה]]),IFERROR(-IPMT(שיעור_ריבית/12,1,הפחתה[[#This Row],[תשלומים
שנותרו]],D100),0)),0)</f>
        <v>2290.9250903341472</v>
      </c>
      <c r="F99" s="13">
        <f>IFERROR(IF(AND(ValuesEntered,הפחתה[[#This Row],[תאריך]]&lt;&gt;""),-PPMT(שיעור_ריבית/12,1,תקופת_ההלוואה-ROWS($C$4:C99)+1,הפחתה[[#This Row],[יתרת פתיחה]]),""),0)</f>
        <v>1036.3257187930685</v>
      </c>
      <c r="G99" s="13">
        <f>(הפחתה[[#This Row],[יתרת פתיחה]])*(מדד/12)</f>
        <v>0</v>
      </c>
      <c r="H99" s="13">
        <f>IF(הפחתה[[#This Row],[תאריך]]="",0,הפחתה[[#This Row],[ריבית]]+הפחתה[[#This Row],[קרן]]+הפחתה[[#This Row],[מדד]])</f>
        <v>3327.2508091272157</v>
      </c>
      <c r="I99" s="13">
        <f>IF(הפחתה[[#This Row],[תאריך]]="",0,הפחתה[[#This Row],[יתרת פתיחה]]-הפחתה[[#This Row],[קרן]]+הפחתה[[#This Row],[מדד]])</f>
        <v>518700.02045301447</v>
      </c>
      <c r="J99" s="11">
        <f>IF(הפחתה[[#This Row],[יתרת
סגירה]]&gt;0,LastRow-ROW(),0)</f>
        <v>264</v>
      </c>
      <c r="K99" s="11">
        <f>ROWS($K$4:K99)</f>
        <v>96</v>
      </c>
      <c r="L99" s="12">
        <f>IF(ValuesEntered2,IF(הפחתה5[[#This Row],[מס'']]&lt;=תקופת_ההלוואה2,IF(ROW()-ROW(הפחתה5[[#Headers],[תאריך]])=1,LoanStart2,IF(R98&gt;0,EDATE(L98,1),"")),""),"")</f>
        <v>48274</v>
      </c>
      <c r="M99" s="13">
        <f>IF(ROW()-ROW(הפחתה5[[#Headers],[יתרת פתיחה]])=1,סכום_הלוואה2,IF(הפחתה5[[#This Row],[תאריך]]="",0,INDEX(הפחתה5[], ROW()-4,8)))</f>
        <v>239521.77620837855</v>
      </c>
      <c r="N99" s="13">
        <f>IF(ValuesEntered2,IF(ROW()-ROW(הפחתה5[[#Headers],[ריבית]])=1,-IPMT(שיעור_ריבית2/12,1,תקופת_ההלוואה2-ROWS($L$4:L99)+1,הפחתה5[[#This Row],[יתרת פתיחה]]),IFERROR(-IPMT(שיעור_ריבית2/12,1,הפחתה5[[#This Row],[תשלומים
שנותרו]],M100),0)),0)</f>
        <v>935.136155440876</v>
      </c>
      <c r="O99" s="13">
        <f>IFERROR(IF(AND(ValuesEntered2,הפחתה5[[#This Row],[תאריך]]&lt;&gt;""),-PPMT(שיעור_ריבית2/12,1,תקופת_ההלוואה2-ROWS($L$4:L99)+1,הפחתה5[[#This Row],[יתרת פתיחה]]),""),0)</f>
        <v>763.6088617719098</v>
      </c>
      <c r="P99" s="13">
        <f>(הפחתה5[[#This Row],[יתרת פתיחה]])*(מדד2/12)</f>
        <v>0</v>
      </c>
      <c r="Q99" s="13">
        <f>IF(הפחתה5[[#This Row],[תאריך]]="",0,הפחתה5[[#This Row],[ריבית]]+הפחתה5[[#This Row],[קרן]]+הפחתה5[[#This Row],[מדד]])</f>
        <v>1698.7450172127858</v>
      </c>
      <c r="R99" s="13">
        <f>IF(הפחתה5[[#This Row],[תאריך]]="",0,הפחתה5[[#This Row],[יתרת פתיחה]]-הפחתה5[[#This Row],[קרן]]+הפחתה5[[#This Row],[מדד]])</f>
        <v>238758.16734660664</v>
      </c>
      <c r="S99" s="11">
        <f>IF(הפחתה5[[#This Row],[יתרת
סגירה]]&gt;0,LastRow2-ROW(),0)</f>
        <v>204</v>
      </c>
      <c r="T99" s="11">
        <f>ROWS($T$4:T99)</f>
        <v>96</v>
      </c>
      <c r="U99" s="12">
        <f ca="1">IF(ValuesEntered3,IF(הפחתה7[[#This Row],[מס'']]&lt;=תקופת_ההלוואה3,IF(ROW()-ROW(הפחתה7[[#Headers],[תאריך]])=1,LoanStart3,IF(AA98&gt;0,EDATE(U98,1),"")),""),"")</f>
        <v>48512</v>
      </c>
      <c r="V99" s="13">
        <f ca="1">IF(ROW()-ROW(הפחתה7[[#Headers],[יתרת פתיחה]])=1,סכום_הלוואה3,IF(הפחתה7[[#This Row],[תאריך]]="",0,INDEX(הפחתה7[], ROW()-4,8)))</f>
        <v>87073.183965607284</v>
      </c>
      <c r="W99" s="13">
        <f ca="1">IF(ValuesEntered3,IF(ROW()-ROW(הפחתה7[[#Headers],[ריבית]])=1,-IPMT(שיעור_ריבית3/12,1,תקופת_ההלוואה3-ROWS($C$4:U99)+1,הפחתה7[[#This Row],[יתרת פתיחה]]),IFERROR(-IPMT(שיעור_ריבית3/12,1,הפחתה7[[#This Row],[תשלומים
שנותרו]],V100),0)),0)</f>
        <v>166.50304059885974</v>
      </c>
      <c r="X99" s="13">
        <f ca="1">IFERROR(IF(AND(ValuesEntered3,הפחתה7[[#This Row],[תאריך]]&lt;&gt;""),-PPMT(שיעור_ריבית3/12,1,תקופת_ההלוואה3-ROWS($C$4:U99)+1,הפחתה7[[#This Row],[יתרת פתיחה]]),""),0)</f>
        <v>347.15432208690333</v>
      </c>
      <c r="Y99" s="13">
        <f ca="1">(הפחתה7[[#This Row],[יתרת פתיחה]])*(מדד3/12)</f>
        <v>145.12197327601214</v>
      </c>
      <c r="Z99" s="13">
        <f ca="1">IF(הפחתה7[[#This Row],[תאריך]]="",0,הפחתה7[[#This Row],[ריבית]]+הפחתה7[[#This Row],[קרן]]+הפחתה7[[#This Row],[מדד]])</f>
        <v>658.77933596177513</v>
      </c>
      <c r="AA99" s="13">
        <f ca="1">IF(הפחתה7[[#This Row],[תאריך]]="",0,הפחתה7[[#This Row],[יתרת פתיחה]]-הפחתה7[[#This Row],[קרן]]+הפחתה7[[#This Row],[מדד]])</f>
        <v>86871.151616796385</v>
      </c>
      <c r="AB99" s="11">
        <f ca="1">IF(הפחתה7[[#This Row],[יתרת
סגירה]]&gt;0,LastRow3-ROW(),0)</f>
        <v>204</v>
      </c>
      <c r="AC99" s="17">
        <f>ROWS($AC$4:AC99)</f>
        <v>96</v>
      </c>
      <c r="AD99" s="18" t="str">
        <f ca="1">IF(ValuesEntered4,IF(הפחתה8[[#This Row],[מס'']]&lt;=תקופת_ההלוואה4,IF(ROW()-ROW(הפחתה8[[#Headers],[תאריך]])=1,LoanStart4,IF(AJ98&gt;0,EDATE(AD98,1),"")),""),"")</f>
        <v/>
      </c>
      <c r="AE99" s="19">
        <f ca="1">IF(ROW()-ROW(הפחתה8[[#Headers],[יתרת פתיחה]])=1,סכום_הלוואה4,IF(הפחתה8[[#This Row],[תאריך]]="",0,INDEX(הפחתה8[], ROW()-4,8)))</f>
        <v>0</v>
      </c>
      <c r="AF99" s="19">
        <f ca="1">IF(ValuesEntered4,IF(ROW()-ROW(הפחתה8[[#Headers],[ריבית]])=1,-IPMT(שיעור_ריבית4/12,1,תקופת_ההלוואה4-ROWS($C$4:AD99)+1,הפחתה8[[#This Row],[יתרת פתיחה]]),IFERROR(-IPMT(שיעור_ריבית4/12,1,הפחתה8[[#This Row],[תשלומים
שנותרו]],AE100),0)),0)</f>
        <v>0</v>
      </c>
      <c r="AG99" s="19" t="str">
        <f ca="1">IFERROR(IF(AND(ValuesEntered4,הפחתה8[[#This Row],[תאריך]]&lt;&gt;""),-PPMT(שיעור_ריבית4/12,1,תקופת_ההלוואה4-ROWS($C$4:AD99)+1,הפחתה8[[#This Row],[יתרת פתיחה]]),""),0)</f>
        <v/>
      </c>
      <c r="AH99" s="19">
        <f ca="1">(הפחתה8[[#This Row],[יתרת פתיחה]])*(מדד4/12)</f>
        <v>0</v>
      </c>
      <c r="AI99" s="19">
        <f ca="1">IF(הפחתה8[[#This Row],[תאריך]]="",0,הפחתה8[[#This Row],[ריבית]]+הפחתה8[[#This Row],[קרן]]+הפחתה8[[#This Row],[מדד]])</f>
        <v>0</v>
      </c>
      <c r="AJ99" s="19">
        <f ca="1">IF(הפחתה8[[#This Row],[תאריך]]="",0,הפחתה8[[#This Row],[יתרת פתיחה]]-הפחתה8[[#This Row],[קרן]])</f>
        <v>0</v>
      </c>
      <c r="AK99" s="20">
        <f ca="1">IF(הפחתה8[[#This Row],[יתרת
סגירה]]&gt;0,LastRow4-ROW(),0)</f>
        <v>0</v>
      </c>
    </row>
    <row r="100" spans="1:37" ht="15" customHeight="1" x14ac:dyDescent="0.25">
      <c r="A100" s="8"/>
      <c r="B100" s="11">
        <f>ROWS($B$4:B100)</f>
        <v>97</v>
      </c>
      <c r="C100" s="12">
        <f>IF(ValuesEntered,IF(הפחתה[[#This Row],[מס'']]&lt;=תקופת_ההלוואה,IF(ROW()-ROW(הפחתה[[#Headers],[תאריך]])=1,LoanStart,IF(I99&gt;0,EDATE(C99,1),"")),""),"")</f>
        <v>48305</v>
      </c>
      <c r="D100" s="13">
        <f>IF(ROW()-ROW(הפחתה[[#Headers],[יתרת פתיחה]])=1,סכום_הלוואה,IF(הפחתה[[#This Row],[תאריך]]="",0,INDEX(הפחתה[], ROW()-4,8)))</f>
        <v>518700.02045301447</v>
      </c>
      <c r="E100" s="13">
        <f>IF(ValuesEntered,IF(ROW()-ROW(הפחתה[[#Headers],[ריבית]])=1,-IPMT(שיעור_ריבית/12,1,תקופת_ההלוואה-ROWS($C$4:C100)+1,הפחתה[[#This Row],[יתרת פתיחה]]),IFERROR(-IPMT(שיעור_ריבית/12,1,הפחתה[[#This Row],[תשלומים
שנותרו]],D101),0)),0)</f>
        <v>2286.3277695279216</v>
      </c>
      <c r="F100" s="13">
        <f>IFERROR(IF(AND(ValuesEntered,הפחתה[[#This Row],[תאריך]]&lt;&gt;""),-PPMT(שיעור_ריבית/12,1,תקופת_ההלוואה-ROWS($C$4:C100)+1,הפחתה[[#This Row],[יתרת פתיחה]]),""),0)</f>
        <v>1040.9028240510715</v>
      </c>
      <c r="G100" s="13">
        <f>(הפחתה[[#This Row],[יתרת פתיחה]])*(מדד/12)</f>
        <v>0</v>
      </c>
      <c r="H100" s="13">
        <f>IF(הפחתה[[#This Row],[תאריך]]="",0,הפחתה[[#This Row],[ריבית]]+הפחתה[[#This Row],[קרן]]+הפחתה[[#This Row],[מדד]])</f>
        <v>3327.2305935789932</v>
      </c>
      <c r="I100" s="13">
        <f>IF(הפחתה[[#This Row],[תאריך]]="",0,הפחתה[[#This Row],[יתרת פתיחה]]-הפחתה[[#This Row],[קרן]]+הפחתה[[#This Row],[מדד]])</f>
        <v>517659.11762896337</v>
      </c>
      <c r="J100" s="11">
        <f>IF(הפחתה[[#This Row],[יתרת
סגירה]]&gt;0,LastRow-ROW(),0)</f>
        <v>263</v>
      </c>
      <c r="K100" s="11">
        <f>ROWS($K$4:K100)</f>
        <v>97</v>
      </c>
      <c r="L100" s="12">
        <f>IF(ValuesEntered2,IF(הפחתה5[[#This Row],[מס'']]&lt;=תקופת_ההלוואה2,IF(ROW()-ROW(הפחתה5[[#Headers],[תאריך]])=1,LoanStart2,IF(R99&gt;0,EDATE(L99,1),"")),""),"")</f>
        <v>48305</v>
      </c>
      <c r="M100" s="13">
        <f>IF(ROW()-ROW(הפחתה5[[#Headers],[יתרת פתיחה]])=1,סכום_הלוואה2,IF(הפחתה5[[#This Row],[תאריך]]="",0,INDEX(הפחתה5[], ROW()-4,8)))</f>
        <v>238758.16734660664</v>
      </c>
      <c r="N100" s="13">
        <f>IF(ValuesEntered2,IF(ROW()-ROW(הפחתה5[[#Headers],[ריבית]])=1,-IPMT(שיעור_ריבית2/12,1,תקופת_ההלוואה2-ROWS($L$4:L100)+1,הפחתה5[[#This Row],[יתרת פתיחה]]),IFERROR(-IPMT(שיעור_ריבית2/12,1,הפחתה5[[#This Row],[תשלומים
שנותרו]],M101),0)),0)</f>
        <v>932.1336400935495</v>
      </c>
      <c r="O100" s="13">
        <f>IFERROR(IF(AND(ValuesEntered2,הפחתה5[[#This Row],[תאריך]]&lt;&gt;""),-PPMT(שיעור_ריבית2/12,1,תקופת_ההלוואה2-ROWS($L$4:L100)+1,הפחתה5[[#This Row],[יתרת פתיחה]]),""),0)</f>
        <v>766.59966314718292</v>
      </c>
      <c r="P100" s="13">
        <f>(הפחתה5[[#This Row],[יתרת פתיחה]])*(מדד2/12)</f>
        <v>0</v>
      </c>
      <c r="Q100" s="13">
        <f>IF(הפחתה5[[#This Row],[תאריך]]="",0,הפחתה5[[#This Row],[ריבית]]+הפחתה5[[#This Row],[קרן]]+הפחתה5[[#This Row],[מדד]])</f>
        <v>1698.7333032407323</v>
      </c>
      <c r="R100" s="13">
        <f>IF(הפחתה5[[#This Row],[תאריך]]="",0,הפחתה5[[#This Row],[יתרת פתיחה]]-הפחתה5[[#This Row],[קרן]]+הפחתה5[[#This Row],[מדד]])</f>
        <v>237991.56768345946</v>
      </c>
      <c r="S100" s="11">
        <f>IF(הפחתה5[[#This Row],[יתרת
סגירה]]&gt;0,LastRow2-ROW(),0)</f>
        <v>203</v>
      </c>
      <c r="T100" s="11">
        <f>ROWS($T$4:T100)</f>
        <v>97</v>
      </c>
      <c r="U100" s="12">
        <f ca="1">IF(ValuesEntered3,IF(הפחתה7[[#This Row],[מס'']]&lt;=תקופת_ההלוואה3,IF(ROW()-ROW(הפחתה7[[#Headers],[תאריך]])=1,LoanStart3,IF(AA99&gt;0,EDATE(U99,1),"")),""),"")</f>
        <v>48543</v>
      </c>
      <c r="V100" s="13">
        <f ca="1">IF(ROW()-ROW(הפחתה7[[#Headers],[יתרת פתיחה]])=1,סכום_הלוואה3,IF(הפחתה7[[#This Row],[תאריך]]="",0,INDEX(הפחתה7[], ROW()-4,8)))</f>
        <v>86871.151616796385</v>
      </c>
      <c r="W100" s="13">
        <f ca="1">IF(ValuesEntered3,IF(ROW()-ROW(הפחתה7[[#Headers],[ריבית]])=1,-IPMT(שיעור_ריבית3/12,1,תקופת_ההלוואה3-ROWS($C$4:U100)+1,הפחתה7[[#This Row],[יתרת פתיחה]]),IFERROR(-IPMT(שיעור_ריבית3/12,1,הפחתה7[[#This Row],[תשלומים
שנותרו]],V101),0)),0)</f>
        <v>166.11277570093586</v>
      </c>
      <c r="X100" s="13">
        <f ca="1">IFERROR(IF(AND(ValuesEntered3,הפחתה7[[#This Row],[תאריך]]&lt;&gt;""),-PPMT(שיעור_ריבית3/12,1,תקופת_ההלוואה3-ROWS($C$4:U100)+1,הפחתה7[[#This Row],[יתרת פתיחה]]),""),0)</f>
        <v>348.40172117667743</v>
      </c>
      <c r="Y100" s="13">
        <f ca="1">(הפחתה7[[#This Row],[יתרת פתיחה]])*(מדד3/12)</f>
        <v>144.78525269466064</v>
      </c>
      <c r="Z100" s="13">
        <f ca="1">IF(הפחתה7[[#This Row],[תאריך]]="",0,הפחתה7[[#This Row],[ריבית]]+הפחתה7[[#This Row],[קרן]]+הפחתה7[[#This Row],[מדד]])</f>
        <v>659.29974957227387</v>
      </c>
      <c r="AA100" s="13">
        <f ca="1">IF(הפחתה7[[#This Row],[תאריך]]="",0,הפחתה7[[#This Row],[יתרת פתיחה]]-הפחתה7[[#This Row],[קרן]]+הפחתה7[[#This Row],[מדד]])</f>
        <v>86667.535148314375</v>
      </c>
      <c r="AB100" s="11">
        <f ca="1">IF(הפחתה7[[#This Row],[יתרת
סגירה]]&gt;0,LastRow3-ROW(),0)</f>
        <v>203</v>
      </c>
      <c r="AC100" s="17">
        <f>ROWS($AC$4:AC100)</f>
        <v>97</v>
      </c>
      <c r="AD100" s="18" t="str">
        <f ca="1">IF(ValuesEntered4,IF(הפחתה8[[#This Row],[מס'']]&lt;=תקופת_ההלוואה4,IF(ROW()-ROW(הפחתה8[[#Headers],[תאריך]])=1,LoanStart4,IF(AJ99&gt;0,EDATE(AD99,1),"")),""),"")</f>
        <v/>
      </c>
      <c r="AE100" s="19">
        <f ca="1">IF(ROW()-ROW(הפחתה8[[#Headers],[יתרת פתיחה]])=1,סכום_הלוואה4,IF(הפחתה8[[#This Row],[תאריך]]="",0,INDEX(הפחתה8[], ROW()-4,8)))</f>
        <v>0</v>
      </c>
      <c r="AF100" s="19">
        <f ca="1">IF(ValuesEntered4,IF(ROW()-ROW(הפחתה8[[#Headers],[ריבית]])=1,-IPMT(שיעור_ריבית4/12,1,תקופת_ההלוואה4-ROWS($C$4:AD100)+1,הפחתה8[[#This Row],[יתרת פתיחה]]),IFERROR(-IPMT(שיעור_ריבית4/12,1,הפחתה8[[#This Row],[תשלומים
שנותרו]],AE101),0)),0)</f>
        <v>0</v>
      </c>
      <c r="AG100" s="19" t="str">
        <f ca="1">IFERROR(IF(AND(ValuesEntered4,הפחתה8[[#This Row],[תאריך]]&lt;&gt;""),-PPMT(שיעור_ריבית4/12,1,תקופת_ההלוואה4-ROWS($C$4:AD100)+1,הפחתה8[[#This Row],[יתרת פתיחה]]),""),0)</f>
        <v/>
      </c>
      <c r="AH100" s="19">
        <f ca="1">(הפחתה8[[#This Row],[יתרת פתיחה]])*(מדד4/12)</f>
        <v>0</v>
      </c>
      <c r="AI100" s="19">
        <f ca="1">IF(הפחתה8[[#This Row],[תאריך]]="",0,הפחתה8[[#This Row],[ריבית]]+הפחתה8[[#This Row],[קרן]]+הפחתה8[[#This Row],[מדד]])</f>
        <v>0</v>
      </c>
      <c r="AJ100" s="19">
        <f ca="1">IF(הפחתה8[[#This Row],[תאריך]]="",0,הפחתה8[[#This Row],[יתרת פתיחה]]-הפחתה8[[#This Row],[קרן]])</f>
        <v>0</v>
      </c>
      <c r="AK100" s="20">
        <f ca="1">IF(הפחתה8[[#This Row],[יתרת
סגירה]]&gt;0,LastRow4-ROW(),0)</f>
        <v>0</v>
      </c>
    </row>
    <row r="101" spans="1:37" ht="15" customHeight="1" x14ac:dyDescent="0.25">
      <c r="A101" s="8"/>
      <c r="B101" s="11">
        <f>ROWS($B$4:B101)</f>
        <v>98</v>
      </c>
      <c r="C101" s="12">
        <f>IF(ValuesEntered,IF(הפחתה[[#This Row],[מס'']]&lt;=תקופת_ההלוואה,IF(ROW()-ROW(הפחתה[[#Headers],[תאריך]])=1,LoanStart,IF(I100&gt;0,EDATE(C100,1),"")),""),"")</f>
        <v>48335</v>
      </c>
      <c r="D101" s="13">
        <f>IF(ROW()-ROW(הפחתה[[#Headers],[יתרת פתיחה]])=1,סכום_הלוואה,IF(הפחתה[[#This Row],[תאריך]]="",0,INDEX(הפחתה[], ROW()-4,8)))</f>
        <v>517659.11762896337</v>
      </c>
      <c r="E101" s="13">
        <f>IF(ValuesEntered,IF(ROW()-ROW(הפחתה[[#Headers],[ריבית]])=1,-IPMT(שיעור_ריבית/12,1,תקופת_ההלוואה-ROWS($C$4:C101)+1,הפחתה[[#This Row],[יתרת פתיחה]]),IFERROR(-IPMT(שיעור_ריבית/12,1,הפחתה[[#This Row],[תשלומים
שנותרו]],D102),0)),0)</f>
        <v>2281.7101438881355</v>
      </c>
      <c r="F101" s="13">
        <f>IFERROR(IF(AND(ValuesEntered,הפחתה[[#This Row],[תאריך]]&lt;&gt;""),-PPMT(שיעור_ריבית/12,1,תקופת_ההלוואה-ROWS($C$4:C101)+1,הפחתה[[#This Row],[יתרת פתיחה]]),""),0)</f>
        <v>1045.5001448572968</v>
      </c>
      <c r="G101" s="13">
        <f>(הפחתה[[#This Row],[יתרת פתיחה]])*(מדד/12)</f>
        <v>0</v>
      </c>
      <c r="H101" s="13">
        <f>IF(הפחתה[[#This Row],[תאריך]]="",0,הפחתה[[#This Row],[ריבית]]+הפחתה[[#This Row],[קרן]]+הפחתה[[#This Row],[מדד]])</f>
        <v>3327.2102887454321</v>
      </c>
      <c r="I101" s="13">
        <f>IF(הפחתה[[#This Row],[תאריך]]="",0,הפחתה[[#This Row],[יתרת פתיחה]]-הפחתה[[#This Row],[קרן]]+הפחתה[[#This Row],[מדד]])</f>
        <v>516613.6174841061</v>
      </c>
      <c r="J101" s="11">
        <f>IF(הפחתה[[#This Row],[יתרת
סגירה]]&gt;0,LastRow-ROW(),0)</f>
        <v>262</v>
      </c>
      <c r="K101" s="11">
        <f>ROWS($K$4:K101)</f>
        <v>98</v>
      </c>
      <c r="L101" s="12">
        <f>IF(ValuesEntered2,IF(הפחתה5[[#This Row],[מס'']]&lt;=תקופת_ההלוואה2,IF(ROW()-ROW(הפחתה5[[#Headers],[תאריך]])=1,LoanStart2,IF(R100&gt;0,EDATE(L100,1),"")),""),"")</f>
        <v>48335</v>
      </c>
      <c r="M101" s="13">
        <f>IF(ROW()-ROW(הפחתה5[[#Headers],[יתרת פתיחה]])=1,סכום_הלוואה2,IF(הפחתה5[[#This Row],[תאריך]]="",0,INDEX(הפחתה5[], ROW()-4,8)))</f>
        <v>237991.56768345946</v>
      </c>
      <c r="N101" s="13">
        <f>IF(ValuesEntered2,IF(ROW()-ROW(הפחתה5[[#Headers],[ריבית]])=1,-IPMT(שיעור_ריבית2/12,1,תקופת_ההלוואה2-ROWS($L$4:L101)+1,הפחתה5[[#This Row],[יתרת פתיחה]]),IFERROR(-IPMT(שיעור_ריבית2/12,1,הפחתה5[[#This Row],[תשלומים
שנותרו]],M102),0)),0)</f>
        <v>929.11936489444599</v>
      </c>
      <c r="O101" s="13">
        <f>IFERROR(IF(AND(ValuesEntered2,הפחתה5[[#This Row],[תאריך]]&lt;&gt;""),-PPMT(שיעור_ריבית2/12,1,תקופת_ההלוואה2-ROWS($L$4:L101)+1,הפחתה5[[#This Row],[יתרת פתיחה]]),""),0)</f>
        <v>769.60217849450942</v>
      </c>
      <c r="P101" s="13">
        <f>(הפחתה5[[#This Row],[יתרת פתיחה]])*(מדד2/12)</f>
        <v>0</v>
      </c>
      <c r="Q101" s="13">
        <f>IF(הפחתה5[[#This Row],[תאריך]]="",0,הפחתה5[[#This Row],[ריבית]]+הפחתה5[[#This Row],[קרן]]+הפחתה5[[#This Row],[מדד]])</f>
        <v>1698.7215433889555</v>
      </c>
      <c r="R101" s="13">
        <f>IF(הפחתה5[[#This Row],[תאריך]]="",0,הפחתה5[[#This Row],[יתרת פתיחה]]-הפחתה5[[#This Row],[קרן]]+הפחתה5[[#This Row],[מדד]])</f>
        <v>237221.96550496496</v>
      </c>
      <c r="S101" s="11">
        <f>IF(הפחתה5[[#This Row],[יתרת
סגירה]]&gt;0,LastRow2-ROW(),0)</f>
        <v>202</v>
      </c>
      <c r="T101" s="11">
        <f>ROWS($T$4:T101)</f>
        <v>98</v>
      </c>
      <c r="U101" s="12">
        <f ca="1">IF(ValuesEntered3,IF(הפחתה7[[#This Row],[מס'']]&lt;=תקופת_ההלוואה3,IF(ROW()-ROW(הפחתה7[[#Headers],[תאריך]])=1,LoanStart3,IF(AA100&gt;0,EDATE(U100,1),"")),""),"")</f>
        <v>48573</v>
      </c>
      <c r="V101" s="13">
        <f ca="1">IF(ROW()-ROW(הפחתה7[[#Headers],[יתרת פתיחה]])=1,סכום_הלוואה3,IF(הפחתה7[[#This Row],[תאריך]]="",0,INDEX(הפחתה7[], ROW()-4,8)))</f>
        <v>86667.535148314375</v>
      </c>
      <c r="W101" s="13">
        <f ca="1">IF(ValuesEntered3,IF(ROW()-ROW(הפחתה7[[#Headers],[ריבית]])=1,-IPMT(שיעור_ריבית3/12,1,תקופת_ההלוואה3-ROWS($C$4:U101)+1,הפחתה7[[#This Row],[יתרת פתיחה]]),IFERROR(-IPMT(שיעור_ריבית3/12,1,הפחתה7[[#This Row],[תשלומים
שנותרו]],V102),0)),0)</f>
        <v>165.71946089587232</v>
      </c>
      <c r="X101" s="13">
        <f ca="1">IFERROR(IF(AND(ValuesEntered3,הפחתה7[[#This Row],[תאריך]]&lt;&gt;""),-PPMT(שיעור_ריבית3/12,1,תקופת_ההלוואה3-ROWS($C$4:U101)+1,הפחתה7[[#This Row],[יתרת פתיחה]]),""),0)</f>
        <v>349.65361629483004</v>
      </c>
      <c r="Y101" s="13">
        <f ca="1">(הפחתה7[[#This Row],[יתרת פתיחה]])*(מדד3/12)</f>
        <v>144.44589191385731</v>
      </c>
      <c r="Z101" s="13">
        <f ca="1">IF(הפחתה7[[#This Row],[תאריך]]="",0,הפחתה7[[#This Row],[ריבית]]+הפחתה7[[#This Row],[קרן]]+הפחתה7[[#This Row],[מדד]])</f>
        <v>659.81896910455964</v>
      </c>
      <c r="AA101" s="13">
        <f ca="1">IF(הפחתה7[[#This Row],[תאריך]]="",0,הפחתה7[[#This Row],[יתרת פתיחה]]-הפחתה7[[#This Row],[קרן]]+הפחתה7[[#This Row],[מדד]])</f>
        <v>86462.327423933399</v>
      </c>
      <c r="AB101" s="11">
        <f ca="1">IF(הפחתה7[[#This Row],[יתרת
סגירה]]&gt;0,LastRow3-ROW(),0)</f>
        <v>202</v>
      </c>
      <c r="AC101" s="17">
        <f>ROWS($AC$4:AC101)</f>
        <v>98</v>
      </c>
      <c r="AD101" s="18" t="str">
        <f ca="1">IF(ValuesEntered4,IF(הפחתה8[[#This Row],[מס'']]&lt;=תקופת_ההלוואה4,IF(ROW()-ROW(הפחתה8[[#Headers],[תאריך]])=1,LoanStart4,IF(AJ100&gt;0,EDATE(AD100,1),"")),""),"")</f>
        <v/>
      </c>
      <c r="AE101" s="19">
        <f ca="1">IF(ROW()-ROW(הפחתה8[[#Headers],[יתרת פתיחה]])=1,סכום_הלוואה4,IF(הפחתה8[[#This Row],[תאריך]]="",0,INDEX(הפחתה8[], ROW()-4,8)))</f>
        <v>0</v>
      </c>
      <c r="AF101" s="19">
        <f ca="1">IF(ValuesEntered4,IF(ROW()-ROW(הפחתה8[[#Headers],[ריבית]])=1,-IPMT(שיעור_ריבית4/12,1,תקופת_ההלוואה4-ROWS($C$4:AD101)+1,הפחתה8[[#This Row],[יתרת פתיחה]]),IFERROR(-IPMT(שיעור_ריבית4/12,1,הפחתה8[[#This Row],[תשלומים
שנותרו]],AE102),0)),0)</f>
        <v>0</v>
      </c>
      <c r="AG101" s="19" t="str">
        <f ca="1">IFERROR(IF(AND(ValuesEntered4,הפחתה8[[#This Row],[תאריך]]&lt;&gt;""),-PPMT(שיעור_ריבית4/12,1,תקופת_ההלוואה4-ROWS($C$4:AD101)+1,הפחתה8[[#This Row],[יתרת פתיחה]]),""),0)</f>
        <v/>
      </c>
      <c r="AH101" s="19">
        <f ca="1">(הפחתה8[[#This Row],[יתרת פתיחה]])*(מדד4/12)</f>
        <v>0</v>
      </c>
      <c r="AI101" s="19">
        <f ca="1">IF(הפחתה8[[#This Row],[תאריך]]="",0,הפחתה8[[#This Row],[ריבית]]+הפחתה8[[#This Row],[קרן]]+הפחתה8[[#This Row],[מדד]])</f>
        <v>0</v>
      </c>
      <c r="AJ101" s="19">
        <f ca="1">IF(הפחתה8[[#This Row],[תאריך]]="",0,הפחתה8[[#This Row],[יתרת פתיחה]]-הפחתה8[[#This Row],[קרן]])</f>
        <v>0</v>
      </c>
      <c r="AK101" s="20">
        <f ca="1">IF(הפחתה8[[#This Row],[יתרת
סגירה]]&gt;0,LastRow4-ROW(),0)</f>
        <v>0</v>
      </c>
    </row>
    <row r="102" spans="1:37" ht="15" customHeight="1" x14ac:dyDescent="0.25">
      <c r="A102" s="8"/>
      <c r="B102" s="11">
        <f>ROWS($B$4:B102)</f>
        <v>99</v>
      </c>
      <c r="C102" s="12">
        <f>IF(ValuesEntered,IF(הפחתה[[#This Row],[מס'']]&lt;=תקופת_ההלוואה,IF(ROW()-ROW(הפחתה[[#Headers],[תאריך]])=1,LoanStart,IF(I101&gt;0,EDATE(C101,1),"")),""),"")</f>
        <v>48366</v>
      </c>
      <c r="D102" s="13">
        <f>IF(ROW()-ROW(הפחתה[[#Headers],[יתרת פתיחה]])=1,סכום_הלוואה,IF(הפחתה[[#This Row],[תאריך]]="",0,INDEX(הפחתה[], ROW()-4,8)))</f>
        <v>516613.6174841061</v>
      </c>
      <c r="E102" s="13">
        <f>IF(ValuesEntered,IF(ROW()-ROW(הפחתה[[#Headers],[ריבית]])=1,-IPMT(שיעור_ריבית/12,1,תקופת_ההלוואה-ROWS($C$4:C102)+1,הפחתה[[#This Row],[יתרת פתיחה]]),IFERROR(-IPMT(שיעור_ריבית/12,1,הפחתה[[#This Row],[תשלומים
שנותרו]],D103),0)),0)</f>
        <v>2277.0721237351067</v>
      </c>
      <c r="F102" s="13">
        <f>IFERROR(IF(AND(ValuesEntered,הפחתה[[#This Row],[תאריך]]&lt;&gt;""),-PPMT(שיעור_ריבית/12,1,תקופת_ההלוואה-ROWS($C$4:C102)+1,הפחתה[[#This Row],[יתרת פתיחה]]),""),0)</f>
        <v>1050.1177704970835</v>
      </c>
      <c r="G102" s="13">
        <f>(הפחתה[[#This Row],[יתרת פתיחה]])*(מדד/12)</f>
        <v>0</v>
      </c>
      <c r="H102" s="13">
        <f>IF(הפחתה[[#This Row],[תאריך]]="",0,הפחתה[[#This Row],[ריבית]]+הפחתה[[#This Row],[קרן]]+הפחתה[[#This Row],[מדד]])</f>
        <v>3327.1898942321905</v>
      </c>
      <c r="I102" s="13">
        <f>IF(הפחתה[[#This Row],[תאריך]]="",0,הפחתה[[#This Row],[יתרת פתיחה]]-הפחתה[[#This Row],[קרן]]+הפחתה[[#This Row],[מדד]])</f>
        <v>515563.499713609</v>
      </c>
      <c r="J102" s="11">
        <f>IF(הפחתה[[#This Row],[יתרת
סגירה]]&gt;0,LastRow-ROW(),0)</f>
        <v>261</v>
      </c>
      <c r="K102" s="11">
        <f>ROWS($K$4:K102)</f>
        <v>99</v>
      </c>
      <c r="L102" s="12">
        <f>IF(ValuesEntered2,IF(הפחתה5[[#This Row],[מס'']]&lt;=תקופת_ההלוואה2,IF(ROW()-ROW(הפחתה5[[#Headers],[תאריך]])=1,LoanStart2,IF(R101&gt;0,EDATE(L101,1),"")),""),"")</f>
        <v>48366</v>
      </c>
      <c r="M102" s="13">
        <f>IF(ROW()-ROW(הפחתה5[[#Headers],[יתרת פתיחה]])=1,סכום_הלוואה2,IF(הפחתה5[[#This Row],[תאריך]]="",0,INDEX(הפחתה5[], ROW()-4,8)))</f>
        <v>237221.96550496496</v>
      </c>
      <c r="N102" s="13">
        <f>IF(ValuesEntered2,IF(ROW()-ROW(הפחתה5[[#Headers],[ריבית]])=1,-IPMT(שיעור_ריבית2/12,1,תקופת_ההלוואה2-ROWS($L$4:L102)+1,הפחתה5[[#This Row],[יתרת פתיחה]]),IFERROR(-IPMT(שיעור_ריבית2/12,1,הפחתה5[[#This Row],[תשלומים
שנותרו]],M103),0)),0)</f>
        <v>926.09328378414602</v>
      </c>
      <c r="O102" s="13">
        <f>IFERROR(IF(AND(ValuesEntered2,הפחתה5[[#This Row],[תאריך]]&lt;&gt;""),-PPMT(שיעור_ריבית2/12,1,תקופת_ההלוואה2-ROWS($L$4:L102)+1,הפחתה5[[#This Row],[יתרת פתיחה]]),""),0)</f>
        <v>772.61645369361304</v>
      </c>
      <c r="P102" s="13">
        <f>(הפחתה5[[#This Row],[יתרת פתיחה]])*(מדד2/12)</f>
        <v>0</v>
      </c>
      <c r="Q102" s="13">
        <f>IF(הפחתה5[[#This Row],[תאריך]]="",0,הפחתה5[[#This Row],[ריבית]]+הפחתה5[[#This Row],[קרן]]+הפחתה5[[#This Row],[מדד]])</f>
        <v>1698.7097374777591</v>
      </c>
      <c r="R102" s="13">
        <f>IF(הפחתה5[[#This Row],[תאריך]]="",0,הפחתה5[[#This Row],[יתרת פתיחה]]-הפחתה5[[#This Row],[קרן]]+הפחתה5[[#This Row],[מדד]])</f>
        <v>236449.34905127133</v>
      </c>
      <c r="S102" s="11">
        <f>IF(הפחתה5[[#This Row],[יתרת
סגירה]]&gt;0,LastRow2-ROW(),0)</f>
        <v>201</v>
      </c>
      <c r="T102" s="11">
        <f>ROWS($T$4:T102)</f>
        <v>99</v>
      </c>
      <c r="U102" s="12">
        <f ca="1">IF(ValuesEntered3,IF(הפחתה7[[#This Row],[מס'']]&lt;=תקופת_ההלוואה3,IF(ROW()-ROW(הפחתה7[[#Headers],[תאריך]])=1,LoanStart3,IF(AA101&gt;0,EDATE(U101,1),"")),""),"")</f>
        <v>48604</v>
      </c>
      <c r="V102" s="13">
        <f ca="1">IF(ROW()-ROW(הפחתה7[[#Headers],[יתרת פתיחה]])=1,סכום_הלוואה3,IF(הפחתה7[[#This Row],[תאריך]]="",0,INDEX(הפחתה7[], ROW()-4,8)))</f>
        <v>86462.327423933399</v>
      </c>
      <c r="W102" s="13">
        <f ca="1">IF(ValuesEntered3,IF(ROW()-ROW(הפחתה7[[#Headers],[ריבית]])=1,-IPMT(שיעור_ריבית3/12,1,תקופת_ההלוואה3-ROWS($C$4:U102)+1,הפחתה7[[#This Row],[יתרת פתיחה]]),IFERROR(-IPMT(שיעור_ריבית3/12,1,הפחתה7[[#This Row],[תשלומים
שנותרו]],V103),0)),0)</f>
        <v>165.32308245168059</v>
      </c>
      <c r="X102" s="13">
        <f ca="1">IFERROR(IF(AND(ValuesEntered3,הפחתה7[[#This Row],[תאריך]]&lt;&gt;""),-PPMT(שיעור_ריבית3/12,1,תקופת_ההלוואה3-ROWS($C$4:U102)+1,הפחתה7[[#This Row],[יתרת פתיחה]]),""),0)</f>
        <v>350.91002383559032</v>
      </c>
      <c r="Y102" s="13">
        <f ca="1">(הפחתה7[[#This Row],[יתרת פתיחה]])*(מדד3/12)</f>
        <v>144.10387903988899</v>
      </c>
      <c r="Z102" s="13">
        <f ca="1">IF(הפחתה7[[#This Row],[תאריך]]="",0,הפחתה7[[#This Row],[ריבית]]+הפחתה7[[#This Row],[קרן]]+הפחתה7[[#This Row],[מדד]])</f>
        <v>660.33698532715982</v>
      </c>
      <c r="AA102" s="13">
        <f ca="1">IF(הפחתה7[[#This Row],[תאריך]]="",0,הפחתה7[[#This Row],[יתרת פתיחה]]-הפחתה7[[#This Row],[קרן]]+הפחתה7[[#This Row],[מדד]])</f>
        <v>86255.521279137698</v>
      </c>
      <c r="AB102" s="11">
        <f ca="1">IF(הפחתה7[[#This Row],[יתרת
סגירה]]&gt;0,LastRow3-ROW(),0)</f>
        <v>201</v>
      </c>
      <c r="AC102" s="17">
        <f>ROWS($AC$4:AC102)</f>
        <v>99</v>
      </c>
      <c r="AD102" s="18" t="str">
        <f ca="1">IF(ValuesEntered4,IF(הפחתה8[[#This Row],[מס'']]&lt;=תקופת_ההלוואה4,IF(ROW()-ROW(הפחתה8[[#Headers],[תאריך]])=1,LoanStart4,IF(AJ101&gt;0,EDATE(AD101,1),"")),""),"")</f>
        <v/>
      </c>
      <c r="AE102" s="19">
        <f ca="1">IF(ROW()-ROW(הפחתה8[[#Headers],[יתרת פתיחה]])=1,סכום_הלוואה4,IF(הפחתה8[[#This Row],[תאריך]]="",0,INDEX(הפחתה8[], ROW()-4,8)))</f>
        <v>0</v>
      </c>
      <c r="AF102" s="19">
        <f ca="1">IF(ValuesEntered4,IF(ROW()-ROW(הפחתה8[[#Headers],[ריבית]])=1,-IPMT(שיעור_ריבית4/12,1,תקופת_ההלוואה4-ROWS($C$4:AD102)+1,הפחתה8[[#This Row],[יתרת פתיחה]]),IFERROR(-IPMT(שיעור_ריבית4/12,1,הפחתה8[[#This Row],[תשלומים
שנותרו]],AE103),0)),0)</f>
        <v>0</v>
      </c>
      <c r="AG102" s="19" t="str">
        <f ca="1">IFERROR(IF(AND(ValuesEntered4,הפחתה8[[#This Row],[תאריך]]&lt;&gt;""),-PPMT(שיעור_ריבית4/12,1,תקופת_ההלוואה4-ROWS($C$4:AD102)+1,הפחתה8[[#This Row],[יתרת פתיחה]]),""),0)</f>
        <v/>
      </c>
      <c r="AH102" s="19">
        <f ca="1">(הפחתה8[[#This Row],[יתרת פתיחה]])*(מדד4/12)</f>
        <v>0</v>
      </c>
      <c r="AI102" s="19">
        <f ca="1">IF(הפחתה8[[#This Row],[תאריך]]="",0,הפחתה8[[#This Row],[ריבית]]+הפחתה8[[#This Row],[קרן]]+הפחתה8[[#This Row],[מדד]])</f>
        <v>0</v>
      </c>
      <c r="AJ102" s="19">
        <f ca="1">IF(הפחתה8[[#This Row],[תאריך]]="",0,הפחתה8[[#This Row],[יתרת פתיחה]]-הפחתה8[[#This Row],[קרן]])</f>
        <v>0</v>
      </c>
      <c r="AK102" s="20">
        <f ca="1">IF(הפחתה8[[#This Row],[יתרת
סגירה]]&gt;0,LastRow4-ROW(),0)</f>
        <v>0</v>
      </c>
    </row>
    <row r="103" spans="1:37" ht="15" customHeight="1" x14ac:dyDescent="0.25">
      <c r="A103" s="8"/>
      <c r="B103" s="11">
        <f>ROWS($B$4:B103)</f>
        <v>100</v>
      </c>
      <c r="C103" s="12">
        <f>IF(ValuesEntered,IF(הפחתה[[#This Row],[מס'']]&lt;=תקופת_ההלוואה,IF(ROW()-ROW(הפחתה[[#Headers],[תאריך]])=1,LoanStart,IF(I102&gt;0,EDATE(C102,1),"")),""),"")</f>
        <v>48396</v>
      </c>
      <c r="D103" s="13">
        <f>IF(ROW()-ROW(הפחתה[[#Headers],[יתרת פתיחה]])=1,סכום_הלוואה,IF(הפחתה[[#This Row],[תאריך]]="",0,INDEX(הפחתה[], ROW()-4,8)))</f>
        <v>515563.499713609</v>
      </c>
      <c r="E103" s="13">
        <f>IF(ValuesEntered,IF(ROW()-ROW(הפחתה[[#Headers],[ריבית]])=1,-IPMT(שיעור_ריבית/12,1,תקופת_ההלוואה-ROWS($C$4:C103)+1,הפחתה[[#This Row],[יתרת פתיחה]]),IFERROR(-IPMT(שיעור_ריבית/12,1,הפחתה[[#This Row],[תשלומים
שנותרו]],D104),0)),0)</f>
        <v>2272.4136189930687</v>
      </c>
      <c r="F103" s="13">
        <f>IFERROR(IF(AND(ValuesEntered,הפחתה[[#This Row],[תאריך]]&lt;&gt;""),-PPMT(שיעור_ריבית/12,1,תקופת_ההלוואה-ROWS($C$4:C103)+1,הפחתה[[#This Row],[יתרת פתיחה]]),""),0)</f>
        <v>1054.7557906501122</v>
      </c>
      <c r="G103" s="13">
        <f>(הפחתה[[#This Row],[יתרת פתיחה]])*(מדד/12)</f>
        <v>0</v>
      </c>
      <c r="H103" s="13">
        <f>IF(הפחתה[[#This Row],[תאריך]]="",0,הפחתה[[#This Row],[ריבית]]+הפחתה[[#This Row],[קרן]]+הפחתה[[#This Row],[מדד]])</f>
        <v>3327.1694096431811</v>
      </c>
      <c r="I103" s="13">
        <f>IF(הפחתה[[#This Row],[תאריך]]="",0,הפחתה[[#This Row],[יתרת פתיחה]]-הפחתה[[#This Row],[קרן]]+הפחתה[[#This Row],[מדד]])</f>
        <v>514508.74392295891</v>
      </c>
      <c r="J103" s="11">
        <f>IF(הפחתה[[#This Row],[יתרת
סגירה]]&gt;0,LastRow-ROW(),0)</f>
        <v>260</v>
      </c>
      <c r="K103" s="11">
        <f>ROWS($K$4:K103)</f>
        <v>100</v>
      </c>
      <c r="L103" s="12">
        <f>IF(ValuesEntered2,IF(הפחתה5[[#This Row],[מס'']]&lt;=תקופת_ההלוואה2,IF(ROW()-ROW(הפחתה5[[#Headers],[תאריך]])=1,LoanStart2,IF(R102&gt;0,EDATE(L102,1),"")),""),"")</f>
        <v>48396</v>
      </c>
      <c r="M103" s="13">
        <f>IF(ROW()-ROW(הפחתה5[[#Headers],[יתרת פתיחה]])=1,סכום_הלוואה2,IF(הפחתה5[[#This Row],[תאריך]]="",0,INDEX(הפחתה5[], ROW()-4,8)))</f>
        <v>236449.34905127133</v>
      </c>
      <c r="N103" s="13">
        <f>IF(ValuesEntered2,IF(ROW()-ROW(הפחתה5[[#Headers],[ריבית]])=1,-IPMT(שיעור_ריבית2/12,1,תקופת_ההלוואה2-ROWS($L$4:L103)+1,הפחתה5[[#This Row],[יתרת פתיחה]]),IFERROR(-IPMT(שיעור_ריבית2/12,1,הפחתה5[[#This Row],[תשלומים
שנותרו]],M104),0)),0)</f>
        <v>923.05535052283062</v>
      </c>
      <c r="O103" s="13">
        <f>IFERROR(IF(AND(ValuesEntered2,הפחתה5[[#This Row],[תאריך]]&lt;&gt;""),-PPMT(שיעור_ריבית2/12,1,תקופת_ההלוואה2-ROWS($L$4:L103)+1,הפחתה5[[#This Row],[יתרת פתיחה]]),""),0)</f>
        <v>775.64253480391278</v>
      </c>
      <c r="P103" s="13">
        <f>(הפחתה5[[#This Row],[יתרת פתיחה]])*(מדד2/12)</f>
        <v>0</v>
      </c>
      <c r="Q103" s="13">
        <f>IF(הפחתה5[[#This Row],[תאריך]]="",0,הפחתה5[[#This Row],[ריבית]]+הפחתה5[[#This Row],[קרן]]+הפחתה5[[#This Row],[מדד]])</f>
        <v>1698.6978853267433</v>
      </c>
      <c r="R103" s="13">
        <f>IF(הפחתה5[[#This Row],[תאריך]]="",0,הפחתה5[[#This Row],[יתרת פתיחה]]-הפחתה5[[#This Row],[קרן]]+הפחתה5[[#This Row],[מדד]])</f>
        <v>235673.70651646741</v>
      </c>
      <c r="S103" s="11">
        <f>IF(הפחתה5[[#This Row],[יתרת
סגירה]]&gt;0,LastRow2-ROW(),0)</f>
        <v>200</v>
      </c>
      <c r="T103" s="11">
        <f>ROWS($T$4:T103)</f>
        <v>100</v>
      </c>
      <c r="U103" s="12">
        <f ca="1">IF(ValuesEntered3,IF(הפחתה7[[#This Row],[מס'']]&lt;=תקופת_ההלוואה3,IF(ROW()-ROW(הפחתה7[[#Headers],[תאריך]])=1,LoanStart3,IF(AA102&gt;0,EDATE(U102,1),"")),""),"")</f>
        <v>48635</v>
      </c>
      <c r="V103" s="13">
        <f ca="1">IF(ROW()-ROW(הפחתה7[[#Headers],[יתרת פתיחה]])=1,סכום_הלוואה3,IF(הפחתה7[[#This Row],[תאריך]]="",0,INDEX(הפחתה7[], ROW()-4,8)))</f>
        <v>86255.521279137698</v>
      </c>
      <c r="W103" s="13">
        <f ca="1">IF(ValuesEntered3,IF(ROW()-ROW(הפחתה7[[#Headers],[ריבית]])=1,-IPMT(שיעור_ריבית3/12,1,תקופת_ההלוואה3-ROWS($C$4:U103)+1,הפחתה7[[#This Row],[יתרת פתיחה]]),IFERROR(-IPMT(שיעור_ריבית3/12,1,הפחתה7[[#This Row],[תשלומים
שנותרו]],V104),0)),0)</f>
        <v>164.92362658194227</v>
      </c>
      <c r="X103" s="13">
        <f ca="1">IFERROR(IF(AND(ValuesEntered3,הפחתה7[[#This Row],[תאריך]]&lt;&gt;""),-PPMT(שיעור_ריבית3/12,1,תקופת_ההלוואה3-ROWS($C$4:U103)+1,הפחתה7[[#This Row],[יתרת פתיחה]]),""),0)</f>
        <v>352.17096025622652</v>
      </c>
      <c r="Y103" s="13">
        <f ca="1">(הפחתה7[[#This Row],[יתרת פתיחה]])*(מדד3/12)</f>
        <v>143.75920213189616</v>
      </c>
      <c r="Z103" s="13">
        <f ca="1">IF(הפחתה7[[#This Row],[תאריך]]="",0,הפחתה7[[#This Row],[ריבית]]+הפחתה7[[#This Row],[קרן]]+הפחתה7[[#This Row],[מדד]])</f>
        <v>660.8537889700649</v>
      </c>
      <c r="AA103" s="13">
        <f ca="1">IF(הפחתה7[[#This Row],[תאריך]]="",0,הפחתה7[[#This Row],[יתרת פתיחה]]-הפחתה7[[#This Row],[קרן]]+הפחתה7[[#This Row],[מדד]])</f>
        <v>86047.109521013364</v>
      </c>
      <c r="AB103" s="11">
        <f ca="1">IF(הפחתה7[[#This Row],[יתרת
סגירה]]&gt;0,LastRow3-ROW(),0)</f>
        <v>200</v>
      </c>
      <c r="AC103" s="17">
        <f>ROWS($AC$4:AC103)</f>
        <v>100</v>
      </c>
      <c r="AD103" s="18" t="str">
        <f ca="1">IF(ValuesEntered4,IF(הפחתה8[[#This Row],[מס'']]&lt;=תקופת_ההלוואה4,IF(ROW()-ROW(הפחתה8[[#Headers],[תאריך]])=1,LoanStart4,IF(AJ102&gt;0,EDATE(AD102,1),"")),""),"")</f>
        <v/>
      </c>
      <c r="AE103" s="19">
        <f ca="1">IF(ROW()-ROW(הפחתה8[[#Headers],[יתרת פתיחה]])=1,סכום_הלוואה4,IF(הפחתה8[[#This Row],[תאריך]]="",0,INDEX(הפחתה8[], ROW()-4,8)))</f>
        <v>0</v>
      </c>
      <c r="AF103" s="19">
        <f ca="1">IF(ValuesEntered4,IF(ROW()-ROW(הפחתה8[[#Headers],[ריבית]])=1,-IPMT(שיעור_ריבית4/12,1,תקופת_ההלוואה4-ROWS($C$4:AD103)+1,הפחתה8[[#This Row],[יתרת פתיחה]]),IFERROR(-IPMT(שיעור_ריבית4/12,1,הפחתה8[[#This Row],[תשלומים
שנותרו]],AE104),0)),0)</f>
        <v>0</v>
      </c>
      <c r="AG103" s="19" t="str">
        <f ca="1">IFERROR(IF(AND(ValuesEntered4,הפחתה8[[#This Row],[תאריך]]&lt;&gt;""),-PPMT(שיעור_ריבית4/12,1,תקופת_ההלוואה4-ROWS($C$4:AD103)+1,הפחתה8[[#This Row],[יתרת פתיחה]]),""),0)</f>
        <v/>
      </c>
      <c r="AH103" s="19">
        <f ca="1">(הפחתה8[[#This Row],[יתרת פתיחה]])*(מדד4/12)</f>
        <v>0</v>
      </c>
      <c r="AI103" s="19">
        <f ca="1">IF(הפחתה8[[#This Row],[תאריך]]="",0,הפחתה8[[#This Row],[ריבית]]+הפחתה8[[#This Row],[קרן]]+הפחתה8[[#This Row],[מדד]])</f>
        <v>0</v>
      </c>
      <c r="AJ103" s="19">
        <f ca="1">IF(הפחתה8[[#This Row],[תאריך]]="",0,הפחתה8[[#This Row],[יתרת פתיחה]]-הפחתה8[[#This Row],[קרן]])</f>
        <v>0</v>
      </c>
      <c r="AK103" s="20">
        <f ca="1">IF(הפחתה8[[#This Row],[יתרת
סגירה]]&gt;0,LastRow4-ROW(),0)</f>
        <v>0</v>
      </c>
    </row>
    <row r="104" spans="1:37" ht="15" customHeight="1" x14ac:dyDescent="0.25">
      <c r="A104" s="8"/>
      <c r="B104" s="11">
        <f>ROWS($B$4:B104)</f>
        <v>101</v>
      </c>
      <c r="C104" s="12">
        <f>IF(ValuesEntered,IF(הפחתה[[#This Row],[מס'']]&lt;=תקופת_ההלוואה,IF(ROW()-ROW(הפחתה[[#Headers],[תאריך]])=1,LoanStart,IF(I103&gt;0,EDATE(C103,1),"")),""),"")</f>
        <v>48427</v>
      </c>
      <c r="D104" s="13">
        <f>IF(ROW()-ROW(הפחתה[[#Headers],[יתרת פתיחה]])=1,סכום_הלוואה,IF(הפחתה[[#This Row],[תאריך]]="",0,INDEX(הפחתה[], ROW()-4,8)))</f>
        <v>514508.74392295891</v>
      </c>
      <c r="E104" s="13">
        <f>IF(ValuesEntered,IF(ROW()-ROW(הפחתה[[#Headers],[ריבית]])=1,-IPMT(שיעור_ריבית/12,1,תקופת_ההלוואה-ROWS($C$4:C104)+1,הפחתה[[#This Row],[יתרת פתיחה]]),IFERROR(-IPMT(שיעור_ריבית/12,1,הפחתה[[#This Row],[תשלומים
שנותרו]],D105),0)),0)</f>
        <v>2267.7345391884196</v>
      </c>
      <c r="F104" s="13">
        <f>IFERROR(IF(AND(ValuesEntered,הפחתה[[#This Row],[תאריך]]&lt;&gt;""),-PPMT(שיעור_ריבית/12,1,תקופת_ההלוואה-ROWS($C$4:C104)+1,הפחתה[[#This Row],[יתרת פתיחה]]),""),0)</f>
        <v>1059.4142953921503</v>
      </c>
      <c r="G104" s="13">
        <f>(הפחתה[[#This Row],[יתרת פתיחה]])*(מדד/12)</f>
        <v>0</v>
      </c>
      <c r="H104" s="13">
        <f>IF(הפחתה[[#This Row],[תאריך]]="",0,הפחתה[[#This Row],[ריבית]]+הפחתה[[#This Row],[קרן]]+הפחתה[[#This Row],[מדד]])</f>
        <v>3327.1488345805701</v>
      </c>
      <c r="I104" s="13">
        <f>IF(הפחתה[[#This Row],[תאריך]]="",0,הפחתה[[#This Row],[יתרת פתיחה]]-הפחתה[[#This Row],[קרן]]+הפחתה[[#This Row],[מדד]])</f>
        <v>513449.32962756674</v>
      </c>
      <c r="J104" s="11">
        <f>IF(הפחתה[[#This Row],[יתרת
סגירה]]&gt;0,LastRow-ROW(),0)</f>
        <v>259</v>
      </c>
      <c r="K104" s="11">
        <f>ROWS($K$4:K104)</f>
        <v>101</v>
      </c>
      <c r="L104" s="12">
        <f>IF(ValuesEntered2,IF(הפחתה5[[#This Row],[מס'']]&lt;=תקופת_ההלוואה2,IF(ROW()-ROW(הפחתה5[[#Headers],[תאריך]])=1,LoanStart2,IF(R103&gt;0,EDATE(L103,1),"")),""),"")</f>
        <v>48427</v>
      </c>
      <c r="M104" s="13">
        <f>IF(ROW()-ROW(הפחתה5[[#Headers],[יתרת פתיחה]])=1,סכום_הלוואה2,IF(הפחתה5[[#This Row],[תאריך]]="",0,INDEX(הפחתה5[], ROW()-4,8)))</f>
        <v>235673.70651646741</v>
      </c>
      <c r="N104" s="13">
        <f>IF(ValuesEntered2,IF(ROW()-ROW(הפחתה5[[#Headers],[ריבית]])=1,-IPMT(שיעור_ריבית2/12,1,תקופת_ההלוואה2-ROWS($L$4:L104)+1,הפחתה5[[#This Row],[יתרת פתיחה]]),IFERROR(-IPMT(שיעור_ריבית2/12,1,הפחתה5[[#This Row],[תשלומים
שנותרו]],M105),0)),0)</f>
        <v>920.00551868957518</v>
      </c>
      <c r="O104" s="13">
        <f>IFERROR(IF(AND(ValuesEntered2,הפחתה5[[#This Row],[תאריך]]&lt;&gt;""),-PPMT(שיעור_ריבית2/12,1,תקופת_ההלוואה2-ROWS($L$4:L104)+1,הפחתה5[[#This Row],[יתרת פתיחה]]),""),0)</f>
        <v>778.6804680652283</v>
      </c>
      <c r="P104" s="13">
        <f>(הפחתה5[[#This Row],[יתרת פתיחה]])*(מדד2/12)</f>
        <v>0</v>
      </c>
      <c r="Q104" s="13">
        <f>IF(הפחתה5[[#This Row],[תאריך]]="",0,הפחתה5[[#This Row],[ריבית]]+הפחתה5[[#This Row],[קרן]]+הפחתה5[[#This Row],[מדד]])</f>
        <v>1698.6859867548035</v>
      </c>
      <c r="R104" s="13">
        <f>IF(הפחתה5[[#This Row],[תאריך]]="",0,הפחתה5[[#This Row],[יתרת פתיחה]]-הפחתה5[[#This Row],[קרן]]+הפחתה5[[#This Row],[מדד]])</f>
        <v>234895.02604840219</v>
      </c>
      <c r="S104" s="11">
        <f>IF(הפחתה5[[#This Row],[יתרת
סגירה]]&gt;0,LastRow2-ROW(),0)</f>
        <v>199</v>
      </c>
      <c r="T104" s="11">
        <f>ROWS($T$4:T104)</f>
        <v>101</v>
      </c>
      <c r="U104" s="12">
        <f ca="1">IF(ValuesEntered3,IF(הפחתה7[[#This Row],[מס'']]&lt;=תקופת_ההלוואה3,IF(ROW()-ROW(הפחתה7[[#Headers],[תאריך]])=1,LoanStart3,IF(AA103&gt;0,EDATE(U103,1),"")),""),"")</f>
        <v>48663</v>
      </c>
      <c r="V104" s="13">
        <f ca="1">IF(ROW()-ROW(הפחתה7[[#Headers],[יתרת פתיחה]])=1,סכום_הלוואה3,IF(הפחתה7[[#This Row],[תאריך]]="",0,INDEX(הפחתה7[], ROW()-4,8)))</f>
        <v>86047.109521013364</v>
      </c>
      <c r="W104" s="13">
        <f ca="1">IF(ValuesEntered3,IF(ROW()-ROW(הפחתה7[[#Headers],[ריבית]])=1,-IPMT(שיעור_ריבית3/12,1,תקופת_ההלוואה3-ROWS($C$4:U104)+1,הפחתה7[[#This Row],[יתרת פתיחה]]),IFERROR(-IPMT(שיעור_ריבית3/12,1,הפחתה7[[#This Row],[תשלומים
שנותרו]],V105),0)),0)</f>
        <v>164.52107944559722</v>
      </c>
      <c r="X104" s="13">
        <f ca="1">IFERROR(IF(AND(ValuesEntered3,הפחתה7[[#This Row],[תאריך]]&lt;&gt;""),-PPMT(שיעור_ריבית3/12,1,תקופת_ההלוואה3-ROWS($C$4:U104)+1,הפחתה7[[#This Row],[יתרת פתיחה]]),""),0)</f>
        <v>353.43644207735713</v>
      </c>
      <c r="Y104" s="13">
        <f ca="1">(הפחתה7[[#This Row],[יתרת פתיחה]])*(מדד3/12)</f>
        <v>143.41184920168894</v>
      </c>
      <c r="Z104" s="13">
        <f ca="1">IF(הפחתה7[[#This Row],[תאריך]]="",0,הפחתה7[[#This Row],[ריבית]]+הפחתה7[[#This Row],[קרן]]+הפחתה7[[#This Row],[מדד]])</f>
        <v>661.36937072464332</v>
      </c>
      <c r="AA104" s="13">
        <f ca="1">IF(הפחתה7[[#This Row],[תאריך]]="",0,הפחתה7[[#This Row],[יתרת פתיחה]]-הפחתה7[[#This Row],[קרן]]+הפחתה7[[#This Row],[מדד]])</f>
        <v>85837.084928137687</v>
      </c>
      <c r="AB104" s="11">
        <f ca="1">IF(הפחתה7[[#This Row],[יתרת
סגירה]]&gt;0,LastRow3-ROW(),0)</f>
        <v>199</v>
      </c>
      <c r="AC104" s="17">
        <f>ROWS($AC$4:AC104)</f>
        <v>101</v>
      </c>
      <c r="AD104" s="18" t="str">
        <f ca="1">IF(ValuesEntered4,IF(הפחתה8[[#This Row],[מס'']]&lt;=תקופת_ההלוואה4,IF(ROW()-ROW(הפחתה8[[#Headers],[תאריך]])=1,LoanStart4,IF(AJ103&gt;0,EDATE(AD103,1),"")),""),"")</f>
        <v/>
      </c>
      <c r="AE104" s="19">
        <f ca="1">IF(ROW()-ROW(הפחתה8[[#Headers],[יתרת פתיחה]])=1,סכום_הלוואה4,IF(הפחתה8[[#This Row],[תאריך]]="",0,INDEX(הפחתה8[], ROW()-4,8)))</f>
        <v>0</v>
      </c>
      <c r="AF104" s="19">
        <f ca="1">IF(ValuesEntered4,IF(ROW()-ROW(הפחתה8[[#Headers],[ריבית]])=1,-IPMT(שיעור_ריבית4/12,1,תקופת_ההלוואה4-ROWS($C$4:AD104)+1,הפחתה8[[#This Row],[יתרת פתיחה]]),IFERROR(-IPMT(שיעור_ריבית4/12,1,הפחתה8[[#This Row],[תשלומים
שנותרו]],AE105),0)),0)</f>
        <v>0</v>
      </c>
      <c r="AG104" s="19" t="str">
        <f ca="1">IFERROR(IF(AND(ValuesEntered4,הפחתה8[[#This Row],[תאריך]]&lt;&gt;""),-PPMT(שיעור_ריבית4/12,1,תקופת_ההלוואה4-ROWS($C$4:AD104)+1,הפחתה8[[#This Row],[יתרת פתיחה]]),""),0)</f>
        <v/>
      </c>
      <c r="AH104" s="19">
        <f ca="1">(הפחתה8[[#This Row],[יתרת פתיחה]])*(מדד4/12)</f>
        <v>0</v>
      </c>
      <c r="AI104" s="19">
        <f ca="1">IF(הפחתה8[[#This Row],[תאריך]]="",0,הפחתה8[[#This Row],[ריבית]]+הפחתה8[[#This Row],[קרן]]+הפחתה8[[#This Row],[מדד]])</f>
        <v>0</v>
      </c>
      <c r="AJ104" s="19">
        <f ca="1">IF(הפחתה8[[#This Row],[תאריך]]="",0,הפחתה8[[#This Row],[יתרת פתיחה]]-הפחתה8[[#This Row],[קרן]])</f>
        <v>0</v>
      </c>
      <c r="AK104" s="20">
        <f ca="1">IF(הפחתה8[[#This Row],[יתרת
סגירה]]&gt;0,LastRow4-ROW(),0)</f>
        <v>0</v>
      </c>
    </row>
    <row r="105" spans="1:37" ht="15" customHeight="1" x14ac:dyDescent="0.25">
      <c r="A105" s="8"/>
      <c r="B105" s="11">
        <f>ROWS($B$4:B105)</f>
        <v>102</v>
      </c>
      <c r="C105" s="12">
        <f>IF(ValuesEntered,IF(הפחתה[[#This Row],[מס'']]&lt;=תקופת_ההלוואה,IF(ROW()-ROW(הפחתה[[#Headers],[תאריך]])=1,LoanStart,IF(I104&gt;0,EDATE(C104,1),"")),""),"")</f>
        <v>48458</v>
      </c>
      <c r="D105" s="13">
        <f>IF(ROW()-ROW(הפחתה[[#Headers],[יתרת פתיחה]])=1,סכום_הלוואה,IF(הפחתה[[#This Row],[תאריך]]="",0,INDEX(הפחתה[], ROW()-4,8)))</f>
        <v>513449.32962756674</v>
      </c>
      <c r="E105" s="13">
        <f>IF(ValuesEntered,IF(ROW()-ROW(הפחתה[[#Headers],[ריבית]])=1,-IPMT(שיעור_ריבית/12,1,תקופת_ההלוואה-ROWS($C$4:C105)+1,הפחתה[[#This Row],[יתרת פתיחה]]),IFERROR(-IPMT(שיעור_ריבית/12,1,הפחתה[[#This Row],[תשלומים
שנותרו]],D106),0)),0)</f>
        <v>2263.0347934479673</v>
      </c>
      <c r="F105" s="13">
        <f>IFERROR(IF(AND(ValuesEntered,הפחתה[[#This Row],[תאריך]]&lt;&gt;""),-PPMT(שיעור_ריבית/12,1,תקופת_ההלוואה-ROWS($C$4:C105)+1,הפחתה[[#This Row],[יתרת פתיחה]]),""),0)</f>
        <v>1064.0933751967987</v>
      </c>
      <c r="G105" s="13">
        <f>(הפחתה[[#This Row],[יתרת פתיחה]])*(מדד/12)</f>
        <v>0</v>
      </c>
      <c r="H105" s="13">
        <f>IF(הפחתה[[#This Row],[תאריך]]="",0,הפחתה[[#This Row],[ריבית]]+הפחתה[[#This Row],[קרן]]+הפחתה[[#This Row],[מדד]])</f>
        <v>3327.128168644766</v>
      </c>
      <c r="I105" s="13">
        <f>IF(הפחתה[[#This Row],[תאריך]]="",0,הפחתה[[#This Row],[יתרת פתיחה]]-הפחתה[[#This Row],[קרן]]+הפחתה[[#This Row],[מדד]])</f>
        <v>512385.23625236994</v>
      </c>
      <c r="J105" s="11">
        <f>IF(הפחתה[[#This Row],[יתרת
סגירה]]&gt;0,LastRow-ROW(),0)</f>
        <v>258</v>
      </c>
      <c r="K105" s="11">
        <f>ROWS($K$4:K105)</f>
        <v>102</v>
      </c>
      <c r="L105" s="12">
        <f>IF(ValuesEntered2,IF(הפחתה5[[#This Row],[מס'']]&lt;=תקופת_ההלוואה2,IF(ROW()-ROW(הפחתה5[[#Headers],[תאריך]])=1,LoanStart2,IF(R104&gt;0,EDATE(L104,1),"")),""),"")</f>
        <v>48458</v>
      </c>
      <c r="M105" s="13">
        <f>IF(ROW()-ROW(הפחתה5[[#Headers],[יתרת פתיחה]])=1,סכום_הלוואה2,IF(הפחתה5[[#This Row],[תאריך]]="",0,INDEX(הפחתה5[], ROW()-4,8)))</f>
        <v>234895.02604840219</v>
      </c>
      <c r="N105" s="13">
        <f>IF(ValuesEntered2,IF(ROW()-ROW(הפחתה5[[#Headers],[ריבית]])=1,-IPMT(שיעור_ריבית2/12,1,תקופת_ההלוואה2-ROWS($L$4:L105)+1,הפחתה5[[#This Row],[יתרת פתיחה]]),IFERROR(-IPMT(שיעור_ריבית2/12,1,הפחתה5[[#This Row],[תשלומים
שנותרו]],M106),0)),0)</f>
        <v>916.94374168163949</v>
      </c>
      <c r="O105" s="13">
        <f>IFERROR(IF(AND(ValuesEntered2,הפחתה5[[#This Row],[תאריך]]&lt;&gt;""),-PPMT(שיעור_ריבית2/12,1,תקופת_ההלוואה2-ROWS($L$4:L105)+1,הפחתה5[[#This Row],[יתרת פתיחה]]),""),0)</f>
        <v>781.73029989848385</v>
      </c>
      <c r="P105" s="13">
        <f>(הפחתה5[[#This Row],[יתרת פתיחה]])*(מדד2/12)</f>
        <v>0</v>
      </c>
      <c r="Q105" s="13">
        <f>IF(הפחתה5[[#This Row],[תאריך]]="",0,הפחתה5[[#This Row],[ריבית]]+הפחתה5[[#This Row],[קרן]]+הפחתה5[[#This Row],[מדד]])</f>
        <v>1698.6740415801232</v>
      </c>
      <c r="R105" s="13">
        <f>IF(הפחתה5[[#This Row],[תאריך]]="",0,הפחתה5[[#This Row],[יתרת פתיחה]]-הפחתה5[[#This Row],[קרן]]+הפחתה5[[#This Row],[מדד]])</f>
        <v>234113.2957485037</v>
      </c>
      <c r="S105" s="11">
        <f>IF(הפחתה5[[#This Row],[יתרת
סגירה]]&gt;0,LastRow2-ROW(),0)</f>
        <v>198</v>
      </c>
      <c r="T105" s="11">
        <f>ROWS($T$4:T105)</f>
        <v>102</v>
      </c>
      <c r="U105" s="12">
        <f ca="1">IF(ValuesEntered3,IF(הפחתה7[[#This Row],[מס'']]&lt;=תקופת_ההלוואה3,IF(ROW()-ROW(הפחתה7[[#Headers],[תאריך]])=1,LoanStart3,IF(AA104&gt;0,EDATE(U104,1),"")),""),"")</f>
        <v>48694</v>
      </c>
      <c r="V105" s="13">
        <f ca="1">IF(ROW()-ROW(הפחתה7[[#Headers],[יתרת פתיחה]])=1,סכום_הלוואה3,IF(הפחתה7[[#This Row],[תאריך]]="",0,INDEX(הפחתה7[], ROW()-4,8)))</f>
        <v>85837.084928137687</v>
      </c>
      <c r="W105" s="13">
        <f ca="1">IF(ValuesEntered3,IF(ROW()-ROW(הפחתה7[[#Headers],[ריבית]])=1,-IPMT(שיעור_ריבית3/12,1,תקופת_ההלוואה3-ROWS($C$4:U105)+1,הפחתה7[[#This Row],[יתרת פתיחה]]),IFERROR(-IPMT(שיעור_ריבית3/12,1,הפחתה7[[#This Row],[תשלומים
שנותרו]],V106),0)),0)</f>
        <v>164.1154271467303</v>
      </c>
      <c r="X105" s="13">
        <f ca="1">IFERROR(IF(AND(ValuesEntered3,הפחתה7[[#This Row],[תאריך]]&lt;&gt;""),-PPMT(שיעור_ריבית3/12,1,תקופת_ההלוואה3-ROWS($C$4:U105)+1,הפחתה7[[#This Row],[יתרת פתיחה]]),""),0)</f>
        <v>354.70648588326685</v>
      </c>
      <c r="Y105" s="13">
        <f ca="1">(הפחתה7[[#This Row],[יתרת פתיחה]])*(מדד3/12)</f>
        <v>143.06180821356281</v>
      </c>
      <c r="Z105" s="13">
        <f ca="1">IF(הפחתה7[[#This Row],[תאריך]]="",0,הפחתה7[[#This Row],[ריבית]]+הפחתה7[[#This Row],[קרן]]+הפחתה7[[#This Row],[מדד]])</f>
        <v>661.88372124355999</v>
      </c>
      <c r="AA105" s="13">
        <f ca="1">IF(הפחתה7[[#This Row],[תאריך]]="",0,הפחתה7[[#This Row],[יתרת פתיחה]]-הפחתה7[[#This Row],[קרן]]+הפחתה7[[#This Row],[מדד]])</f>
        <v>85625.440250467989</v>
      </c>
      <c r="AB105" s="11">
        <f ca="1">IF(הפחתה7[[#This Row],[יתרת
סגירה]]&gt;0,LastRow3-ROW(),0)</f>
        <v>198</v>
      </c>
      <c r="AC105" s="17">
        <f>ROWS($AC$4:AC105)</f>
        <v>102</v>
      </c>
      <c r="AD105" s="18" t="str">
        <f ca="1">IF(ValuesEntered4,IF(הפחתה8[[#This Row],[מס'']]&lt;=תקופת_ההלוואה4,IF(ROW()-ROW(הפחתה8[[#Headers],[תאריך]])=1,LoanStart4,IF(AJ104&gt;0,EDATE(AD104,1),"")),""),"")</f>
        <v/>
      </c>
      <c r="AE105" s="19">
        <f ca="1">IF(ROW()-ROW(הפחתה8[[#Headers],[יתרת פתיחה]])=1,סכום_הלוואה4,IF(הפחתה8[[#This Row],[תאריך]]="",0,INDEX(הפחתה8[], ROW()-4,8)))</f>
        <v>0</v>
      </c>
      <c r="AF105" s="19">
        <f ca="1">IF(ValuesEntered4,IF(ROW()-ROW(הפחתה8[[#Headers],[ריבית]])=1,-IPMT(שיעור_ריבית4/12,1,תקופת_ההלוואה4-ROWS($C$4:AD105)+1,הפחתה8[[#This Row],[יתרת פתיחה]]),IFERROR(-IPMT(שיעור_ריבית4/12,1,הפחתה8[[#This Row],[תשלומים
שנותרו]],AE106),0)),0)</f>
        <v>0</v>
      </c>
      <c r="AG105" s="19" t="str">
        <f ca="1">IFERROR(IF(AND(ValuesEntered4,הפחתה8[[#This Row],[תאריך]]&lt;&gt;""),-PPMT(שיעור_ריבית4/12,1,תקופת_ההלוואה4-ROWS($C$4:AD105)+1,הפחתה8[[#This Row],[יתרת פתיחה]]),""),0)</f>
        <v/>
      </c>
      <c r="AH105" s="19">
        <f ca="1">(הפחתה8[[#This Row],[יתרת פתיחה]])*(מדד4/12)</f>
        <v>0</v>
      </c>
      <c r="AI105" s="19">
        <f ca="1">IF(הפחתה8[[#This Row],[תאריך]]="",0,הפחתה8[[#This Row],[ריבית]]+הפחתה8[[#This Row],[קרן]]+הפחתה8[[#This Row],[מדד]])</f>
        <v>0</v>
      </c>
      <c r="AJ105" s="19">
        <f ca="1">IF(הפחתה8[[#This Row],[תאריך]]="",0,הפחתה8[[#This Row],[יתרת פתיחה]]-הפחתה8[[#This Row],[קרן]])</f>
        <v>0</v>
      </c>
      <c r="AK105" s="20">
        <f ca="1">IF(הפחתה8[[#This Row],[יתרת
סגירה]]&gt;0,LastRow4-ROW(),0)</f>
        <v>0</v>
      </c>
    </row>
    <row r="106" spans="1:37" ht="15" customHeight="1" x14ac:dyDescent="0.25">
      <c r="A106" s="8"/>
      <c r="B106" s="11">
        <f>ROWS($B$4:B106)</f>
        <v>103</v>
      </c>
      <c r="C106" s="12">
        <f>IF(ValuesEntered,IF(הפחתה[[#This Row],[מס'']]&lt;=תקופת_ההלוואה,IF(ROW()-ROW(הפחתה[[#Headers],[תאריך]])=1,LoanStart,IF(I105&gt;0,EDATE(C105,1),"")),""),"")</f>
        <v>48488</v>
      </c>
      <c r="D106" s="13">
        <f>IF(ROW()-ROW(הפחתה[[#Headers],[יתרת פתיחה]])=1,סכום_הלוואה,IF(הפחתה[[#This Row],[תאריך]]="",0,INDEX(הפחתה[], ROW()-4,8)))</f>
        <v>512385.23625236994</v>
      </c>
      <c r="E106" s="13">
        <f>IF(ValuesEntered,IF(ROW()-ROW(הפחתה[[#Headers],[ריבית]])=1,-IPMT(שיעור_ריבית/12,1,תקופת_ההלוואה-ROWS($C$4:C106)+1,הפחתה[[#This Row],[יתרת פתיחה]]),IFERROR(-IPMT(שיעור_ריבית/12,1,הפחתה[[#This Row],[תשלומים
שנותרו]],D107),0)),0)</f>
        <v>2258.314290497161</v>
      </c>
      <c r="F106" s="13">
        <f>IFERROR(IF(AND(ValuesEntered,הפחתה[[#This Row],[תאריך]]&lt;&gt;""),-PPMT(שיעור_ריבית/12,1,תקופת_ההלוואה-ROWS($C$4:C106)+1,הפחתה[[#This Row],[יתרת פתיחה]]),""),0)</f>
        <v>1068.7931209372514</v>
      </c>
      <c r="G106" s="13">
        <f>(הפחתה[[#This Row],[יתרת פתיחה]])*(מדד/12)</f>
        <v>0</v>
      </c>
      <c r="H106" s="13">
        <f>IF(הפחתה[[#This Row],[תאריך]]="",0,הפחתה[[#This Row],[ריבית]]+הפחתה[[#This Row],[קרן]]+הפחתה[[#This Row],[מדד]])</f>
        <v>3327.1074114344124</v>
      </c>
      <c r="I106" s="13">
        <f>IF(הפחתה[[#This Row],[תאריך]]="",0,הפחתה[[#This Row],[יתרת פתיחה]]-הפחתה[[#This Row],[קרן]]+הפחתה[[#This Row],[מדד]])</f>
        <v>511316.44313143269</v>
      </c>
      <c r="J106" s="11">
        <f>IF(הפחתה[[#This Row],[יתרת
סגירה]]&gt;0,LastRow-ROW(),0)</f>
        <v>257</v>
      </c>
      <c r="K106" s="11">
        <f>ROWS($K$4:K106)</f>
        <v>103</v>
      </c>
      <c r="L106" s="12">
        <f>IF(ValuesEntered2,IF(הפחתה5[[#This Row],[מס'']]&lt;=תקופת_ההלוואה2,IF(ROW()-ROW(הפחתה5[[#Headers],[תאריך]])=1,LoanStart2,IF(R105&gt;0,EDATE(L105,1),"")),""),"")</f>
        <v>48488</v>
      </c>
      <c r="M106" s="13">
        <f>IF(ROW()-ROW(הפחתה5[[#Headers],[יתרת פתיחה]])=1,סכום_הלוואה2,IF(הפחתה5[[#This Row],[תאריך]]="",0,INDEX(הפחתה5[], ROW()-4,8)))</f>
        <v>234113.2957485037</v>
      </c>
      <c r="N106" s="13">
        <f>IF(ValuesEntered2,IF(ROW()-ROW(הפחתה5[[#Headers],[ריבית]])=1,-IPMT(שיעור_ריבית2/12,1,תקופת_ההלוואה2-ROWS($L$4:L106)+1,הפחתה5[[#This Row],[יתרת פתיחה]]),IFERROR(-IPMT(שיעור_ריבית2/12,1,הפחתה5[[#This Row],[תשלומים
שנותרו]],M107),0)),0)</f>
        <v>913.86997271375594</v>
      </c>
      <c r="O106" s="13">
        <f>IFERROR(IF(AND(ValuesEntered2,הפחתה5[[#This Row],[תאריך]]&lt;&gt;""),-PPMT(שיעור_ריבית2/12,1,תקופת_ההלוואה2-ROWS($L$4:L106)+1,הפחתה5[[#This Row],[יתרת פתיחה]]),""),0)</f>
        <v>784.79207690641942</v>
      </c>
      <c r="P106" s="13">
        <f>(הפחתה5[[#This Row],[יתרת פתיחה]])*(מדד2/12)</f>
        <v>0</v>
      </c>
      <c r="Q106" s="13">
        <f>IF(הפחתה5[[#This Row],[תאריך]]="",0,הפחתה5[[#This Row],[ריבית]]+הפחתה5[[#This Row],[קרן]]+הפחתה5[[#This Row],[מדד]])</f>
        <v>1698.6620496201754</v>
      </c>
      <c r="R106" s="13">
        <f>IF(הפחתה5[[#This Row],[תאריך]]="",0,הפחתה5[[#This Row],[יתרת פתיחה]]-הפחתה5[[#This Row],[קרן]]+הפחתה5[[#This Row],[מדד]])</f>
        <v>233328.50367159728</v>
      </c>
      <c r="S106" s="11">
        <f>IF(הפחתה5[[#This Row],[יתרת
סגירה]]&gt;0,LastRow2-ROW(),0)</f>
        <v>197</v>
      </c>
      <c r="T106" s="11">
        <f>ROWS($T$4:T106)</f>
        <v>103</v>
      </c>
      <c r="U106" s="12">
        <f ca="1">IF(ValuesEntered3,IF(הפחתה7[[#This Row],[מס'']]&lt;=תקופת_ההלוואה3,IF(ROW()-ROW(הפחתה7[[#Headers],[תאריך]])=1,LoanStart3,IF(AA105&gt;0,EDATE(U105,1),"")),""),"")</f>
        <v>48724</v>
      </c>
      <c r="V106" s="13">
        <f ca="1">IF(ROW()-ROW(הפחתה7[[#Headers],[יתרת פתיחה]])=1,סכום_הלוואה3,IF(הפחתה7[[#This Row],[תאריך]]="",0,INDEX(הפחתה7[], ROW()-4,8)))</f>
        <v>85625.440250467989</v>
      </c>
      <c r="W106" s="13">
        <f ca="1">IF(ValuesEntered3,IF(ROW()-ROW(הפחתה7[[#Headers],[ריבית]])=1,-IPMT(שיעור_ריבית3/12,1,תקופת_ההלוואה3-ROWS($C$4:U106)+1,הפחתה7[[#This Row],[יתרת פתיחה]]),IFERROR(-IPMT(שיעור_ריבית3/12,1,הפחתה7[[#This Row],[תשלומים
שנותרו]],V107),0)),0)</f>
        <v>163.70665573435724</v>
      </c>
      <c r="X106" s="13">
        <f ca="1">IFERROR(IF(AND(ValuesEntered3,הפחתה7[[#This Row],[תאריך]]&lt;&gt;""),-PPMT(שיעור_ריבית3/12,1,תקופת_ההלוואה3-ROWS($C$4:U106)+1,הפחתה7[[#This Row],[יתרת פתיחה]]),""),0)</f>
        <v>355.98110832222471</v>
      </c>
      <c r="Y106" s="13">
        <f ca="1">(הפחתה7[[#This Row],[יתרת פתיחה]])*(מדד3/12)</f>
        <v>142.70906708411331</v>
      </c>
      <c r="Z106" s="13">
        <f ca="1">IF(הפחתה7[[#This Row],[תאריך]]="",0,הפחתה7[[#This Row],[ריבית]]+הפחתה7[[#This Row],[קרן]]+הפחתה7[[#This Row],[מדד]])</f>
        <v>662.39683114069521</v>
      </c>
      <c r="AA106" s="13">
        <f ca="1">IF(הפחתה7[[#This Row],[תאריך]]="",0,הפחתה7[[#This Row],[יתרת פתיחה]]-הפחתה7[[#This Row],[קרן]]+הפחתה7[[#This Row],[מדד]])</f>
        <v>85412.168209229872</v>
      </c>
      <c r="AB106" s="11">
        <f ca="1">IF(הפחתה7[[#This Row],[יתרת
סגירה]]&gt;0,LastRow3-ROW(),0)</f>
        <v>197</v>
      </c>
      <c r="AC106" s="17">
        <f>ROWS($AC$4:AC106)</f>
        <v>103</v>
      </c>
      <c r="AD106" s="18" t="str">
        <f ca="1">IF(ValuesEntered4,IF(הפחתה8[[#This Row],[מס'']]&lt;=תקופת_ההלוואה4,IF(ROW()-ROW(הפחתה8[[#Headers],[תאריך]])=1,LoanStart4,IF(AJ105&gt;0,EDATE(AD105,1),"")),""),"")</f>
        <v/>
      </c>
      <c r="AE106" s="19">
        <f ca="1">IF(ROW()-ROW(הפחתה8[[#Headers],[יתרת פתיחה]])=1,סכום_הלוואה4,IF(הפחתה8[[#This Row],[תאריך]]="",0,INDEX(הפחתה8[], ROW()-4,8)))</f>
        <v>0</v>
      </c>
      <c r="AF106" s="19">
        <f ca="1">IF(ValuesEntered4,IF(ROW()-ROW(הפחתה8[[#Headers],[ריבית]])=1,-IPMT(שיעור_ריבית4/12,1,תקופת_ההלוואה4-ROWS($C$4:AD106)+1,הפחתה8[[#This Row],[יתרת פתיחה]]),IFERROR(-IPMT(שיעור_ריבית4/12,1,הפחתה8[[#This Row],[תשלומים
שנותרו]],AE107),0)),0)</f>
        <v>0</v>
      </c>
      <c r="AG106" s="19" t="str">
        <f ca="1">IFERROR(IF(AND(ValuesEntered4,הפחתה8[[#This Row],[תאריך]]&lt;&gt;""),-PPMT(שיעור_ריבית4/12,1,תקופת_ההלוואה4-ROWS($C$4:AD106)+1,הפחתה8[[#This Row],[יתרת פתיחה]]),""),0)</f>
        <v/>
      </c>
      <c r="AH106" s="19">
        <f ca="1">(הפחתה8[[#This Row],[יתרת פתיחה]])*(מדד4/12)</f>
        <v>0</v>
      </c>
      <c r="AI106" s="19">
        <f ca="1">IF(הפחתה8[[#This Row],[תאריך]]="",0,הפחתה8[[#This Row],[ריבית]]+הפחתה8[[#This Row],[קרן]]+הפחתה8[[#This Row],[מדד]])</f>
        <v>0</v>
      </c>
      <c r="AJ106" s="19">
        <f ca="1">IF(הפחתה8[[#This Row],[תאריך]]="",0,הפחתה8[[#This Row],[יתרת פתיחה]]-הפחתה8[[#This Row],[קרן]])</f>
        <v>0</v>
      </c>
      <c r="AK106" s="20">
        <f ca="1">IF(הפחתה8[[#This Row],[יתרת
סגירה]]&gt;0,LastRow4-ROW(),0)</f>
        <v>0</v>
      </c>
    </row>
    <row r="107" spans="1:37" ht="15" customHeight="1" x14ac:dyDescent="0.25">
      <c r="A107" s="8"/>
      <c r="B107" s="11">
        <f>ROWS($B$4:B107)</f>
        <v>104</v>
      </c>
      <c r="C107" s="12">
        <f>IF(ValuesEntered,IF(הפחתה[[#This Row],[מס'']]&lt;=תקופת_ההלוואה,IF(ROW()-ROW(הפחתה[[#Headers],[תאריך]])=1,LoanStart,IF(I106&gt;0,EDATE(C106,1),"")),""),"")</f>
        <v>48519</v>
      </c>
      <c r="D107" s="13">
        <f>IF(ROW()-ROW(הפחתה[[#Headers],[יתרת פתיחה]])=1,סכום_הלוואה,IF(הפחתה[[#This Row],[תאריך]]="",0,INDEX(הפחתה[], ROW()-4,8)))</f>
        <v>511316.44313143269</v>
      </c>
      <c r="E107" s="13">
        <f>IF(ValuesEntered,IF(ROW()-ROW(הפחתה[[#Headers],[ריבית]])=1,-IPMT(שיעור_ריבית/12,1,תקופת_ההלוואה-ROWS($C$4:C107)+1,הפחתה[[#This Row],[יתרת פתיחה]]),IFERROR(-IPMT(שיעור_ריבית/12,1,הפחתה[[#This Row],[תשלומים
שנותרו]],D108),0)),0)</f>
        <v>2253.5729386583221</v>
      </c>
      <c r="F107" s="13">
        <f>IFERROR(IF(AND(ValuesEntered,הפחתה[[#This Row],[תאריך]]&lt;&gt;""),-PPMT(שיעור_ריבית/12,1,תקופת_ההלוואה-ROWS($C$4:C107)+1,הפחתה[[#This Row],[יתרת פתיחה]]),""),0)</f>
        <v>1073.5136238880577</v>
      </c>
      <c r="G107" s="13">
        <f>(הפחתה[[#This Row],[יתרת פתיחה]])*(מדד/12)</f>
        <v>0</v>
      </c>
      <c r="H107" s="13">
        <f>IF(הפחתה[[#This Row],[תאריך]]="",0,הפחתה[[#This Row],[ריבית]]+הפחתה[[#This Row],[קרן]]+הפחתה[[#This Row],[מדד]])</f>
        <v>3327.0865625463798</v>
      </c>
      <c r="I107" s="13">
        <f>IF(הפחתה[[#This Row],[תאריך]]="",0,הפחתה[[#This Row],[יתרת פתיחה]]-הפחתה[[#This Row],[קרן]]+הפחתה[[#This Row],[מדד]])</f>
        <v>510242.92950754461</v>
      </c>
      <c r="J107" s="11">
        <f>IF(הפחתה[[#This Row],[יתרת
סגירה]]&gt;0,LastRow-ROW(),0)</f>
        <v>256</v>
      </c>
      <c r="K107" s="11">
        <f>ROWS($K$4:K107)</f>
        <v>104</v>
      </c>
      <c r="L107" s="12">
        <f>IF(ValuesEntered2,IF(הפחתה5[[#This Row],[מס'']]&lt;=תקופת_ההלוואה2,IF(ROW()-ROW(הפחתה5[[#Headers],[תאריך]])=1,LoanStart2,IF(R106&gt;0,EDATE(L106,1),"")),""),"")</f>
        <v>48519</v>
      </c>
      <c r="M107" s="13">
        <f>IF(ROW()-ROW(הפחתה5[[#Headers],[יתרת פתיחה]])=1,סכום_הלוואה2,IF(הפחתה5[[#This Row],[תאריך]]="",0,INDEX(הפחתה5[], ROW()-4,8)))</f>
        <v>233328.50367159728</v>
      </c>
      <c r="N107" s="13">
        <f>IF(ValuesEntered2,IF(ROW()-ROW(הפחתה5[[#Headers],[ריבית]])=1,-IPMT(שיעור_ריבית2/12,1,תקופת_ההלוואה2-ROWS($L$4:L107)+1,הפחתה5[[#This Row],[יתרת פתיחה]]),IFERROR(-IPMT(שיעור_ריבית2/12,1,הפחתה5[[#This Row],[תשלומים
שנותרו]],M108),0)),0)</f>
        <v>910.78416481741499</v>
      </c>
      <c r="O107" s="13">
        <f>IFERROR(IF(AND(ValuesEntered2,הפחתה5[[#This Row],[תאריך]]&lt;&gt;""),-PPMT(שיעור_ריבית2/12,1,תקופת_ההלוואה2-ROWS($L$4:L107)+1,הפחתה5[[#This Row],[יתרת פתיחה]]),""),0)</f>
        <v>787.86584587430298</v>
      </c>
      <c r="P107" s="13">
        <f>(הפחתה5[[#This Row],[יתרת פתיחה]])*(מדד2/12)</f>
        <v>0</v>
      </c>
      <c r="Q107" s="13">
        <f>IF(הפחתה5[[#This Row],[תאריך]]="",0,הפחתה5[[#This Row],[ריבית]]+הפחתה5[[#This Row],[קרן]]+הפחתה5[[#This Row],[מדד]])</f>
        <v>1698.6500106917179</v>
      </c>
      <c r="R107" s="13">
        <f>IF(הפחתה5[[#This Row],[תאריך]]="",0,הפחתה5[[#This Row],[יתרת פתיחה]]-הפחתה5[[#This Row],[קרן]]+הפחתה5[[#This Row],[מדד]])</f>
        <v>232540.63782572298</v>
      </c>
      <c r="S107" s="11">
        <f>IF(הפחתה5[[#This Row],[יתרת
סגירה]]&gt;0,LastRow2-ROW(),0)</f>
        <v>196</v>
      </c>
      <c r="T107" s="11">
        <f>ROWS($T$4:T107)</f>
        <v>104</v>
      </c>
      <c r="U107" s="12">
        <f ca="1">IF(ValuesEntered3,IF(הפחתה7[[#This Row],[מס'']]&lt;=תקופת_ההלוואה3,IF(ROW()-ROW(הפחתה7[[#Headers],[תאריך]])=1,LoanStart3,IF(AA106&gt;0,EDATE(U106,1),"")),""),"")</f>
        <v>48755</v>
      </c>
      <c r="V107" s="13">
        <f ca="1">IF(ROW()-ROW(הפחתה7[[#Headers],[יתרת פתיחה]])=1,סכום_הלוואה3,IF(הפחתה7[[#This Row],[תאריך]]="",0,INDEX(הפחתה7[], ROW()-4,8)))</f>
        <v>85412.168209229872</v>
      </c>
      <c r="W107" s="13">
        <f ca="1">IF(ValuesEntered3,IF(ROW()-ROW(הפחתה7[[#Headers],[ריבית]])=1,-IPMT(שיעור_ריבית3/12,1,תקופת_ההלוואה3-ROWS($C$4:U107)+1,הפחתה7[[#This Row],[יתרת פתיחה]]),IFERROR(-IPMT(שיעור_ריבית3/12,1,הפחתה7[[#This Row],[תשלומים
שנותרו]],V108),0)),0)</f>
        <v>163.2947512022098</v>
      </c>
      <c r="X107" s="13">
        <f ca="1">IFERROR(IF(AND(ValuesEntered3,הפחתה7[[#This Row],[תאריך]]&lt;&gt;""),-PPMT(שיעור_ריבית3/12,1,תקופת_ההלוואה3-ROWS($C$4:U107)+1,הפחתה7[[#This Row],[יתרת פתיחה]]),""),0)</f>
        <v>357.26032610680613</v>
      </c>
      <c r="Y107" s="13">
        <f ca="1">(הפחתה7[[#This Row],[יתרת פתיחה]])*(מדד3/12)</f>
        <v>142.3536136820498</v>
      </c>
      <c r="Z107" s="13">
        <f ca="1">IF(הפחתה7[[#This Row],[תאריך]]="",0,הפחתה7[[#This Row],[ריבית]]+הפחתה7[[#This Row],[קרן]]+הפחתה7[[#This Row],[מדד]])</f>
        <v>662.90869099106567</v>
      </c>
      <c r="AA107" s="13">
        <f ca="1">IF(הפחתה7[[#This Row],[תאריך]]="",0,הפחתה7[[#This Row],[יתרת פתיחה]]-הפחתה7[[#This Row],[קרן]]+הפחתה7[[#This Row],[מדד]])</f>
        <v>85197.26149680512</v>
      </c>
      <c r="AB107" s="11">
        <f ca="1">IF(הפחתה7[[#This Row],[יתרת
סגירה]]&gt;0,LastRow3-ROW(),0)</f>
        <v>196</v>
      </c>
      <c r="AC107" s="17">
        <f>ROWS($AC$4:AC107)</f>
        <v>104</v>
      </c>
      <c r="AD107" s="18" t="str">
        <f ca="1">IF(ValuesEntered4,IF(הפחתה8[[#This Row],[מס'']]&lt;=תקופת_ההלוואה4,IF(ROW()-ROW(הפחתה8[[#Headers],[תאריך]])=1,LoanStart4,IF(AJ106&gt;0,EDATE(AD106,1),"")),""),"")</f>
        <v/>
      </c>
      <c r="AE107" s="19">
        <f ca="1">IF(ROW()-ROW(הפחתה8[[#Headers],[יתרת פתיחה]])=1,סכום_הלוואה4,IF(הפחתה8[[#This Row],[תאריך]]="",0,INDEX(הפחתה8[], ROW()-4,8)))</f>
        <v>0</v>
      </c>
      <c r="AF107" s="19">
        <f ca="1">IF(ValuesEntered4,IF(ROW()-ROW(הפחתה8[[#Headers],[ריבית]])=1,-IPMT(שיעור_ריבית4/12,1,תקופת_ההלוואה4-ROWS($C$4:AD107)+1,הפחתה8[[#This Row],[יתרת פתיחה]]),IFERROR(-IPMT(שיעור_ריבית4/12,1,הפחתה8[[#This Row],[תשלומים
שנותרו]],AE108),0)),0)</f>
        <v>0</v>
      </c>
      <c r="AG107" s="19" t="str">
        <f ca="1">IFERROR(IF(AND(ValuesEntered4,הפחתה8[[#This Row],[תאריך]]&lt;&gt;""),-PPMT(שיעור_ריבית4/12,1,תקופת_ההלוואה4-ROWS($C$4:AD107)+1,הפחתה8[[#This Row],[יתרת פתיחה]]),""),0)</f>
        <v/>
      </c>
      <c r="AH107" s="19">
        <f ca="1">(הפחתה8[[#This Row],[יתרת פתיחה]])*(מדד4/12)</f>
        <v>0</v>
      </c>
      <c r="AI107" s="19">
        <f ca="1">IF(הפחתה8[[#This Row],[תאריך]]="",0,הפחתה8[[#This Row],[ריבית]]+הפחתה8[[#This Row],[קרן]]+הפחתה8[[#This Row],[מדד]])</f>
        <v>0</v>
      </c>
      <c r="AJ107" s="19">
        <f ca="1">IF(הפחתה8[[#This Row],[תאריך]]="",0,הפחתה8[[#This Row],[יתרת פתיחה]]-הפחתה8[[#This Row],[קרן]])</f>
        <v>0</v>
      </c>
      <c r="AK107" s="20">
        <f ca="1">IF(הפחתה8[[#This Row],[יתרת
סגירה]]&gt;0,LastRow4-ROW(),0)</f>
        <v>0</v>
      </c>
    </row>
    <row r="108" spans="1:37" ht="15" customHeight="1" x14ac:dyDescent="0.25">
      <c r="A108" s="8"/>
      <c r="B108" s="11">
        <f>ROWS($B$4:B108)</f>
        <v>105</v>
      </c>
      <c r="C108" s="12">
        <f>IF(ValuesEntered,IF(הפחתה[[#This Row],[מס'']]&lt;=תקופת_ההלוואה,IF(ROW()-ROW(הפחתה[[#Headers],[תאריך]])=1,LoanStart,IF(I107&gt;0,EDATE(C107,1),"")),""),"")</f>
        <v>48549</v>
      </c>
      <c r="D108" s="13">
        <f>IF(ROW()-ROW(הפחתה[[#Headers],[יתרת פתיחה]])=1,סכום_הלוואה,IF(הפחתה[[#This Row],[תאריך]]="",0,INDEX(הפחתה[], ROW()-4,8)))</f>
        <v>510242.92950754461</v>
      </c>
      <c r="E108" s="13">
        <f>IF(ValuesEntered,IF(ROW()-ROW(הפחתה[[#Headers],[ריבית]])=1,-IPMT(שיעור_ריבית/12,1,תקופת_ההלוואה-ROWS($C$4:C108)+1,הפחתה[[#This Row],[יתרת פתיחה]]),IFERROR(-IPMT(שיעור_ריבית/12,1,הפחתה[[#This Row],[תשלומים
שנותרו]],D109),0)),0)</f>
        <v>2248.8106458488619</v>
      </c>
      <c r="F108" s="13">
        <f>IFERROR(IF(AND(ValuesEntered,הפחתה[[#This Row],[תאריך]]&lt;&gt;""),-PPMT(שיעור_ריבית/12,1,תקופת_ההלוואה-ROWS($C$4:C108)+1,הפחתה[[#This Row],[יתרת פתיחה]]),""),0)</f>
        <v>1078.2549757268966</v>
      </c>
      <c r="G108" s="13">
        <f>(הפחתה[[#This Row],[יתרת פתיחה]])*(מדד/12)</f>
        <v>0</v>
      </c>
      <c r="H108" s="13">
        <f>IF(הפחתה[[#This Row],[תאריך]]="",0,הפחתה[[#This Row],[ריבית]]+הפחתה[[#This Row],[קרן]]+הפחתה[[#This Row],[מדד]])</f>
        <v>3327.0656215757585</v>
      </c>
      <c r="I108" s="13">
        <f>IF(הפחתה[[#This Row],[תאריך]]="",0,הפחתה[[#This Row],[יתרת פתיחה]]-הפחתה[[#This Row],[קרן]]+הפחתה[[#This Row],[מדד]])</f>
        <v>509164.67453181773</v>
      </c>
      <c r="J108" s="11">
        <f>IF(הפחתה[[#This Row],[יתרת
סגירה]]&gt;0,LastRow-ROW(),0)</f>
        <v>255</v>
      </c>
      <c r="K108" s="11">
        <f>ROWS($K$4:K108)</f>
        <v>105</v>
      </c>
      <c r="L108" s="12">
        <f>IF(ValuesEntered2,IF(הפחתה5[[#This Row],[מס'']]&lt;=תקופת_ההלוואה2,IF(ROW()-ROW(הפחתה5[[#Headers],[תאריך]])=1,LoanStart2,IF(R107&gt;0,EDATE(L107,1),"")),""),"")</f>
        <v>48549</v>
      </c>
      <c r="M108" s="13">
        <f>IF(ROW()-ROW(הפחתה5[[#Headers],[יתרת פתיחה]])=1,סכום_הלוואה2,IF(הפחתה5[[#This Row],[תאריך]]="",0,INDEX(הפחתה5[], ROW()-4,8)))</f>
        <v>232540.63782572298</v>
      </c>
      <c r="N108" s="13">
        <f>IF(ValuesEntered2,IF(ROW()-ROW(הפחתה5[[#Headers],[ריבית]])=1,-IPMT(שיעור_ריבית2/12,1,תקופת_ההלוואה2-ROWS($L$4:L108)+1,הפחתה5[[#This Row],[יתרת פתיחה]]),IFERROR(-IPMT(שיעור_ריבית2/12,1,הפחתה5[[#This Row],[תשלומים
שנותרו]],M109),0)),0)</f>
        <v>907.68627084014656</v>
      </c>
      <c r="O108" s="13">
        <f>IFERROR(IF(AND(ValuesEntered2,הפחתה5[[#This Row],[תאריך]]&lt;&gt;""),-PPMT(שיעור_ריבית2/12,1,תקופת_ההלוואה2-ROWS($L$4:L108)+1,הפחתה5[[#This Row],[יתרת פתיחה]]),""),0)</f>
        <v>790.95165377064393</v>
      </c>
      <c r="P108" s="13">
        <f>(הפחתה5[[#This Row],[יתרת פתיחה]])*(מדד2/12)</f>
        <v>0</v>
      </c>
      <c r="Q108" s="13">
        <f>IF(הפחתה5[[#This Row],[תאריך]]="",0,הפחתה5[[#This Row],[ריבית]]+הפחתה5[[#This Row],[קרן]]+הפחתה5[[#This Row],[מדד]])</f>
        <v>1698.6379246107904</v>
      </c>
      <c r="R108" s="13">
        <f>IF(הפחתה5[[#This Row],[תאריך]]="",0,הפחתה5[[#This Row],[יתרת פתיחה]]-הפחתה5[[#This Row],[קרן]]+הפחתה5[[#This Row],[מדד]])</f>
        <v>231749.68617195234</v>
      </c>
      <c r="S108" s="11">
        <f>IF(הפחתה5[[#This Row],[יתרת
סגירה]]&gt;0,LastRow2-ROW(),0)</f>
        <v>195</v>
      </c>
      <c r="T108" s="11">
        <f>ROWS($T$4:T108)</f>
        <v>105</v>
      </c>
      <c r="U108" s="12">
        <f ca="1">IF(ValuesEntered3,IF(הפחתה7[[#This Row],[מס'']]&lt;=תקופת_ההלוואה3,IF(ROW()-ROW(הפחתה7[[#Headers],[תאריך]])=1,LoanStart3,IF(AA107&gt;0,EDATE(U107,1),"")),""),"")</f>
        <v>48785</v>
      </c>
      <c r="V108" s="13">
        <f ca="1">IF(ROW()-ROW(הפחתה7[[#Headers],[יתרת פתיחה]])=1,סכום_הלוואה3,IF(הפחתה7[[#This Row],[תאריך]]="",0,INDEX(הפחתה7[], ROW()-4,8)))</f>
        <v>85197.26149680512</v>
      </c>
      <c r="W108" s="13">
        <f ca="1">IF(ValuesEntered3,IF(ROW()-ROW(הפחתה7[[#Headers],[ריבית]])=1,-IPMT(שיעור_ריבית3/12,1,תקופת_ההלוואה3-ROWS($C$4:U108)+1,הפחתה7[[#This Row],[יתרת פתיחה]]),IFERROR(-IPMT(שיעור_ריבית3/12,1,הפחתה7[[#This Row],[תשלומים
שנותרו]],V109),0)),0)</f>
        <v>162.87969948851961</v>
      </c>
      <c r="X108" s="13">
        <f ca="1">IFERROR(IF(AND(ValuesEntered3,הפחתה7[[#This Row],[תאריך]]&lt;&gt;""),-PPMT(שיעור_ריבית3/12,1,תקופת_ההלוואה3-ROWS($C$4:U108)+1,הפחתה7[[#This Row],[יתרת פתיחה]]),""),0)</f>
        <v>358.54415601421863</v>
      </c>
      <c r="Y108" s="13">
        <f ca="1">(הפחתה7[[#This Row],[יתרת פתיחה]])*(מדד3/12)</f>
        <v>141.99543582800854</v>
      </c>
      <c r="Z108" s="13">
        <f ca="1">IF(הפחתה7[[#This Row],[תאריך]]="",0,הפחתה7[[#This Row],[ריבית]]+הפחתה7[[#This Row],[קרן]]+הפחתה7[[#This Row],[מדד]])</f>
        <v>663.41929133074677</v>
      </c>
      <c r="AA108" s="13">
        <f ca="1">IF(הפחתה7[[#This Row],[תאריך]]="",0,הפחתה7[[#This Row],[יתרת פתיחה]]-הפחתה7[[#This Row],[קרן]]+הפחתה7[[#This Row],[מדד]])</f>
        <v>84980.712776618908</v>
      </c>
      <c r="AB108" s="11">
        <f ca="1">IF(הפחתה7[[#This Row],[יתרת
סגירה]]&gt;0,LastRow3-ROW(),0)</f>
        <v>195</v>
      </c>
      <c r="AC108" s="17">
        <f>ROWS($AC$4:AC108)</f>
        <v>105</v>
      </c>
      <c r="AD108" s="18" t="str">
        <f ca="1">IF(ValuesEntered4,IF(הפחתה8[[#This Row],[מס'']]&lt;=תקופת_ההלוואה4,IF(ROW()-ROW(הפחתה8[[#Headers],[תאריך]])=1,LoanStart4,IF(AJ107&gt;0,EDATE(AD107,1),"")),""),"")</f>
        <v/>
      </c>
      <c r="AE108" s="19">
        <f ca="1">IF(ROW()-ROW(הפחתה8[[#Headers],[יתרת פתיחה]])=1,סכום_הלוואה4,IF(הפחתה8[[#This Row],[תאריך]]="",0,INDEX(הפחתה8[], ROW()-4,8)))</f>
        <v>0</v>
      </c>
      <c r="AF108" s="19">
        <f ca="1">IF(ValuesEntered4,IF(ROW()-ROW(הפחתה8[[#Headers],[ריבית]])=1,-IPMT(שיעור_ריבית4/12,1,תקופת_ההלוואה4-ROWS($C$4:AD108)+1,הפחתה8[[#This Row],[יתרת פתיחה]]),IFERROR(-IPMT(שיעור_ריבית4/12,1,הפחתה8[[#This Row],[תשלומים
שנותרו]],AE109),0)),0)</f>
        <v>0</v>
      </c>
      <c r="AG108" s="19" t="str">
        <f ca="1">IFERROR(IF(AND(ValuesEntered4,הפחתה8[[#This Row],[תאריך]]&lt;&gt;""),-PPMT(שיעור_ריבית4/12,1,תקופת_ההלוואה4-ROWS($C$4:AD108)+1,הפחתה8[[#This Row],[יתרת פתיחה]]),""),0)</f>
        <v/>
      </c>
      <c r="AH108" s="19">
        <f ca="1">(הפחתה8[[#This Row],[יתרת פתיחה]])*(מדד4/12)</f>
        <v>0</v>
      </c>
      <c r="AI108" s="19">
        <f ca="1">IF(הפחתה8[[#This Row],[תאריך]]="",0,הפחתה8[[#This Row],[ריבית]]+הפחתה8[[#This Row],[קרן]]+הפחתה8[[#This Row],[מדד]])</f>
        <v>0</v>
      </c>
      <c r="AJ108" s="19">
        <f ca="1">IF(הפחתה8[[#This Row],[תאריך]]="",0,הפחתה8[[#This Row],[יתרת פתיחה]]-הפחתה8[[#This Row],[קרן]])</f>
        <v>0</v>
      </c>
      <c r="AK108" s="20">
        <f ca="1">IF(הפחתה8[[#This Row],[יתרת
סגירה]]&gt;0,LastRow4-ROW(),0)</f>
        <v>0</v>
      </c>
    </row>
    <row r="109" spans="1:37" ht="15" customHeight="1" x14ac:dyDescent="0.25">
      <c r="A109" s="8"/>
      <c r="B109" s="11">
        <f>ROWS($B$4:B109)</f>
        <v>106</v>
      </c>
      <c r="C109" s="12">
        <f>IF(ValuesEntered,IF(הפחתה[[#This Row],[מס'']]&lt;=תקופת_ההלוואה,IF(ROW()-ROW(הפחתה[[#Headers],[תאריך]])=1,LoanStart,IF(I108&gt;0,EDATE(C108,1),"")),""),"")</f>
        <v>48580</v>
      </c>
      <c r="D109" s="13">
        <f>IF(ROW()-ROW(הפחתה[[#Headers],[יתרת פתיחה]])=1,סכום_הלוואה,IF(הפחתה[[#This Row],[תאריך]]="",0,INDEX(הפחתה[], ROW()-4,8)))</f>
        <v>509164.67453181773</v>
      </c>
      <c r="E109" s="13">
        <f>IF(ValuesEntered,IF(ROW()-ROW(הפחתה[[#Headers],[ריבית]])=1,-IPMT(שיעור_ריבית/12,1,תקופת_ההלוואה-ROWS($C$4:C109)+1,הפחתה[[#This Row],[יתרת פתיחה]]),IFERROR(-IPMT(שיעור_ריבית/12,1,הפחתה[[#This Row],[תשלומים
שנותרו]],D110),0)),0)</f>
        <v>2244.0273195794925</v>
      </c>
      <c r="F109" s="13">
        <f>IFERROR(IF(AND(ValuesEntered,הפחתה[[#This Row],[תאריך]]&lt;&gt;""),-PPMT(שיעור_ריבית/12,1,תקופת_ההלוואה-ROWS($C$4:C109)+1,הפחתה[[#This Row],[יתרת פתיחה]]),""),0)</f>
        <v>1083.0172685363571</v>
      </c>
      <c r="G109" s="13">
        <f>(הפחתה[[#This Row],[יתרת פתיחה]])*(מדד/12)</f>
        <v>0</v>
      </c>
      <c r="H109" s="13">
        <f>IF(הפחתה[[#This Row],[תאריך]]="",0,הפחתה[[#This Row],[ריבית]]+הפחתה[[#This Row],[קרן]]+הפחתה[[#This Row],[מדד]])</f>
        <v>3327.0445881158494</v>
      </c>
      <c r="I109" s="13">
        <f>IF(הפחתה[[#This Row],[תאריך]]="",0,הפחתה[[#This Row],[יתרת פתיחה]]-הפחתה[[#This Row],[קרן]]+הפחתה[[#This Row],[מדד]])</f>
        <v>508081.65726328135</v>
      </c>
      <c r="J109" s="11">
        <f>IF(הפחתה[[#This Row],[יתרת
סגירה]]&gt;0,LastRow-ROW(),0)</f>
        <v>254</v>
      </c>
      <c r="K109" s="11">
        <f>ROWS($K$4:K109)</f>
        <v>106</v>
      </c>
      <c r="L109" s="12">
        <f>IF(ValuesEntered2,IF(הפחתה5[[#This Row],[מס'']]&lt;=תקופת_ההלוואה2,IF(ROW()-ROW(הפחתה5[[#Headers],[תאריך]])=1,LoanStart2,IF(R108&gt;0,EDATE(L108,1),"")),""),"")</f>
        <v>48580</v>
      </c>
      <c r="M109" s="13">
        <f>IF(ROW()-ROW(הפחתה5[[#Headers],[יתרת פתיחה]])=1,סכום_הלוואה2,IF(הפחתה5[[#This Row],[תאריך]]="",0,INDEX(הפחתה5[], ROW()-4,8)))</f>
        <v>231749.68617195234</v>
      </c>
      <c r="N109" s="13">
        <f>IF(ValuesEntered2,IF(ROW()-ROW(הפחתה5[[#Headers],[ריבית]])=1,-IPMT(שיעור_ריבית2/12,1,תקופת_ההלוואה2-ROWS($L$4:L109)+1,הפחתה5[[#This Row],[יתרת פתיחה]]),IFERROR(-IPMT(שיעור_ריבית2/12,1,הפחתה5[[#This Row],[תשלומים
שנותרו]],M110),0)),0)</f>
        <v>904.57624344480064</v>
      </c>
      <c r="O109" s="13">
        <f>IFERROR(IF(AND(ValuesEntered2,הפחתה5[[#This Row],[תאריך]]&lt;&gt;""),-PPMT(שיעור_ריבית2/12,1,תקופת_ההלוואה2-ROWS($L$4:L109)+1,הפחתה5[[#This Row],[יתרת פתיחה]]),""),0)</f>
        <v>794.04954774791258</v>
      </c>
      <c r="P109" s="13">
        <f>(הפחתה5[[#This Row],[יתרת פתיחה]])*(מדד2/12)</f>
        <v>0</v>
      </c>
      <c r="Q109" s="13">
        <f>IF(הפחתה5[[#This Row],[תאריך]]="",0,הפחתה5[[#This Row],[ריבית]]+הפחתה5[[#This Row],[קרן]]+הפחתה5[[#This Row],[מדד]])</f>
        <v>1698.6257911927132</v>
      </c>
      <c r="R109" s="13">
        <f>IF(הפחתה5[[#This Row],[תאריך]]="",0,הפחתה5[[#This Row],[יתרת פתיחה]]-הפחתה5[[#This Row],[קרן]]+הפחתה5[[#This Row],[מדד]])</f>
        <v>230955.63662420443</v>
      </c>
      <c r="S109" s="11">
        <f>IF(הפחתה5[[#This Row],[יתרת
סגירה]]&gt;0,LastRow2-ROW(),0)</f>
        <v>194</v>
      </c>
      <c r="T109" s="11">
        <f>ROWS($T$4:T109)</f>
        <v>106</v>
      </c>
      <c r="U109" s="12">
        <f ca="1">IF(ValuesEntered3,IF(הפחתה7[[#This Row],[מס'']]&lt;=תקופת_ההלוואה3,IF(ROW()-ROW(הפחתה7[[#Headers],[תאריך]])=1,LoanStart3,IF(AA108&gt;0,EDATE(U108,1),"")),""),"")</f>
        <v>48816</v>
      </c>
      <c r="V109" s="13">
        <f ca="1">IF(ROW()-ROW(הפחתה7[[#Headers],[יתרת פתיחה]])=1,סכום_הלוואה3,IF(הפחתה7[[#This Row],[תאריך]]="",0,INDEX(הפחתה7[], ROW()-4,8)))</f>
        <v>84980.712776618908</v>
      </c>
      <c r="W109" s="13">
        <f ca="1">IF(ValuesEntered3,IF(ROW()-ROW(הפחתה7[[#Headers],[ריבית]])=1,-IPMT(שיעור_ריבית3/12,1,תקופת_ההלוואה3-ROWS($C$4:U109)+1,הפחתה7[[#This Row],[יתרת פתיחה]]),IFERROR(-IPMT(שיעור_ריבית3/12,1,הפחתה7[[#This Row],[תשלומים
שנותרו]],V110),0)),0)</f>
        <v>162.46148647580102</v>
      </c>
      <c r="X109" s="13">
        <f ca="1">IFERROR(IF(AND(ValuesEntered3,הפחתה7[[#This Row],[תאריך]]&lt;&gt;""),-PPMT(שיעור_ריבית3/12,1,תקופת_ההלוואה3-ROWS($C$4:U109)+1,הפחתה7[[#This Row],[יתרת פתיחה]]),""),0)</f>
        <v>359.83261488663049</v>
      </c>
      <c r="Y109" s="13">
        <f ca="1">(הפחתה7[[#This Row],[יתרת פתיחה]])*(מדד3/12)</f>
        <v>141.63452129436484</v>
      </c>
      <c r="Z109" s="13">
        <f ca="1">IF(הפחתה7[[#This Row],[תאריך]]="",0,הפחתה7[[#This Row],[ריבית]]+הפחתה7[[#This Row],[קרן]]+הפחתה7[[#This Row],[מדד]])</f>
        <v>663.92862265679639</v>
      </c>
      <c r="AA109" s="13">
        <f ca="1">IF(הפחתה7[[#This Row],[תאריך]]="",0,הפחתה7[[#This Row],[יתרת פתיחה]]-הפחתה7[[#This Row],[קרן]]+הפחתה7[[#This Row],[מדד]])</f>
        <v>84762.514683026646</v>
      </c>
      <c r="AB109" s="11">
        <f ca="1">IF(הפחתה7[[#This Row],[יתרת
סגירה]]&gt;0,LastRow3-ROW(),0)</f>
        <v>194</v>
      </c>
      <c r="AC109" s="17">
        <f>ROWS($AC$4:AC109)</f>
        <v>106</v>
      </c>
      <c r="AD109" s="18" t="str">
        <f ca="1">IF(ValuesEntered4,IF(הפחתה8[[#This Row],[מס'']]&lt;=תקופת_ההלוואה4,IF(ROW()-ROW(הפחתה8[[#Headers],[תאריך]])=1,LoanStart4,IF(AJ108&gt;0,EDATE(AD108,1),"")),""),"")</f>
        <v/>
      </c>
      <c r="AE109" s="19">
        <f ca="1">IF(ROW()-ROW(הפחתה8[[#Headers],[יתרת פתיחה]])=1,סכום_הלוואה4,IF(הפחתה8[[#This Row],[תאריך]]="",0,INDEX(הפחתה8[], ROW()-4,8)))</f>
        <v>0</v>
      </c>
      <c r="AF109" s="19">
        <f ca="1">IF(ValuesEntered4,IF(ROW()-ROW(הפחתה8[[#Headers],[ריבית]])=1,-IPMT(שיעור_ריבית4/12,1,תקופת_ההלוואה4-ROWS($C$4:AD109)+1,הפחתה8[[#This Row],[יתרת פתיחה]]),IFERROR(-IPMT(שיעור_ריבית4/12,1,הפחתה8[[#This Row],[תשלומים
שנותרו]],AE110),0)),0)</f>
        <v>0</v>
      </c>
      <c r="AG109" s="19" t="str">
        <f ca="1">IFERROR(IF(AND(ValuesEntered4,הפחתה8[[#This Row],[תאריך]]&lt;&gt;""),-PPMT(שיעור_ריבית4/12,1,תקופת_ההלוואה4-ROWS($C$4:AD109)+1,הפחתה8[[#This Row],[יתרת פתיחה]]),""),0)</f>
        <v/>
      </c>
      <c r="AH109" s="19">
        <f ca="1">(הפחתה8[[#This Row],[יתרת פתיחה]])*(מדד4/12)</f>
        <v>0</v>
      </c>
      <c r="AI109" s="19">
        <f ca="1">IF(הפחתה8[[#This Row],[תאריך]]="",0,הפחתה8[[#This Row],[ריבית]]+הפחתה8[[#This Row],[קרן]]+הפחתה8[[#This Row],[מדד]])</f>
        <v>0</v>
      </c>
      <c r="AJ109" s="19">
        <f ca="1">IF(הפחתה8[[#This Row],[תאריך]]="",0,הפחתה8[[#This Row],[יתרת פתיחה]]-הפחתה8[[#This Row],[קרן]])</f>
        <v>0</v>
      </c>
      <c r="AK109" s="20">
        <f ca="1">IF(הפחתה8[[#This Row],[יתרת
סגירה]]&gt;0,LastRow4-ROW(),0)</f>
        <v>0</v>
      </c>
    </row>
    <row r="110" spans="1:37" ht="15" customHeight="1" x14ac:dyDescent="0.25">
      <c r="A110" s="8"/>
      <c r="B110" s="11">
        <f>ROWS($B$4:B110)</f>
        <v>107</v>
      </c>
      <c r="C110" s="12">
        <f>IF(ValuesEntered,IF(הפחתה[[#This Row],[מס'']]&lt;=תקופת_ההלוואה,IF(ROW()-ROW(הפחתה[[#Headers],[תאריך]])=1,LoanStart,IF(I109&gt;0,EDATE(C109,1),"")),""),"")</f>
        <v>48611</v>
      </c>
      <c r="D110" s="13">
        <f>IF(ROW()-ROW(הפחתה[[#Headers],[יתרת פתיחה]])=1,סכום_הלוואה,IF(הפחתה[[#This Row],[תאריך]]="",0,INDEX(הפחתה[], ROW()-4,8)))</f>
        <v>508081.65726328135</v>
      </c>
      <c r="E110" s="13">
        <f>IF(ValuesEntered,IF(ROW()-ROW(הפחתה[[#Headers],[ריבית]])=1,-IPMT(שיעור_ריבית/12,1,תקופת_ההלוואה-ROWS($C$4:C110)+1,הפחתה[[#This Row],[יתרת פתיחה]]),IFERROR(-IPMT(שיעור_ריבית/12,1,הפחתה[[#This Row],[תשלומים
שנותרו]],D111),0)),0)</f>
        <v>2239.2228669524338</v>
      </c>
      <c r="F110" s="13">
        <f>IFERROR(IF(AND(ValuesEntered,הפחתה[[#This Row],[תאריך]]&lt;&gt;""),-PPMT(שיעור_ריבית/12,1,תקופת_ההלוואה-ROWS($C$4:C110)+1,הפחתה[[#This Row],[יתרת פתיחה]]),""),0)</f>
        <v>1087.8005948057257</v>
      </c>
      <c r="G110" s="13">
        <f>(הפחתה[[#This Row],[יתרת פתיחה]])*(מדד/12)</f>
        <v>0</v>
      </c>
      <c r="H110" s="13">
        <f>IF(הפחתה[[#This Row],[תאריך]]="",0,הפחתה[[#This Row],[ריבית]]+הפחתה[[#This Row],[קרן]]+הפחתה[[#This Row],[מדד]])</f>
        <v>3327.0234617581596</v>
      </c>
      <c r="I110" s="13">
        <f>IF(הפחתה[[#This Row],[תאריך]]="",0,הפחתה[[#This Row],[יתרת פתיחה]]-הפחתה[[#This Row],[קרן]]+הפחתה[[#This Row],[מדד]])</f>
        <v>506993.85666847561</v>
      </c>
      <c r="J110" s="11">
        <f>IF(הפחתה[[#This Row],[יתרת
סגירה]]&gt;0,LastRow-ROW(),0)</f>
        <v>253</v>
      </c>
      <c r="K110" s="11">
        <f>ROWS($K$4:K110)</f>
        <v>107</v>
      </c>
      <c r="L110" s="12">
        <f>IF(ValuesEntered2,IF(הפחתה5[[#This Row],[מס'']]&lt;=תקופת_ההלוואה2,IF(ROW()-ROW(הפחתה5[[#Headers],[תאריך]])=1,LoanStart2,IF(R109&gt;0,EDATE(L109,1),"")),""),"")</f>
        <v>48611</v>
      </c>
      <c r="M110" s="13">
        <f>IF(ROW()-ROW(הפחתה5[[#Headers],[יתרת פתיחה]])=1,סכום_הלוואה2,IF(הפחתה5[[#This Row],[תאריך]]="",0,INDEX(הפחתה5[], ROW()-4,8)))</f>
        <v>230955.63662420443</v>
      </c>
      <c r="N110" s="13">
        <f>IF(ValuesEntered2,IF(ROW()-ROW(הפחתה5[[#Headers],[ריבית]])=1,-IPMT(שיעור_ריבית2/12,1,תקופת_ההלוואה2-ROWS($L$4:L110)+1,הפחתה5[[#This Row],[יתרת פתיחה]]),IFERROR(-IPMT(שיעור_ריבית2/12,1,הפחתה5[[#This Row],[תשלומים
שנותרו]],M111),0)),0)</f>
        <v>901.45403510882295</v>
      </c>
      <c r="O110" s="13">
        <f>IFERROR(IF(AND(ValuesEntered2,הפחתה5[[#This Row],[תאריך]]&lt;&gt;""),-PPMT(שיעור_ריבית2/12,1,תקופת_ההלוואה2-ROWS($L$4:L110)+1,הפחתה5[[#This Row],[יתרת פתיחה]]),""),0)</f>
        <v>797.15957514325839</v>
      </c>
      <c r="P110" s="13">
        <f>(הפחתה5[[#This Row],[יתרת פתיחה]])*(מדד2/12)</f>
        <v>0</v>
      </c>
      <c r="Q110" s="13">
        <f>IF(הפחתה5[[#This Row],[תאריך]]="",0,הפחתה5[[#This Row],[ריבית]]+הפחתה5[[#This Row],[קרן]]+הפחתה5[[#This Row],[מדד]])</f>
        <v>1698.6136102520813</v>
      </c>
      <c r="R110" s="13">
        <f>IF(הפחתה5[[#This Row],[תאריך]]="",0,הפחתה5[[#This Row],[יתרת פתיחה]]-הפחתה5[[#This Row],[קרן]]+הפחתה5[[#This Row],[מדד]])</f>
        <v>230158.47704906118</v>
      </c>
      <c r="S110" s="11">
        <f>IF(הפחתה5[[#This Row],[יתרת
סגירה]]&gt;0,LastRow2-ROW(),0)</f>
        <v>193</v>
      </c>
      <c r="T110" s="11">
        <f>ROWS($T$4:T110)</f>
        <v>107</v>
      </c>
      <c r="U110" s="12">
        <f ca="1">IF(ValuesEntered3,IF(הפחתה7[[#This Row],[מס'']]&lt;=תקופת_ההלוואה3,IF(ROW()-ROW(הפחתה7[[#Headers],[תאריך]])=1,LoanStart3,IF(AA109&gt;0,EDATE(U109,1),"")),""),"")</f>
        <v>48847</v>
      </c>
      <c r="V110" s="13">
        <f ca="1">IF(ROW()-ROW(הפחתה7[[#Headers],[יתרת פתיחה]])=1,סכום_הלוואה3,IF(הפחתה7[[#This Row],[תאריך]]="",0,INDEX(הפחתה7[], ROW()-4,8)))</f>
        <v>84762.514683026646</v>
      </c>
      <c r="W110" s="13">
        <f ca="1">IF(ValuesEntered3,IF(ROW()-ROW(הפחתה7[[#Headers],[ריבית]])=1,-IPMT(שיעור_ריבית3/12,1,תקופת_ההלוואה3-ROWS($C$4:U110)+1,הפחתה7[[#This Row],[יתרת פתיחה]]),IFERROR(-IPMT(שיעור_ריבית3/12,1,הפחתה7[[#This Row],[תשלומים
שנותרו]],V111),0)),0)</f>
        <v>162.04009799063371</v>
      </c>
      <c r="X110" s="13">
        <f ca="1">IFERROR(IF(AND(ValuesEntered3,הפחתה7[[#This Row],[תאריך]]&lt;&gt;""),-PPMT(שיעור_ריבית3/12,1,תקופת_ההלוואה3-ROWS($C$4:U110)+1,הפחתה7[[#This Row],[יתרת פתיחה]]),""),0)</f>
        <v>361.12571963150418</v>
      </c>
      <c r="Y110" s="13">
        <f ca="1">(הפחתה7[[#This Row],[יתרת פתיחה]])*(מדד3/12)</f>
        <v>141.27085780504441</v>
      </c>
      <c r="Z110" s="13">
        <f ca="1">IF(הפחתה7[[#This Row],[תאריך]]="",0,הפחתה7[[#This Row],[ריבית]]+הפחתה7[[#This Row],[קרן]]+הפחתה7[[#This Row],[מדד]])</f>
        <v>664.43667542718231</v>
      </c>
      <c r="AA110" s="13">
        <f ca="1">IF(הפחתה7[[#This Row],[תאריך]]="",0,הפחתה7[[#This Row],[יתרת פתיחה]]-הפחתה7[[#This Row],[קרן]]+הפחתה7[[#This Row],[מדד]])</f>
        <v>84542.659821200199</v>
      </c>
      <c r="AB110" s="11">
        <f ca="1">IF(הפחתה7[[#This Row],[יתרת
סגירה]]&gt;0,LastRow3-ROW(),0)</f>
        <v>193</v>
      </c>
      <c r="AC110" s="17">
        <f>ROWS($AC$4:AC110)</f>
        <v>107</v>
      </c>
      <c r="AD110" s="18" t="str">
        <f ca="1">IF(ValuesEntered4,IF(הפחתה8[[#This Row],[מס'']]&lt;=תקופת_ההלוואה4,IF(ROW()-ROW(הפחתה8[[#Headers],[תאריך]])=1,LoanStart4,IF(AJ109&gt;0,EDATE(AD109,1),"")),""),"")</f>
        <v/>
      </c>
      <c r="AE110" s="19">
        <f ca="1">IF(ROW()-ROW(הפחתה8[[#Headers],[יתרת פתיחה]])=1,סכום_הלוואה4,IF(הפחתה8[[#This Row],[תאריך]]="",0,INDEX(הפחתה8[], ROW()-4,8)))</f>
        <v>0</v>
      </c>
      <c r="AF110" s="19">
        <f ca="1">IF(ValuesEntered4,IF(ROW()-ROW(הפחתה8[[#Headers],[ריבית]])=1,-IPMT(שיעור_ריבית4/12,1,תקופת_ההלוואה4-ROWS($C$4:AD110)+1,הפחתה8[[#This Row],[יתרת פתיחה]]),IFERROR(-IPMT(שיעור_ריבית4/12,1,הפחתה8[[#This Row],[תשלומים
שנותרו]],AE111),0)),0)</f>
        <v>0</v>
      </c>
      <c r="AG110" s="19" t="str">
        <f ca="1">IFERROR(IF(AND(ValuesEntered4,הפחתה8[[#This Row],[תאריך]]&lt;&gt;""),-PPMT(שיעור_ריבית4/12,1,תקופת_ההלוואה4-ROWS($C$4:AD110)+1,הפחתה8[[#This Row],[יתרת פתיחה]]),""),0)</f>
        <v/>
      </c>
      <c r="AH110" s="19">
        <f ca="1">(הפחתה8[[#This Row],[יתרת פתיחה]])*(מדד4/12)</f>
        <v>0</v>
      </c>
      <c r="AI110" s="19">
        <f ca="1">IF(הפחתה8[[#This Row],[תאריך]]="",0,הפחתה8[[#This Row],[ריבית]]+הפחתה8[[#This Row],[קרן]]+הפחתה8[[#This Row],[מדד]])</f>
        <v>0</v>
      </c>
      <c r="AJ110" s="19">
        <f ca="1">IF(הפחתה8[[#This Row],[תאריך]]="",0,הפחתה8[[#This Row],[יתרת פתיחה]]-הפחתה8[[#This Row],[קרן]])</f>
        <v>0</v>
      </c>
      <c r="AK110" s="20">
        <f ca="1">IF(הפחתה8[[#This Row],[יתרת
סגירה]]&gt;0,LastRow4-ROW(),0)</f>
        <v>0</v>
      </c>
    </row>
    <row r="111" spans="1:37" ht="15" customHeight="1" x14ac:dyDescent="0.25">
      <c r="A111" s="8"/>
      <c r="B111" s="11">
        <f>ROWS($B$4:B111)</f>
        <v>108</v>
      </c>
      <c r="C111" s="12">
        <f>IF(ValuesEntered,IF(הפחתה[[#This Row],[מס'']]&lt;=תקופת_ההלוואה,IF(ROW()-ROW(הפחתה[[#Headers],[תאריך]])=1,LoanStart,IF(I110&gt;0,EDATE(C110,1),"")),""),"")</f>
        <v>48639</v>
      </c>
      <c r="D111" s="13">
        <f>IF(ROW()-ROW(הפחתה[[#Headers],[יתרת פתיחה]])=1,סכום_הלוואה,IF(הפחתה[[#This Row],[תאריך]]="",0,INDEX(הפחתה[], ROW()-4,8)))</f>
        <v>506993.85666847561</v>
      </c>
      <c r="E111" s="13">
        <f>IF(ValuesEntered,IF(ROW()-ROW(הפחתה[[#Headers],[ריבית]])=1,-IPMT(שיעור_ריבית/12,1,תקופת_ההלוואה-ROWS($C$4:C111)+1,הפחתה[[#This Row],[יתרת פתיחה]]),IFERROR(-IPMT(שיעור_ריבית/12,1,הפחתה[[#This Row],[תשלומים
שנותרו]],D112),0)),0)</f>
        <v>2234.3971946596062</v>
      </c>
      <c r="F111" s="13">
        <f>IFERROR(IF(AND(ValuesEntered,הפחתה[[#This Row],[תאריך]]&lt;&gt;""),-PPMT(שיעור_ריבית/12,1,תקופת_ההלוואה-ROWS($C$4:C111)+1,הפחתה[[#This Row],[יתרת פתיחה]]),""),0)</f>
        <v>1092.6050474327842</v>
      </c>
      <c r="G111" s="13">
        <f>(הפחתה[[#This Row],[יתרת פתיחה]])*(מדד/12)</f>
        <v>0</v>
      </c>
      <c r="H111" s="13">
        <f>IF(הפחתה[[#This Row],[תאריך]]="",0,הפחתה[[#This Row],[ריבית]]+הפחתה[[#This Row],[קרן]]+הפחתה[[#This Row],[מדד]])</f>
        <v>3327.0022420923906</v>
      </c>
      <c r="I111" s="13">
        <f>IF(הפחתה[[#This Row],[תאריך]]="",0,הפחתה[[#This Row],[יתרת פתיחה]]-הפחתה[[#This Row],[קרן]]+הפחתה[[#This Row],[מדד]])</f>
        <v>505901.25162104284</v>
      </c>
      <c r="J111" s="11">
        <f>IF(הפחתה[[#This Row],[יתרת
סגירה]]&gt;0,LastRow-ROW(),0)</f>
        <v>252</v>
      </c>
      <c r="K111" s="11">
        <f>ROWS($K$4:K111)</f>
        <v>108</v>
      </c>
      <c r="L111" s="12">
        <f>IF(ValuesEntered2,IF(הפחתה5[[#This Row],[מס'']]&lt;=תקופת_ההלוואה2,IF(ROW()-ROW(הפחתה5[[#Headers],[תאריך]])=1,LoanStart2,IF(R110&gt;0,EDATE(L110,1),"")),""),"")</f>
        <v>48639</v>
      </c>
      <c r="M111" s="13">
        <f>IF(ROW()-ROW(הפחתה5[[#Headers],[יתרת פתיחה]])=1,סכום_הלוואה2,IF(הפחתה5[[#This Row],[תאריך]]="",0,INDEX(הפחתה5[], ROW()-4,8)))</f>
        <v>230158.47704906118</v>
      </c>
      <c r="N111" s="13">
        <f>IF(ValuesEntered2,IF(ROW()-ROW(הפחתה5[[#Headers],[ריבית]])=1,-IPMT(שיעור_ריבית2/12,1,תקופת_ההלוואה2-ROWS($L$4:L111)+1,הפחתה5[[#This Row],[יתרת פתיחה]]),IFERROR(-IPMT(שיעור_ריבית2/12,1,הפחתה5[[#This Row],[תשלומים
שנותרו]],M112),0)),0)</f>
        <v>898.3195981235292</v>
      </c>
      <c r="O111" s="13">
        <f>IFERROR(IF(AND(ValuesEntered2,הפחתה5[[#This Row],[תאריך]]&lt;&gt;""),-PPMT(שיעור_ריבית2/12,1,תקופת_ההלוואה2-ROWS($L$4:L111)+1,הפחתה5[[#This Row],[יתרת פתיחה]]),""),0)</f>
        <v>800.28178347923642</v>
      </c>
      <c r="P111" s="13">
        <f>(הפחתה5[[#This Row],[יתרת פתיחה]])*(מדד2/12)</f>
        <v>0</v>
      </c>
      <c r="Q111" s="13">
        <f>IF(הפחתה5[[#This Row],[תאריך]]="",0,הפחתה5[[#This Row],[ריבית]]+הפחתה5[[#This Row],[קרן]]+הפחתה5[[#This Row],[מדד]])</f>
        <v>1698.6013816027657</v>
      </c>
      <c r="R111" s="13">
        <f>IF(הפחתה5[[#This Row],[תאריך]]="",0,הפחתה5[[#This Row],[יתרת פתיחה]]-הפחתה5[[#This Row],[קרן]]+הפחתה5[[#This Row],[מדד]])</f>
        <v>229358.19526558195</v>
      </c>
      <c r="S111" s="11">
        <f>IF(הפחתה5[[#This Row],[יתרת
סגירה]]&gt;0,LastRow2-ROW(),0)</f>
        <v>192</v>
      </c>
      <c r="T111" s="11">
        <f>ROWS($T$4:T111)</f>
        <v>108</v>
      </c>
      <c r="U111" s="12">
        <f ca="1">IF(ValuesEntered3,IF(הפחתה7[[#This Row],[מס'']]&lt;=תקופת_ההלוואה3,IF(ROW()-ROW(הפחתה7[[#Headers],[תאריך]])=1,LoanStart3,IF(AA110&gt;0,EDATE(U110,1),"")),""),"")</f>
        <v>48877</v>
      </c>
      <c r="V111" s="13">
        <f ca="1">IF(ROW()-ROW(הפחתה7[[#Headers],[יתרת פתיחה]])=1,סכום_הלוואה3,IF(הפחתה7[[#This Row],[תאריך]]="",0,INDEX(הפחתה7[], ROW()-4,8)))</f>
        <v>84542.659821200199</v>
      </c>
      <c r="W111" s="13">
        <f ca="1">IF(ValuesEntered3,IF(ROW()-ROW(הפחתה7[[#Headers],[ריבית]])=1,-IPMT(שיעור_ריבית3/12,1,תקופת_ההלוואה3-ROWS($C$4:U111)+1,הפחתה7[[#This Row],[יתרת פתיחה]]),IFERROR(-IPMT(שיעור_ריבית3/12,1,הפחתה7[[#This Row],[תשלומים
שנותרו]],V112),0)),0)</f>
        <v>161.61551980344271</v>
      </c>
      <c r="X111" s="13">
        <f ca="1">IFERROR(IF(AND(ValuesEntered3,הפחתה7[[#This Row],[תאריך]]&lt;&gt;""),-PPMT(שיעור_ריבית3/12,1,תקופת_ההלוואה3-ROWS($C$4:U111)+1,הפחתה7[[#This Row],[יתרת פתיחה]]),""),0)</f>
        <v>362.42348722193259</v>
      </c>
      <c r="Y111" s="13">
        <f ca="1">(הפחתה7[[#This Row],[יתרת פתיחה]])*(מדד3/12)</f>
        <v>140.90443303533368</v>
      </c>
      <c r="Z111" s="13">
        <f ca="1">IF(הפחתה7[[#This Row],[תאריך]]="",0,הפחתה7[[#This Row],[ריבית]]+הפחתה7[[#This Row],[קרן]]+הפחתה7[[#This Row],[מדד]])</f>
        <v>664.94344006070901</v>
      </c>
      <c r="AA111" s="13">
        <f ca="1">IF(הפחתה7[[#This Row],[תאריך]]="",0,הפחתה7[[#This Row],[יתרת פתיחה]]-הפחתה7[[#This Row],[קרן]]+הפחתה7[[#This Row],[מדד]])</f>
        <v>84321.140767013596</v>
      </c>
      <c r="AB111" s="11">
        <f ca="1">IF(הפחתה7[[#This Row],[יתרת
סגירה]]&gt;0,LastRow3-ROW(),0)</f>
        <v>192</v>
      </c>
      <c r="AC111" s="17">
        <f>ROWS($AC$4:AC111)</f>
        <v>108</v>
      </c>
      <c r="AD111" s="18" t="str">
        <f ca="1">IF(ValuesEntered4,IF(הפחתה8[[#This Row],[מס'']]&lt;=תקופת_ההלוואה4,IF(ROW()-ROW(הפחתה8[[#Headers],[תאריך]])=1,LoanStart4,IF(AJ110&gt;0,EDATE(AD110,1),"")),""),"")</f>
        <v/>
      </c>
      <c r="AE111" s="19">
        <f ca="1">IF(ROW()-ROW(הפחתה8[[#Headers],[יתרת פתיחה]])=1,סכום_הלוואה4,IF(הפחתה8[[#This Row],[תאריך]]="",0,INDEX(הפחתה8[], ROW()-4,8)))</f>
        <v>0</v>
      </c>
      <c r="AF111" s="19">
        <f ca="1">IF(ValuesEntered4,IF(ROW()-ROW(הפחתה8[[#Headers],[ריבית]])=1,-IPMT(שיעור_ריבית4/12,1,תקופת_ההלוואה4-ROWS($C$4:AD111)+1,הפחתה8[[#This Row],[יתרת פתיחה]]),IFERROR(-IPMT(שיעור_ריבית4/12,1,הפחתה8[[#This Row],[תשלומים
שנותרו]],AE112),0)),0)</f>
        <v>0</v>
      </c>
      <c r="AG111" s="19" t="str">
        <f ca="1">IFERROR(IF(AND(ValuesEntered4,הפחתה8[[#This Row],[תאריך]]&lt;&gt;""),-PPMT(שיעור_ריבית4/12,1,תקופת_ההלוואה4-ROWS($C$4:AD111)+1,הפחתה8[[#This Row],[יתרת פתיחה]]),""),0)</f>
        <v/>
      </c>
      <c r="AH111" s="19">
        <f ca="1">(הפחתה8[[#This Row],[יתרת פתיחה]])*(מדד4/12)</f>
        <v>0</v>
      </c>
      <c r="AI111" s="19">
        <f ca="1">IF(הפחתה8[[#This Row],[תאריך]]="",0,הפחתה8[[#This Row],[ריבית]]+הפחתה8[[#This Row],[קרן]]+הפחתה8[[#This Row],[מדד]])</f>
        <v>0</v>
      </c>
      <c r="AJ111" s="19">
        <f ca="1">IF(הפחתה8[[#This Row],[תאריך]]="",0,הפחתה8[[#This Row],[יתרת פתיחה]]-הפחתה8[[#This Row],[קרן]])</f>
        <v>0</v>
      </c>
      <c r="AK111" s="20">
        <f ca="1">IF(הפחתה8[[#This Row],[יתרת
סגירה]]&gt;0,LastRow4-ROW(),0)</f>
        <v>0</v>
      </c>
    </row>
    <row r="112" spans="1:37" ht="15" customHeight="1" x14ac:dyDescent="0.25">
      <c r="A112" s="8"/>
      <c r="B112" s="11">
        <f>ROWS($B$4:B112)</f>
        <v>109</v>
      </c>
      <c r="C112" s="12">
        <f>IF(ValuesEntered,IF(הפחתה[[#This Row],[מס'']]&lt;=תקופת_ההלוואה,IF(ROW()-ROW(הפחתה[[#Headers],[תאריך]])=1,LoanStart,IF(I111&gt;0,EDATE(C111,1),"")),""),"")</f>
        <v>48670</v>
      </c>
      <c r="D112" s="13">
        <f>IF(ROW()-ROW(הפחתה[[#Headers],[יתרת פתיחה]])=1,סכום_הלוואה,IF(הפחתה[[#This Row],[תאריך]]="",0,INDEX(הפחתה[], ROW()-4,8)))</f>
        <v>505901.25162104284</v>
      </c>
      <c r="E112" s="13">
        <f>IF(ValuesEntered,IF(ROW()-ROW(הפחתה[[#Headers],[ריבית]])=1,-IPMT(שיעור_ריבית/12,1,תקופת_ההלוואה-ROWS($C$4:C112)+1,הפחתה[[#This Row],[יתרת פתיחה]]),IFERROR(-IPMT(שיעור_ריבית/12,1,הפחתה[[#This Row],[תשלומים
שנותרו]],D113),0)),0)</f>
        <v>2229.5502089808178</v>
      </c>
      <c r="F112" s="13">
        <f>IFERROR(IF(AND(ValuesEntered,הפחתה[[#This Row],[תאריך]]&lt;&gt;""),-PPMT(שיעור_ריבית/12,1,תקופת_ההלוואה-ROWS($C$4:C112)+1,הפחתה[[#This Row],[יתרת פתיחה]]),""),0)</f>
        <v>1097.4307197256128</v>
      </c>
      <c r="G112" s="13">
        <f>(הפחתה[[#This Row],[יתרת פתיחה]])*(מדד/12)</f>
        <v>0</v>
      </c>
      <c r="H112" s="13">
        <f>IF(הפחתה[[#This Row],[תאריך]]="",0,הפחתה[[#This Row],[ריבית]]+הפחתה[[#This Row],[קרן]]+הפחתה[[#This Row],[מדד]])</f>
        <v>3326.9809287064309</v>
      </c>
      <c r="I112" s="13">
        <f>IF(הפחתה[[#This Row],[תאריך]]="",0,הפחתה[[#This Row],[יתרת פתיחה]]-הפחתה[[#This Row],[קרן]]+הפחתה[[#This Row],[מדד]])</f>
        <v>504803.82090131723</v>
      </c>
      <c r="J112" s="11">
        <f>IF(הפחתה[[#This Row],[יתרת
סגירה]]&gt;0,LastRow-ROW(),0)</f>
        <v>251</v>
      </c>
      <c r="K112" s="11">
        <f>ROWS($K$4:K112)</f>
        <v>109</v>
      </c>
      <c r="L112" s="12">
        <f>IF(ValuesEntered2,IF(הפחתה5[[#This Row],[מס'']]&lt;=תקופת_ההלוואה2,IF(ROW()-ROW(הפחתה5[[#Headers],[תאריך]])=1,LoanStart2,IF(R111&gt;0,EDATE(L111,1),"")),""),"")</f>
        <v>48670</v>
      </c>
      <c r="M112" s="13">
        <f>IF(ROW()-ROW(הפחתה5[[#Headers],[יתרת פתיחה]])=1,סכום_הלוואה2,IF(הפחתה5[[#This Row],[תאריך]]="",0,INDEX(הפחתה5[], ROW()-4,8)))</f>
        <v>229358.19526558195</v>
      </c>
      <c r="N112" s="13">
        <f>IF(ValuesEntered2,IF(ROW()-ROW(הפחתה5[[#Headers],[ריבית]])=1,-IPMT(שיעור_ריבית2/12,1,תקופת_ההלוואה2-ROWS($L$4:L112)+1,הפחתה5[[#This Row],[יתרת פתיחה]]),IFERROR(-IPMT(שיעור_ריבית2/12,1,הפחתה5[[#This Row],[תשלומים
שנותרו]],M113),0)),0)</f>
        <v>895.17288459337647</v>
      </c>
      <c r="O112" s="13">
        <f>IFERROR(IF(AND(ValuesEntered2,הפחתה5[[#This Row],[תאריך]]&lt;&gt;""),-PPMT(שיעור_ריבית2/12,1,תקופת_ההלוואה2-ROWS($L$4:L112)+1,הפחתה5[[#This Row],[יתרת פתיחה]]),""),0)</f>
        <v>803.41622046452983</v>
      </c>
      <c r="P112" s="13">
        <f>(הפחתה5[[#This Row],[יתרת פתיחה]])*(מדד2/12)</f>
        <v>0</v>
      </c>
      <c r="Q112" s="13">
        <f>IF(הפחתה5[[#This Row],[תאריך]]="",0,הפחתה5[[#This Row],[ריבית]]+הפחתה5[[#This Row],[קרן]]+הפחתה5[[#This Row],[מדד]])</f>
        <v>1698.5891050579062</v>
      </c>
      <c r="R112" s="13">
        <f>IF(הפחתה5[[#This Row],[תאריך]]="",0,הפחתה5[[#This Row],[יתרת פתיחה]]-הפחתה5[[#This Row],[קרן]]+הפחתה5[[#This Row],[מדד]])</f>
        <v>228554.77904511741</v>
      </c>
      <c r="S112" s="11">
        <f>IF(הפחתה5[[#This Row],[יתרת
סגירה]]&gt;0,LastRow2-ROW(),0)</f>
        <v>191</v>
      </c>
      <c r="T112" s="11">
        <f>ROWS($T$4:T112)</f>
        <v>109</v>
      </c>
      <c r="U112" s="12">
        <f ca="1">IF(ValuesEntered3,IF(הפחתה7[[#This Row],[מס'']]&lt;=תקופת_ההלוואה3,IF(ROW()-ROW(הפחתה7[[#Headers],[תאריך]])=1,LoanStart3,IF(AA111&gt;0,EDATE(U111,1),"")),""),"")</f>
        <v>48908</v>
      </c>
      <c r="V112" s="13">
        <f ca="1">IF(ROW()-ROW(הפחתה7[[#Headers],[יתרת פתיחה]])=1,סכום_הלוואה3,IF(הפחתה7[[#This Row],[תאריך]]="",0,INDEX(הפחתה7[], ROW()-4,8)))</f>
        <v>84321.140767013596</v>
      </c>
      <c r="W112" s="13">
        <f ca="1">IF(ValuesEntered3,IF(ROW()-ROW(הפחתה7[[#Headers],[ריבית]])=1,-IPMT(שיעור_ריבית3/12,1,תקופת_ההלוואה3-ROWS($C$4:U112)+1,הפחתה7[[#This Row],[יתרת פתיחה]]),IFERROR(-IPMT(שיעור_ריבית3/12,1,הפחתה7[[#This Row],[תשלומים
שנותרו]],V113),0)),0)</f>
        <v>161.18773762827922</v>
      </c>
      <c r="X112" s="13">
        <f ca="1">IFERROR(IF(AND(ValuesEntered3,הפחתה7[[#This Row],[תאריך]]&lt;&gt;""),-PPMT(שיעור_ריבית3/12,1,תקופת_ההלוואה3-ROWS($C$4:U112)+1,הפחתה7[[#This Row],[יתרת פתיחה]]),""),0)</f>
        <v>363.72593469697949</v>
      </c>
      <c r="Y112" s="13">
        <f ca="1">(הפחתה7[[#This Row],[יתרת פתיחה]])*(מדד3/12)</f>
        <v>140.53523461168933</v>
      </c>
      <c r="Z112" s="13">
        <f ca="1">IF(הפחתה7[[#This Row],[תאריך]]="",0,הפחתה7[[#This Row],[ריבית]]+הפחתה7[[#This Row],[קרן]]+הפחתה7[[#This Row],[מדד]])</f>
        <v>665.44890693694811</v>
      </c>
      <c r="AA112" s="13">
        <f ca="1">IF(הפחתה7[[#This Row],[תאריך]]="",0,הפחתה7[[#This Row],[יתרת פתיחה]]-הפחתה7[[#This Row],[קרן]]+הפחתה7[[#This Row],[מדד]])</f>
        <v>84097.950066928301</v>
      </c>
      <c r="AB112" s="11">
        <f ca="1">IF(הפחתה7[[#This Row],[יתרת
סגירה]]&gt;0,LastRow3-ROW(),0)</f>
        <v>191</v>
      </c>
      <c r="AC112" s="17">
        <f>ROWS($AC$4:AC112)</f>
        <v>109</v>
      </c>
      <c r="AD112" s="18" t="str">
        <f ca="1">IF(ValuesEntered4,IF(הפחתה8[[#This Row],[מס'']]&lt;=תקופת_ההלוואה4,IF(ROW()-ROW(הפחתה8[[#Headers],[תאריך]])=1,LoanStart4,IF(AJ111&gt;0,EDATE(AD111,1),"")),""),"")</f>
        <v/>
      </c>
      <c r="AE112" s="19">
        <f ca="1">IF(ROW()-ROW(הפחתה8[[#Headers],[יתרת פתיחה]])=1,סכום_הלוואה4,IF(הפחתה8[[#This Row],[תאריך]]="",0,INDEX(הפחתה8[], ROW()-4,8)))</f>
        <v>0</v>
      </c>
      <c r="AF112" s="19">
        <f ca="1">IF(ValuesEntered4,IF(ROW()-ROW(הפחתה8[[#Headers],[ריבית]])=1,-IPMT(שיעור_ריבית4/12,1,תקופת_ההלוואה4-ROWS($C$4:AD112)+1,הפחתה8[[#This Row],[יתרת פתיחה]]),IFERROR(-IPMT(שיעור_ריבית4/12,1,הפחתה8[[#This Row],[תשלומים
שנותרו]],AE113),0)),0)</f>
        <v>0</v>
      </c>
      <c r="AG112" s="19" t="str">
        <f ca="1">IFERROR(IF(AND(ValuesEntered4,הפחתה8[[#This Row],[תאריך]]&lt;&gt;""),-PPMT(שיעור_ריבית4/12,1,תקופת_ההלוואה4-ROWS($C$4:AD112)+1,הפחתה8[[#This Row],[יתרת פתיחה]]),""),0)</f>
        <v/>
      </c>
      <c r="AH112" s="19">
        <f ca="1">(הפחתה8[[#This Row],[יתרת פתיחה]])*(מדד4/12)</f>
        <v>0</v>
      </c>
      <c r="AI112" s="19">
        <f ca="1">IF(הפחתה8[[#This Row],[תאריך]]="",0,הפחתה8[[#This Row],[ריבית]]+הפחתה8[[#This Row],[קרן]]+הפחתה8[[#This Row],[מדד]])</f>
        <v>0</v>
      </c>
      <c r="AJ112" s="19">
        <f ca="1">IF(הפחתה8[[#This Row],[תאריך]]="",0,הפחתה8[[#This Row],[יתרת פתיחה]]-הפחתה8[[#This Row],[קרן]])</f>
        <v>0</v>
      </c>
      <c r="AK112" s="20">
        <f ca="1">IF(הפחתה8[[#This Row],[יתרת
סגירה]]&gt;0,LastRow4-ROW(),0)</f>
        <v>0</v>
      </c>
    </row>
    <row r="113" spans="1:37" ht="15" customHeight="1" x14ac:dyDescent="0.25">
      <c r="A113" s="8"/>
      <c r="B113" s="11">
        <f>ROWS($B$4:B113)</f>
        <v>110</v>
      </c>
      <c r="C113" s="12">
        <f>IF(ValuesEntered,IF(הפחתה[[#This Row],[מס'']]&lt;=תקופת_ההלוואה,IF(ROW()-ROW(הפחתה[[#Headers],[תאריך]])=1,LoanStart,IF(I112&gt;0,EDATE(C112,1),"")),""),"")</f>
        <v>48700</v>
      </c>
      <c r="D113" s="13">
        <f>IF(ROW()-ROW(הפחתה[[#Headers],[יתרת פתיחה]])=1,סכום_הלוואה,IF(הפחתה[[#This Row],[תאריך]]="",0,INDEX(הפחתה[], ROW()-4,8)))</f>
        <v>504803.82090131723</v>
      </c>
      <c r="E113" s="13">
        <f>IF(ValuesEntered,IF(ROW()-ROW(הפחתה[[#Headers],[ריבית]])=1,-IPMT(שיעור_ריבית/12,1,תקופת_ההלוואה-ROWS($C$4:C113)+1,הפחתה[[#This Row],[יתרת פתיחה]]),IFERROR(-IPMT(שיעור_ריבית/12,1,הפחתה[[#This Row],[תשלומים
שנותרו]],D114),0)),0)</f>
        <v>2224.6818157819484</v>
      </c>
      <c r="F113" s="13">
        <f>IFERROR(IF(AND(ValuesEntered,הפחתה[[#This Row],[תאריך]]&lt;&gt;""),-PPMT(שיעור_ריבית/12,1,תקופת_ההלוואה-ROWS($C$4:C113)+1,הפחתה[[#This Row],[יתרת פתיחה]]),""),0)</f>
        <v>1102.2777054044006</v>
      </c>
      <c r="G113" s="13">
        <f>(הפחתה[[#This Row],[יתרת פתיחה]])*(מדד/12)</f>
        <v>0</v>
      </c>
      <c r="H113" s="13">
        <f>IF(הפחתה[[#This Row],[תאריך]]="",0,הפחתה[[#This Row],[ריבית]]+הפחתה[[#This Row],[קרן]]+הפחתה[[#This Row],[מדד]])</f>
        <v>3326.9595211863489</v>
      </c>
      <c r="I113" s="13">
        <f>IF(הפחתה[[#This Row],[תאריך]]="",0,הפחתה[[#This Row],[יתרת פתיחה]]-הפחתה[[#This Row],[קרן]]+הפחתה[[#This Row],[מדד]])</f>
        <v>503701.54319591285</v>
      </c>
      <c r="J113" s="11">
        <f>IF(הפחתה[[#This Row],[יתרת
סגירה]]&gt;0,LastRow-ROW(),0)</f>
        <v>250</v>
      </c>
      <c r="K113" s="11">
        <f>ROWS($K$4:K113)</f>
        <v>110</v>
      </c>
      <c r="L113" s="12">
        <f>IF(ValuesEntered2,IF(הפחתה5[[#This Row],[מס'']]&lt;=תקופת_ההלוואה2,IF(ROW()-ROW(הפחתה5[[#Headers],[תאריך]])=1,LoanStart2,IF(R112&gt;0,EDATE(L112,1),"")),""),"")</f>
        <v>48700</v>
      </c>
      <c r="M113" s="13">
        <f>IF(ROW()-ROW(הפחתה5[[#Headers],[יתרת פתיחה]])=1,סכום_הלוואה2,IF(הפחתה5[[#This Row],[תאריך]]="",0,INDEX(הפחתה5[], ROW()-4,8)))</f>
        <v>228554.77904511741</v>
      </c>
      <c r="N113" s="13">
        <f>IF(ValuesEntered2,IF(ROW()-ROW(הפחתה5[[#Headers],[ריבית]])=1,-IPMT(שיעור_ריבית2/12,1,תקופת_ההלוואה2-ROWS($L$4:L113)+1,הפחתה5[[#This Row],[יתרת פתיחה]]),IFERROR(-IPMT(שיעור_ריבית2/12,1,הפחתה5[[#This Row],[תשלומים
שנותרו]],M114),0)),0)</f>
        <v>892.01384643523056</v>
      </c>
      <c r="O113" s="13">
        <f>IFERROR(IF(AND(ValuesEntered2,הפחתה5[[#This Row],[תאריך]]&lt;&gt;""),-PPMT(שיעור_ריבית2/12,1,תקופת_ההלוואה2-ROWS($L$4:L113)+1,הפחתה5[[#This Row],[יתרת פתיחה]]),""),0)</f>
        <v>806.56293399468257</v>
      </c>
      <c r="P113" s="13">
        <f>(הפחתה5[[#This Row],[יתרת פתיחה]])*(מדד2/12)</f>
        <v>0</v>
      </c>
      <c r="Q113" s="13">
        <f>IF(הפחתה5[[#This Row],[תאריך]]="",0,הפחתה5[[#This Row],[ריבית]]+הפחתה5[[#This Row],[קרן]]+הפחתה5[[#This Row],[מדד]])</f>
        <v>1698.576780429913</v>
      </c>
      <c r="R113" s="13">
        <f>IF(הפחתה5[[#This Row],[תאריך]]="",0,הפחתה5[[#This Row],[יתרת פתיחה]]-הפחתה5[[#This Row],[קרן]]+הפחתה5[[#This Row],[מדד]])</f>
        <v>227748.21611112272</v>
      </c>
      <c r="S113" s="11">
        <f>IF(הפחתה5[[#This Row],[יתרת
סגירה]]&gt;0,LastRow2-ROW(),0)</f>
        <v>190</v>
      </c>
      <c r="T113" s="11">
        <f>ROWS($T$4:T113)</f>
        <v>110</v>
      </c>
      <c r="U113" s="12">
        <f ca="1">IF(ValuesEntered3,IF(הפחתה7[[#This Row],[מס'']]&lt;=תקופת_ההלוואה3,IF(ROW()-ROW(הפחתה7[[#Headers],[תאריך]])=1,LoanStart3,IF(AA112&gt;0,EDATE(U112,1),"")),""),"")</f>
        <v>48938</v>
      </c>
      <c r="V113" s="13">
        <f ca="1">IF(ROW()-ROW(הפחתה7[[#Headers],[יתרת פתיחה]])=1,סכום_הלוואה3,IF(הפחתה7[[#This Row],[תאריך]]="",0,INDEX(הפחתה7[], ROW()-4,8)))</f>
        <v>84097.950066928301</v>
      </c>
      <c r="W113" s="13">
        <f ca="1">IF(ValuesEntered3,IF(ROW()-ROW(הפחתה7[[#Headers],[ריבית]])=1,-IPMT(שיעור_ריבית3/12,1,תקופת_ההלוואה3-ROWS($C$4:U113)+1,הפחתה7[[#This Row],[יתרת פתיחה]]),IFERROR(-IPMT(שיעור_ריבית3/12,1,הפחתה7[[#This Row],[תשלומים
שנותרו]],V114),0)),0)</f>
        <v>160.75673712259913</v>
      </c>
      <c r="X113" s="13">
        <f ca="1">IFERROR(IF(AND(ValuesEntered3,הפחתה7[[#This Row],[תאריך]]&lt;&gt;""),-PPMT(שיעור_ריבית3/12,1,תקופת_ההלוואה3-ROWS($C$4:U113)+1,הפחתה7[[#This Row],[יתרת פתיחה]]),""),0)</f>
        <v>365.03307916202431</v>
      </c>
      <c r="Y113" s="13">
        <f ca="1">(הפחתה7[[#This Row],[יתרת פתיחה]])*(מדד3/12)</f>
        <v>140.16325011154717</v>
      </c>
      <c r="Z113" s="13">
        <f ca="1">IF(הפחתה7[[#This Row],[תאריך]]="",0,הפחתה7[[#This Row],[ריבית]]+הפחתה7[[#This Row],[קרן]]+הפחתה7[[#This Row],[מדד]])</f>
        <v>665.95306639617058</v>
      </c>
      <c r="AA113" s="13">
        <f ca="1">IF(הפחתה7[[#This Row],[תאריך]]="",0,הפחתה7[[#This Row],[יתרת פתיחה]]-הפחתה7[[#This Row],[קרן]]+הפחתה7[[#This Row],[מדד]])</f>
        <v>83873.080237877832</v>
      </c>
      <c r="AB113" s="11">
        <f ca="1">IF(הפחתה7[[#This Row],[יתרת
סגירה]]&gt;0,LastRow3-ROW(),0)</f>
        <v>190</v>
      </c>
      <c r="AC113" s="17">
        <f>ROWS($AC$4:AC113)</f>
        <v>110</v>
      </c>
      <c r="AD113" s="18" t="str">
        <f ca="1">IF(ValuesEntered4,IF(הפחתה8[[#This Row],[מס'']]&lt;=תקופת_ההלוואה4,IF(ROW()-ROW(הפחתה8[[#Headers],[תאריך]])=1,LoanStart4,IF(AJ112&gt;0,EDATE(AD112,1),"")),""),"")</f>
        <v/>
      </c>
      <c r="AE113" s="19">
        <f ca="1">IF(ROW()-ROW(הפחתה8[[#Headers],[יתרת פתיחה]])=1,סכום_הלוואה4,IF(הפחתה8[[#This Row],[תאריך]]="",0,INDEX(הפחתה8[], ROW()-4,8)))</f>
        <v>0</v>
      </c>
      <c r="AF113" s="19">
        <f ca="1">IF(ValuesEntered4,IF(ROW()-ROW(הפחתה8[[#Headers],[ריבית]])=1,-IPMT(שיעור_ריבית4/12,1,תקופת_ההלוואה4-ROWS($C$4:AD113)+1,הפחתה8[[#This Row],[יתרת פתיחה]]),IFERROR(-IPMT(שיעור_ריבית4/12,1,הפחתה8[[#This Row],[תשלומים
שנותרו]],AE114),0)),0)</f>
        <v>0</v>
      </c>
      <c r="AG113" s="19" t="str">
        <f ca="1">IFERROR(IF(AND(ValuesEntered4,הפחתה8[[#This Row],[תאריך]]&lt;&gt;""),-PPMT(שיעור_ריבית4/12,1,תקופת_ההלוואה4-ROWS($C$4:AD113)+1,הפחתה8[[#This Row],[יתרת פתיחה]]),""),0)</f>
        <v/>
      </c>
      <c r="AH113" s="19">
        <f ca="1">(הפחתה8[[#This Row],[יתרת פתיחה]])*(מדד4/12)</f>
        <v>0</v>
      </c>
      <c r="AI113" s="19">
        <f ca="1">IF(הפחתה8[[#This Row],[תאריך]]="",0,הפחתה8[[#This Row],[ריבית]]+הפחתה8[[#This Row],[קרן]]+הפחתה8[[#This Row],[מדד]])</f>
        <v>0</v>
      </c>
      <c r="AJ113" s="19">
        <f ca="1">IF(הפחתה8[[#This Row],[תאריך]]="",0,הפחתה8[[#This Row],[יתרת פתיחה]]-הפחתה8[[#This Row],[קרן]])</f>
        <v>0</v>
      </c>
      <c r="AK113" s="20">
        <f ca="1">IF(הפחתה8[[#This Row],[יתרת
סגירה]]&gt;0,LastRow4-ROW(),0)</f>
        <v>0</v>
      </c>
    </row>
    <row r="114" spans="1:37" ht="15" customHeight="1" x14ac:dyDescent="0.25">
      <c r="A114" s="8"/>
      <c r="B114" s="11">
        <f>ROWS($B$4:B114)</f>
        <v>111</v>
      </c>
      <c r="C114" s="12">
        <f>IF(ValuesEntered,IF(הפחתה[[#This Row],[מס'']]&lt;=תקופת_ההלוואה,IF(ROW()-ROW(הפחתה[[#Headers],[תאריך]])=1,LoanStart,IF(I113&gt;0,EDATE(C113,1),"")),""),"")</f>
        <v>48731</v>
      </c>
      <c r="D114" s="13">
        <f>IF(ROW()-ROW(הפחתה[[#Headers],[יתרת פתיחה]])=1,סכום_הלוואה,IF(הפחתה[[#This Row],[תאריך]]="",0,INDEX(הפחתה[], ROW()-4,8)))</f>
        <v>503701.54319591285</v>
      </c>
      <c r="E114" s="13">
        <f>IF(ValuesEntered,IF(ROW()-ROW(הפחתה[[#Headers],[ריבית]])=1,-IPMT(שיעור_ריבית/12,1,תקופת_ההלוואה-ROWS($C$4:C114)+1,הפחתה[[#This Row],[יתרת פתיחה]]),IFERROR(-IPMT(שיעור_ריבית/12,1,הפחתה[[#This Row],[תשלומים
שנותרו]],D115),0)),0)</f>
        <v>2219.7919205131175</v>
      </c>
      <c r="F114" s="13">
        <f>IFERROR(IF(AND(ValuesEntered,הפחתה[[#This Row],[תאריך]]&lt;&gt;""),-PPMT(שיעור_ריבית/12,1,תקופת_ההלוואה-ROWS($C$4:C114)+1,הפחתה[[#This Row],[יתרת פתיחה]]),""),0)</f>
        <v>1107.14609860327</v>
      </c>
      <c r="G114" s="13">
        <f>(הפחתה[[#This Row],[יתרת פתיחה]])*(מדד/12)</f>
        <v>0</v>
      </c>
      <c r="H114" s="13">
        <f>IF(הפחתה[[#This Row],[תאריך]]="",0,הפחתה[[#This Row],[ריבית]]+הפחתה[[#This Row],[קרן]]+הפחתה[[#This Row],[מדד]])</f>
        <v>3326.9380191163873</v>
      </c>
      <c r="I114" s="13">
        <f>IF(הפחתה[[#This Row],[תאריך]]="",0,הפחתה[[#This Row],[יתרת פתיחה]]-הפחתה[[#This Row],[קרן]]+הפחתה[[#This Row],[מדד]])</f>
        <v>502594.39709730959</v>
      </c>
      <c r="J114" s="11">
        <f>IF(הפחתה[[#This Row],[יתרת
סגירה]]&gt;0,LastRow-ROW(),0)</f>
        <v>249</v>
      </c>
      <c r="K114" s="11">
        <f>ROWS($K$4:K114)</f>
        <v>111</v>
      </c>
      <c r="L114" s="12">
        <f>IF(ValuesEntered2,IF(הפחתה5[[#This Row],[מס'']]&lt;=תקופת_ההלוואה2,IF(ROW()-ROW(הפחתה5[[#Headers],[תאריך]])=1,LoanStart2,IF(R113&gt;0,EDATE(L113,1),"")),""),"")</f>
        <v>48731</v>
      </c>
      <c r="M114" s="13">
        <f>IF(ROW()-ROW(הפחתה5[[#Headers],[יתרת פתיחה]])=1,סכום_הלוואה2,IF(הפחתה5[[#This Row],[תאריך]]="",0,INDEX(הפחתה5[], ROW()-4,8)))</f>
        <v>227748.21611112272</v>
      </c>
      <c r="N114" s="13">
        <f>IF(ValuesEntered2,IF(ROW()-ROW(הפחתה5[[#Headers],[ריבית]])=1,-IPMT(שיעור_ריבית2/12,1,תקופת_ההלוואה2-ROWS($L$4:L114)+1,הפחתה5[[#This Row],[יתרת פתיחה]]),IFERROR(-IPMT(שיעור_ריבית2/12,1,הפחתה5[[#This Row],[תשלומים
שנותרו]],M115),0)),0)</f>
        <v>888.842435377632</v>
      </c>
      <c r="O114" s="13">
        <f>IFERROR(IF(AND(ValuesEntered2,הפחתה5[[#This Row],[תאריך]]&lt;&gt;""),-PPMT(שיעור_ריבית2/12,1,תקופת_ההלוואה2-ROWS($L$4:L114)+1,הפחתה5[[#This Row],[יתרת פתיחה]]),""),0)</f>
        <v>809.72197215282824</v>
      </c>
      <c r="P114" s="13">
        <f>(הפחתה5[[#This Row],[יתרת פתיחה]])*(מדד2/12)</f>
        <v>0</v>
      </c>
      <c r="Q114" s="13">
        <f>IF(הפחתה5[[#This Row],[תאריך]]="",0,הפחתה5[[#This Row],[ריבית]]+הפחתה5[[#This Row],[קרן]]+הפחתה5[[#This Row],[מדד]])</f>
        <v>1698.5644075304604</v>
      </c>
      <c r="R114" s="13">
        <f>IF(הפחתה5[[#This Row],[תאריך]]="",0,הפחתה5[[#This Row],[יתרת פתיחה]]-הפחתה5[[#This Row],[קרן]]+הפחתה5[[#This Row],[מדד]])</f>
        <v>226938.49413896989</v>
      </c>
      <c r="S114" s="11">
        <f>IF(הפחתה5[[#This Row],[יתרת
סגירה]]&gt;0,LastRow2-ROW(),0)</f>
        <v>189</v>
      </c>
      <c r="T114" s="11">
        <f>ROWS($T$4:T114)</f>
        <v>111</v>
      </c>
      <c r="U114" s="12">
        <f ca="1">IF(ValuesEntered3,IF(הפחתה7[[#This Row],[מס'']]&lt;=תקופת_ההלוואה3,IF(ROW()-ROW(הפחתה7[[#Headers],[תאריך]])=1,LoanStart3,IF(AA113&gt;0,EDATE(U113,1),"")),""),"")</f>
        <v>48969</v>
      </c>
      <c r="V114" s="13">
        <f ca="1">IF(ROW()-ROW(הפחתה7[[#Headers],[יתרת פתיחה]])=1,סכום_הלוואה3,IF(הפחתה7[[#This Row],[תאריך]]="",0,INDEX(הפחתה7[], ROW()-4,8)))</f>
        <v>83873.080237877832</v>
      </c>
      <c r="W114" s="13">
        <f ca="1">IF(ValuesEntered3,IF(ROW()-ROW(הפחתה7[[#Headers],[ריבית]])=1,-IPMT(שיעור_ריבית3/12,1,תקופת_ההלוואה3-ROWS($C$4:U114)+1,הפחתה7[[#This Row],[יתרת פתיחה]]),IFERROR(-IPMT(שיעור_ריבית3/12,1,הפחתה7[[#This Row],[תשלומים
שנותרו]],V115),0)),0)</f>
        <v>160.32250388704105</v>
      </c>
      <c r="X114" s="13">
        <f ca="1">IFERROR(IF(AND(ValuesEntered3,הפחתה7[[#This Row],[תאריך]]&lt;&gt;""),-PPMT(שיעור_ריבית3/12,1,תקופת_ההלוואה3-ROWS($C$4:U114)+1,הפחתה7[[#This Row],[יתרת פתיחה]]),""),0)</f>
        <v>366.3449377891103</v>
      </c>
      <c r="Y114" s="13">
        <f ca="1">(הפחתה7[[#This Row],[יתרת פתיחה]])*(מדד3/12)</f>
        <v>139.78846706312973</v>
      </c>
      <c r="Z114" s="13">
        <f ca="1">IF(הפחתה7[[#This Row],[תאריך]]="",0,הפחתה7[[#This Row],[ריבית]]+הפחתה7[[#This Row],[קרן]]+הפחתה7[[#This Row],[מדד]])</f>
        <v>666.45590873928109</v>
      </c>
      <c r="AA114" s="13">
        <f ca="1">IF(הפחתה7[[#This Row],[תאריך]]="",0,הפחתה7[[#This Row],[יתרת פתיחה]]-הפחתה7[[#This Row],[קרן]]+הפחתה7[[#This Row],[מדד]])</f>
        <v>83646.523767151855</v>
      </c>
      <c r="AB114" s="11">
        <f ca="1">IF(הפחתה7[[#This Row],[יתרת
סגירה]]&gt;0,LastRow3-ROW(),0)</f>
        <v>189</v>
      </c>
      <c r="AC114" s="17">
        <f>ROWS($AC$4:AC114)</f>
        <v>111</v>
      </c>
      <c r="AD114" s="18" t="str">
        <f ca="1">IF(ValuesEntered4,IF(הפחתה8[[#This Row],[מס'']]&lt;=תקופת_ההלוואה4,IF(ROW()-ROW(הפחתה8[[#Headers],[תאריך]])=1,LoanStart4,IF(AJ113&gt;0,EDATE(AD113,1),"")),""),"")</f>
        <v/>
      </c>
      <c r="AE114" s="19">
        <f ca="1">IF(ROW()-ROW(הפחתה8[[#Headers],[יתרת פתיחה]])=1,סכום_הלוואה4,IF(הפחתה8[[#This Row],[תאריך]]="",0,INDEX(הפחתה8[], ROW()-4,8)))</f>
        <v>0</v>
      </c>
      <c r="AF114" s="19">
        <f ca="1">IF(ValuesEntered4,IF(ROW()-ROW(הפחתה8[[#Headers],[ריבית]])=1,-IPMT(שיעור_ריבית4/12,1,תקופת_ההלוואה4-ROWS($C$4:AD114)+1,הפחתה8[[#This Row],[יתרת פתיחה]]),IFERROR(-IPMT(שיעור_ריבית4/12,1,הפחתה8[[#This Row],[תשלומים
שנותרו]],AE115),0)),0)</f>
        <v>0</v>
      </c>
      <c r="AG114" s="19" t="str">
        <f ca="1">IFERROR(IF(AND(ValuesEntered4,הפחתה8[[#This Row],[תאריך]]&lt;&gt;""),-PPMT(שיעור_ריבית4/12,1,תקופת_ההלוואה4-ROWS($C$4:AD114)+1,הפחתה8[[#This Row],[יתרת פתיחה]]),""),0)</f>
        <v/>
      </c>
      <c r="AH114" s="19">
        <f ca="1">(הפחתה8[[#This Row],[יתרת פתיחה]])*(מדד4/12)</f>
        <v>0</v>
      </c>
      <c r="AI114" s="19">
        <f ca="1">IF(הפחתה8[[#This Row],[תאריך]]="",0,הפחתה8[[#This Row],[ריבית]]+הפחתה8[[#This Row],[קרן]]+הפחתה8[[#This Row],[מדד]])</f>
        <v>0</v>
      </c>
      <c r="AJ114" s="19">
        <f ca="1">IF(הפחתה8[[#This Row],[תאריך]]="",0,הפחתה8[[#This Row],[יתרת פתיחה]]-הפחתה8[[#This Row],[קרן]])</f>
        <v>0</v>
      </c>
      <c r="AK114" s="20">
        <f ca="1">IF(הפחתה8[[#This Row],[יתרת
סגירה]]&gt;0,LastRow4-ROW(),0)</f>
        <v>0</v>
      </c>
    </row>
    <row r="115" spans="1:37" ht="15" customHeight="1" x14ac:dyDescent="0.25">
      <c r="A115" s="8"/>
      <c r="B115" s="11">
        <f>ROWS($B$4:B115)</f>
        <v>112</v>
      </c>
      <c r="C115" s="12">
        <f>IF(ValuesEntered,IF(הפחתה[[#This Row],[מס'']]&lt;=תקופת_ההלוואה,IF(ROW()-ROW(הפחתה[[#Headers],[תאריך]])=1,LoanStart,IF(I114&gt;0,EDATE(C114,1),"")),""),"")</f>
        <v>48761</v>
      </c>
      <c r="D115" s="13">
        <f>IF(ROW()-ROW(הפחתה[[#Headers],[יתרת פתיחה]])=1,סכום_הלוואה,IF(הפחתה[[#This Row],[תאריך]]="",0,INDEX(הפחתה[], ROW()-4,8)))</f>
        <v>502594.39709730959</v>
      </c>
      <c r="E115" s="13">
        <f>IF(ValuesEntered,IF(ROW()-ROW(הפחתה[[#Headers],[ריבית]])=1,-IPMT(שיעור_ריבית/12,1,תקופת_ההלוואה-ROWS($C$4:C115)+1,הפחתה[[#This Row],[יתרת פתיחה]]),IFERROR(-IPMT(שיעור_ריבית/12,1,הפחתה[[#This Row],[תשלומים
שנותרו]],D116),0)),0)</f>
        <v>2214.880428206849</v>
      </c>
      <c r="F115" s="13">
        <f>IFERROR(IF(AND(ValuesEntered,הפחתה[[#This Row],[תאריך]]&lt;&gt;""),-PPMT(שיעור_ריבית/12,1,תקופת_ההלוואה-ROWS($C$4:C115)+1,הפחתה[[#This Row],[יתרת פתיחה]]),""),0)</f>
        <v>1112.0359938721015</v>
      </c>
      <c r="G115" s="13">
        <f>(הפחתה[[#This Row],[יתרת פתיחה]])*(מדד/12)</f>
        <v>0</v>
      </c>
      <c r="H115" s="13">
        <f>IF(הפחתה[[#This Row],[תאריך]]="",0,הפחתה[[#This Row],[ריבית]]+הפחתה[[#This Row],[קרן]]+הפחתה[[#This Row],[מדד]])</f>
        <v>3326.9164220789507</v>
      </c>
      <c r="I115" s="13">
        <f>IF(הפחתה[[#This Row],[תאריך]]="",0,הפחתה[[#This Row],[יתרת פתיחה]]-הפחתה[[#This Row],[קרן]]+הפחתה[[#This Row],[מדד]])</f>
        <v>501482.36110343749</v>
      </c>
      <c r="J115" s="11">
        <f>IF(הפחתה[[#This Row],[יתרת
סגירה]]&gt;0,LastRow-ROW(),0)</f>
        <v>248</v>
      </c>
      <c r="K115" s="11">
        <f>ROWS($K$4:K115)</f>
        <v>112</v>
      </c>
      <c r="L115" s="12">
        <f>IF(ValuesEntered2,IF(הפחתה5[[#This Row],[מס'']]&lt;=תקופת_ההלוואה2,IF(ROW()-ROW(הפחתה5[[#Headers],[תאריך]])=1,LoanStart2,IF(R114&gt;0,EDATE(L114,1),"")),""),"")</f>
        <v>48761</v>
      </c>
      <c r="M115" s="13">
        <f>IF(ROW()-ROW(הפחתה5[[#Headers],[יתרת פתיחה]])=1,סכום_הלוואה2,IF(הפחתה5[[#This Row],[תאריך]]="",0,INDEX(הפחתה5[], ROW()-4,8)))</f>
        <v>226938.49413896989</v>
      </c>
      <c r="N115" s="13">
        <f>IF(ValuesEntered2,IF(ROW()-ROW(הפחתה5[[#Headers],[ריבית]])=1,-IPMT(שיעור_ריבית2/12,1,תקופת_ההלוואה2-ROWS($L$4:L115)+1,הפחתה5[[#This Row],[יתרת פתיחה]]),IFERROR(-IPMT(שיעור_ריבית2/12,1,הפחתה5[[#This Row],[תשלומים
שנותרו]],M116),0)),0)</f>
        <v>885.65860296005769</v>
      </c>
      <c r="O115" s="13">
        <f>IFERROR(IF(AND(ValuesEntered2,הפחתה5[[#This Row],[תאריך]]&lt;&gt;""),-PPMT(שיעור_ריבית2/12,1,תקופת_ההלוואה2-ROWS($L$4:L115)+1,הפחתה5[[#This Row],[יתרת פתיחה]]),""),0)</f>
        <v>812.89338321042703</v>
      </c>
      <c r="P115" s="13">
        <f>(הפחתה5[[#This Row],[יתרת פתיחה]])*(מדד2/12)</f>
        <v>0</v>
      </c>
      <c r="Q115" s="13">
        <f>IF(הפחתה5[[#This Row],[תאריך]]="",0,הפחתה5[[#This Row],[ריבית]]+הפחתה5[[#This Row],[קרן]]+הפחתה5[[#This Row],[מדד]])</f>
        <v>1698.5519861704847</v>
      </c>
      <c r="R115" s="13">
        <f>IF(הפחתה5[[#This Row],[תאריך]]="",0,הפחתה5[[#This Row],[יתרת פתיחה]]-הפחתה5[[#This Row],[קרן]]+הפחתה5[[#This Row],[מדד]])</f>
        <v>226125.60075575946</v>
      </c>
      <c r="S115" s="11">
        <f>IF(הפחתה5[[#This Row],[יתרת
סגירה]]&gt;0,LastRow2-ROW(),0)</f>
        <v>188</v>
      </c>
      <c r="T115" s="11">
        <f>ROWS($T$4:T115)</f>
        <v>112</v>
      </c>
      <c r="U115" s="12">
        <f ca="1">IF(ValuesEntered3,IF(הפחתה7[[#This Row],[מס'']]&lt;=תקופת_ההלוואה3,IF(ROW()-ROW(הפחתה7[[#Headers],[תאריך]])=1,LoanStart3,IF(AA114&gt;0,EDATE(U114,1),"")),""),"")</f>
        <v>49000</v>
      </c>
      <c r="V115" s="13">
        <f ca="1">IF(ROW()-ROW(הפחתה7[[#Headers],[יתרת פתיחה]])=1,סכום_הלוואה3,IF(הפחתה7[[#This Row],[תאריך]]="",0,INDEX(הפחתה7[], ROW()-4,8)))</f>
        <v>83646.523767151855</v>
      </c>
      <c r="W115" s="13">
        <f ca="1">IF(ValuesEntered3,IF(ROW()-ROW(הפחתה7[[#Headers],[ריבית]])=1,-IPMT(שיעור_ריבית3/12,1,תקופת_ההלוואה3-ROWS($C$4:U115)+1,הפחתה7[[#This Row],[יתרת פתיחה]]),IFERROR(-IPMT(שיעור_ריבית3/12,1,הפחתה7[[#This Row],[תשלומים
שנותרו]],V116),0)),0)</f>
        <v>159.88502346520298</v>
      </c>
      <c r="X115" s="13">
        <f ca="1">IFERROR(IF(AND(ValuesEntered3,הפחתה7[[#This Row],[תאריך]]&lt;&gt;""),-PPMT(שיעור_ריבית3/12,1,תקופת_ההלוואה3-ROWS($C$4:U115)+1,הפחתה7[[#This Row],[יתרת פתיחה]]),""),0)</f>
        <v>367.66152781729761</v>
      </c>
      <c r="Y115" s="13">
        <f ca="1">(הפחתה7[[#This Row],[יתרת פתיחה]])*(מדד3/12)</f>
        <v>139.41087294525309</v>
      </c>
      <c r="Z115" s="13">
        <f ca="1">IF(הפחתה7[[#This Row],[תאריך]]="",0,הפחתה7[[#This Row],[ריבית]]+הפחתה7[[#This Row],[קרן]]+הפחתה7[[#This Row],[מדד]])</f>
        <v>666.95742422775368</v>
      </c>
      <c r="AA115" s="13">
        <f ca="1">IF(הפחתה7[[#This Row],[תאריך]]="",0,הפחתה7[[#This Row],[יתרת פתיחה]]-הפחתה7[[#This Row],[קרן]]+הפחתה7[[#This Row],[מדד]])</f>
        <v>83418.273112279814</v>
      </c>
      <c r="AB115" s="11">
        <f ca="1">IF(הפחתה7[[#This Row],[יתרת
סגירה]]&gt;0,LastRow3-ROW(),0)</f>
        <v>188</v>
      </c>
      <c r="AC115" s="17">
        <f>ROWS($AC$4:AC115)</f>
        <v>112</v>
      </c>
      <c r="AD115" s="18" t="str">
        <f ca="1">IF(ValuesEntered4,IF(הפחתה8[[#This Row],[מס'']]&lt;=תקופת_ההלוואה4,IF(ROW()-ROW(הפחתה8[[#Headers],[תאריך]])=1,LoanStart4,IF(AJ114&gt;0,EDATE(AD114,1),"")),""),"")</f>
        <v/>
      </c>
      <c r="AE115" s="19">
        <f ca="1">IF(ROW()-ROW(הפחתה8[[#Headers],[יתרת פתיחה]])=1,סכום_הלוואה4,IF(הפחתה8[[#This Row],[תאריך]]="",0,INDEX(הפחתה8[], ROW()-4,8)))</f>
        <v>0</v>
      </c>
      <c r="AF115" s="19">
        <f ca="1">IF(ValuesEntered4,IF(ROW()-ROW(הפחתה8[[#Headers],[ריבית]])=1,-IPMT(שיעור_ריבית4/12,1,תקופת_ההלוואה4-ROWS($C$4:AD115)+1,הפחתה8[[#This Row],[יתרת פתיחה]]),IFERROR(-IPMT(שיעור_ריבית4/12,1,הפחתה8[[#This Row],[תשלומים
שנותרו]],AE116),0)),0)</f>
        <v>0</v>
      </c>
      <c r="AG115" s="19" t="str">
        <f ca="1">IFERROR(IF(AND(ValuesEntered4,הפחתה8[[#This Row],[תאריך]]&lt;&gt;""),-PPMT(שיעור_ריבית4/12,1,תקופת_ההלוואה4-ROWS($C$4:AD115)+1,הפחתה8[[#This Row],[יתרת פתיחה]]),""),0)</f>
        <v/>
      </c>
      <c r="AH115" s="19">
        <f ca="1">(הפחתה8[[#This Row],[יתרת פתיחה]])*(מדד4/12)</f>
        <v>0</v>
      </c>
      <c r="AI115" s="19">
        <f ca="1">IF(הפחתה8[[#This Row],[תאריך]]="",0,הפחתה8[[#This Row],[ריבית]]+הפחתה8[[#This Row],[קרן]]+הפחתה8[[#This Row],[מדד]])</f>
        <v>0</v>
      </c>
      <c r="AJ115" s="19">
        <f ca="1">IF(הפחתה8[[#This Row],[תאריך]]="",0,הפחתה8[[#This Row],[יתרת פתיחה]]-הפחתה8[[#This Row],[קרן]])</f>
        <v>0</v>
      </c>
      <c r="AK115" s="20">
        <f ca="1">IF(הפחתה8[[#This Row],[יתרת
סגירה]]&gt;0,LastRow4-ROW(),0)</f>
        <v>0</v>
      </c>
    </row>
    <row r="116" spans="1:37" ht="15" customHeight="1" x14ac:dyDescent="0.25">
      <c r="A116" s="8"/>
      <c r="B116" s="11">
        <f>ROWS($B$4:B116)</f>
        <v>113</v>
      </c>
      <c r="C116" s="12">
        <f>IF(ValuesEntered,IF(הפחתה[[#This Row],[מס'']]&lt;=תקופת_ההלוואה,IF(ROW()-ROW(הפחתה[[#Headers],[תאריך]])=1,LoanStart,IF(I115&gt;0,EDATE(C115,1),"")),""),"")</f>
        <v>48792</v>
      </c>
      <c r="D116" s="13">
        <f>IF(ROW()-ROW(הפחתה[[#Headers],[יתרת פתיחה]])=1,סכום_הלוואה,IF(הפחתה[[#This Row],[תאריך]]="",0,INDEX(הפחתה[], ROW()-4,8)))</f>
        <v>501482.36110343749</v>
      </c>
      <c r="E116" s="13">
        <f>IF(ValuesEntered,IF(ROW()-ROW(הפחתה[[#Headers],[ריבית]])=1,-IPMT(שיעור_ריבית/12,1,תקופת_ההלוואה-ROWS($C$4:C116)+1,הפחתה[[#This Row],[יתרת פתיחה]]),IFERROR(-IPMT(שיעור_ריבית/12,1,הפחתה[[#This Row],[תשלומים
שנותרו]],D117),0)),0)</f>
        <v>2209.9472434762279</v>
      </c>
      <c r="F116" s="13">
        <f>IFERROR(IF(AND(ValuesEntered,הפחתה[[#This Row],[תאריך]]&lt;&gt;""),-PPMT(שיעור_ריבית/12,1,תקופת_ההלוואה-ROWS($C$4:C116)+1,הפחתה[[#This Row],[יתרת פתיחה]]),""),0)</f>
        <v>1116.9474861783699</v>
      </c>
      <c r="G116" s="13">
        <f>(הפחתה[[#This Row],[יתרת פתיחה]])*(מדד/12)</f>
        <v>0</v>
      </c>
      <c r="H116" s="13">
        <f>IF(הפחתה[[#This Row],[תאריך]]="",0,הפחתה[[#This Row],[ריבית]]+הפחתה[[#This Row],[קרן]]+הפחתה[[#This Row],[מדד]])</f>
        <v>3326.8947296545975</v>
      </c>
      <c r="I116" s="13">
        <f>IF(הפחתה[[#This Row],[תאריך]]="",0,הפחתה[[#This Row],[יתרת פתיחה]]-הפחתה[[#This Row],[קרן]]+הפחתה[[#This Row],[מדד]])</f>
        <v>500365.41361725912</v>
      </c>
      <c r="J116" s="11">
        <f>IF(הפחתה[[#This Row],[יתרת
סגירה]]&gt;0,LastRow-ROW(),0)</f>
        <v>247</v>
      </c>
      <c r="K116" s="11">
        <f>ROWS($K$4:K116)</f>
        <v>113</v>
      </c>
      <c r="L116" s="12">
        <f>IF(ValuesEntered2,IF(הפחתה5[[#This Row],[מס'']]&lt;=תקופת_ההלוואה2,IF(ROW()-ROW(הפחתה5[[#Headers],[תאריך]])=1,LoanStart2,IF(R115&gt;0,EDATE(L115,1),"")),""),"")</f>
        <v>48792</v>
      </c>
      <c r="M116" s="13">
        <f>IF(ROW()-ROW(הפחתה5[[#Headers],[יתרת פתיחה]])=1,סכום_הלוואה2,IF(הפחתה5[[#This Row],[תאריך]]="",0,INDEX(הפחתה5[], ROW()-4,8)))</f>
        <v>226125.60075575946</v>
      </c>
      <c r="N116" s="13">
        <f>IF(ValuesEntered2,IF(ROW()-ROW(הפחתה5[[#Headers],[ריבית]])=1,-IPMT(שיעור_ריבית2/12,1,תקופת_ההלוואה2-ROWS($L$4:L116)+1,הפחתה5[[#This Row],[יתרת פתיחה]]),IFERROR(-IPMT(שיעור_ריבית2/12,1,הפחתה5[[#This Row],[תשלומים
שנותרו]],M117),0)),0)</f>
        <v>882.46230053218153</v>
      </c>
      <c r="O116" s="13">
        <f>IFERROR(IF(AND(ValuesEntered2,הפחתה5[[#This Row],[תאריך]]&lt;&gt;""),-PPMT(שיעור_ריבית2/12,1,תקופת_ההלוואה2-ROWS($L$4:L116)+1,הפחתה5[[#This Row],[יתרת פתיחה]]),""),0)</f>
        <v>816.07721562800123</v>
      </c>
      <c r="P116" s="13">
        <f>(הפחתה5[[#This Row],[יתרת פתיחה]])*(מדד2/12)</f>
        <v>0</v>
      </c>
      <c r="Q116" s="13">
        <f>IF(הפחתה5[[#This Row],[תאריך]]="",0,הפחתה5[[#This Row],[ריבית]]+הפחתה5[[#This Row],[קרן]]+הפחתה5[[#This Row],[מדד]])</f>
        <v>1698.5395161601828</v>
      </c>
      <c r="R116" s="13">
        <f>IF(הפחתה5[[#This Row],[תאריך]]="",0,הפחתה5[[#This Row],[יתרת פתיחה]]-הפחתה5[[#This Row],[קרן]]+הפחתה5[[#This Row],[מדד]])</f>
        <v>225309.52354013146</v>
      </c>
      <c r="S116" s="11">
        <f>IF(הפחתה5[[#This Row],[יתרת
סגירה]]&gt;0,LastRow2-ROW(),0)</f>
        <v>187</v>
      </c>
      <c r="T116" s="11">
        <f>ROWS($T$4:T116)</f>
        <v>113</v>
      </c>
      <c r="U116" s="12">
        <f ca="1">IF(ValuesEntered3,IF(הפחתה7[[#This Row],[מס'']]&lt;=תקופת_ההלוואה3,IF(ROW()-ROW(הפחתה7[[#Headers],[תאריך]])=1,LoanStart3,IF(AA115&gt;0,EDATE(U115,1),"")),""),"")</f>
        <v>49028</v>
      </c>
      <c r="V116" s="13">
        <f ca="1">IF(ROW()-ROW(הפחתה7[[#Headers],[יתרת פתיחה]])=1,סכום_הלוואה3,IF(הפחתה7[[#This Row],[תאריך]]="",0,INDEX(הפחתה7[], ROW()-4,8)))</f>
        <v>83418.273112279814</v>
      </c>
      <c r="W116" s="13">
        <f ca="1">IF(ValuesEntered3,IF(ROW()-ROW(הפחתה7[[#Headers],[ריבית]])=1,-IPMT(שיעור_ריבית3/12,1,תקופת_ההלוואה3-ROWS($C$4:U116)+1,הפחתה7[[#This Row],[יתרת פתיחה]]),IFERROR(-IPMT(שיעור_ריבית3/12,1,הפחתה7[[#This Row],[תשלומים
שנותרו]],V117),0)),0)</f>
        <v>159.44428134341837</v>
      </c>
      <c r="X116" s="13">
        <f ca="1">IFERROR(IF(AND(ValuesEntered3,הפחתה7[[#This Row],[תאריך]]&lt;&gt;""),-PPMT(שיעור_ריבית3/12,1,תקופת_ההלוואה3-ROWS($C$4:U116)+1,הפחתה7[[#This Row],[יתרת פתיחה]]),""),0)</f>
        <v>368.98286655301996</v>
      </c>
      <c r="Y116" s="13">
        <f ca="1">(הפחתה7[[#This Row],[יתרת פתיחה]])*(מדד3/12)</f>
        <v>139.03045518713304</v>
      </c>
      <c r="Z116" s="13">
        <f ca="1">IF(הפחתה7[[#This Row],[תאריך]]="",0,הפחתה7[[#This Row],[ריבית]]+הפחתה7[[#This Row],[קרן]]+הפחתה7[[#This Row],[מדד]])</f>
        <v>667.45760308357137</v>
      </c>
      <c r="AA116" s="13">
        <f ca="1">IF(הפחתה7[[#This Row],[תאריך]]="",0,הפחתה7[[#This Row],[יתרת פתיחה]]-הפחתה7[[#This Row],[קרן]]+הפחתה7[[#This Row],[מדד]])</f>
        <v>83188.32070091393</v>
      </c>
      <c r="AB116" s="11">
        <f ca="1">IF(הפחתה7[[#This Row],[יתרת
סגירה]]&gt;0,LastRow3-ROW(),0)</f>
        <v>187</v>
      </c>
      <c r="AC116" s="17">
        <f>ROWS($AC$4:AC116)</f>
        <v>113</v>
      </c>
      <c r="AD116" s="18" t="str">
        <f ca="1">IF(ValuesEntered4,IF(הפחתה8[[#This Row],[מס'']]&lt;=תקופת_ההלוואה4,IF(ROW()-ROW(הפחתה8[[#Headers],[תאריך]])=1,LoanStart4,IF(AJ115&gt;0,EDATE(AD115,1),"")),""),"")</f>
        <v/>
      </c>
      <c r="AE116" s="19">
        <f ca="1">IF(ROW()-ROW(הפחתה8[[#Headers],[יתרת פתיחה]])=1,סכום_הלוואה4,IF(הפחתה8[[#This Row],[תאריך]]="",0,INDEX(הפחתה8[], ROW()-4,8)))</f>
        <v>0</v>
      </c>
      <c r="AF116" s="19">
        <f ca="1">IF(ValuesEntered4,IF(ROW()-ROW(הפחתה8[[#Headers],[ריבית]])=1,-IPMT(שיעור_ריבית4/12,1,תקופת_ההלוואה4-ROWS($C$4:AD116)+1,הפחתה8[[#This Row],[יתרת פתיחה]]),IFERROR(-IPMT(שיעור_ריבית4/12,1,הפחתה8[[#This Row],[תשלומים
שנותרו]],AE117),0)),0)</f>
        <v>0</v>
      </c>
      <c r="AG116" s="19" t="str">
        <f ca="1">IFERROR(IF(AND(ValuesEntered4,הפחתה8[[#This Row],[תאריך]]&lt;&gt;""),-PPMT(שיעור_ריבית4/12,1,תקופת_ההלוואה4-ROWS($C$4:AD116)+1,הפחתה8[[#This Row],[יתרת פתיחה]]),""),0)</f>
        <v/>
      </c>
      <c r="AH116" s="19">
        <f ca="1">(הפחתה8[[#This Row],[יתרת פתיחה]])*(מדד4/12)</f>
        <v>0</v>
      </c>
      <c r="AI116" s="19">
        <f ca="1">IF(הפחתה8[[#This Row],[תאריך]]="",0,הפחתה8[[#This Row],[ריבית]]+הפחתה8[[#This Row],[קרן]]+הפחתה8[[#This Row],[מדד]])</f>
        <v>0</v>
      </c>
      <c r="AJ116" s="19">
        <f ca="1">IF(הפחתה8[[#This Row],[תאריך]]="",0,הפחתה8[[#This Row],[יתרת פתיחה]]-הפחתה8[[#This Row],[קרן]])</f>
        <v>0</v>
      </c>
      <c r="AK116" s="20">
        <f ca="1">IF(הפחתה8[[#This Row],[יתרת
סגירה]]&gt;0,LastRow4-ROW(),0)</f>
        <v>0</v>
      </c>
    </row>
    <row r="117" spans="1:37" ht="15" customHeight="1" x14ac:dyDescent="0.25">
      <c r="A117" s="8"/>
      <c r="B117" s="11">
        <f>ROWS($B$4:B117)</f>
        <v>114</v>
      </c>
      <c r="C117" s="12">
        <f>IF(ValuesEntered,IF(הפחתה[[#This Row],[מס'']]&lt;=תקופת_ההלוואה,IF(ROW()-ROW(הפחתה[[#Headers],[תאריך]])=1,LoanStart,IF(I116&gt;0,EDATE(C116,1),"")),""),"")</f>
        <v>48823</v>
      </c>
      <c r="D117" s="13">
        <f>IF(ROW()-ROW(הפחתה[[#Headers],[יתרת פתיחה]])=1,סכום_הלוואה,IF(הפחתה[[#This Row],[תאריך]]="",0,INDEX(הפחתה[], ROW()-4,8)))</f>
        <v>500365.41361725912</v>
      </c>
      <c r="E117" s="13">
        <f>IF(ValuesEntered,IF(ROW()-ROW(הפחתה[[#Headers],[ריבית]])=1,-IPMT(שיעור_ריבית/12,1,תקופת_ההלוואה-ROWS($C$4:C117)+1,הפחתה[[#This Row],[יתרת פתיחה]]),IFERROR(-IPMT(שיעור_ריבית/12,1,הפחתה[[#This Row],[תשלומים
שנותרו]],D118),0)),0)</f>
        <v>2204.9922705130466</v>
      </c>
      <c r="F117" s="13">
        <f>IFERROR(IF(AND(ValuesEntered,הפחתה[[#This Row],[תאריך]]&lt;&gt;""),-PPMT(שיעור_ריבית/12,1,תקופת_ההלוואה-ROWS($C$4:C117)+1,הפחתה[[#This Row],[יתרת פתיחה]]),""),0)</f>
        <v>1121.8806709089909</v>
      </c>
      <c r="G117" s="13">
        <f>(הפחתה[[#This Row],[יתרת פתיחה]])*(מדד/12)</f>
        <v>0</v>
      </c>
      <c r="H117" s="13">
        <f>IF(הפחתה[[#This Row],[תאריך]]="",0,הפחתה[[#This Row],[ריבית]]+הפחתה[[#This Row],[קרן]]+הפחתה[[#This Row],[מדד]])</f>
        <v>3326.8729414220375</v>
      </c>
      <c r="I117" s="13">
        <f>IF(הפחתה[[#This Row],[תאריך]]="",0,הפחתה[[#This Row],[יתרת פתיחה]]-הפחתה[[#This Row],[קרן]]+הפחתה[[#This Row],[מדד]])</f>
        <v>499243.53294635011</v>
      </c>
      <c r="J117" s="11">
        <f>IF(הפחתה[[#This Row],[יתרת
סגירה]]&gt;0,LastRow-ROW(),0)</f>
        <v>246</v>
      </c>
      <c r="K117" s="11">
        <f>ROWS($K$4:K117)</f>
        <v>114</v>
      </c>
      <c r="L117" s="12">
        <f>IF(ValuesEntered2,IF(הפחתה5[[#This Row],[מס'']]&lt;=תקופת_ההלוואה2,IF(ROW()-ROW(הפחתה5[[#Headers],[תאריך]])=1,LoanStart2,IF(R116&gt;0,EDATE(L116,1),"")),""),"")</f>
        <v>48823</v>
      </c>
      <c r="M117" s="13">
        <f>IF(ROW()-ROW(הפחתה5[[#Headers],[יתרת פתיחה]])=1,סכום_הלוואה2,IF(הפחתה5[[#This Row],[תאריך]]="",0,INDEX(הפחתה5[], ROW()-4,8)))</f>
        <v>225309.52354013146</v>
      </c>
      <c r="N117" s="13">
        <f>IF(ValuesEntered2,IF(ROW()-ROW(הפחתה5[[#Headers],[ריבית]])=1,-IPMT(שיעור_ריבית2/12,1,תקופת_ההלוואה2-ROWS($L$4:L117)+1,הפחתה5[[#This Row],[יתרת פתיחה]]),IFERROR(-IPMT(שיעור_ריבית2/12,1,הפחתה5[[#This Row],[תשלומים
שנותרו]],M118),0)),0)</f>
        <v>879.25347925312929</v>
      </c>
      <c r="O117" s="13">
        <f>IFERROR(IF(AND(ValuesEntered2,הפחתה5[[#This Row],[תאריך]]&lt;&gt;""),-PPMT(שיעור_ריבית2/12,1,תקופת_ההלוואה2-ROWS($L$4:L117)+1,הפחתה5[[#This Row],[יתרת פתיחה]]),""),0)</f>
        <v>819.27351805587762</v>
      </c>
      <c r="P117" s="13">
        <f>(הפחתה5[[#This Row],[יתרת פתיחה]])*(מדד2/12)</f>
        <v>0</v>
      </c>
      <c r="Q117" s="13">
        <f>IF(הפחתה5[[#This Row],[תאריך]]="",0,הפחתה5[[#This Row],[ריבית]]+הפחתה5[[#This Row],[קרן]]+הפחתה5[[#This Row],[מדד]])</f>
        <v>1698.5269973090069</v>
      </c>
      <c r="R117" s="13">
        <f>IF(הפחתה5[[#This Row],[תאריך]]="",0,הפחתה5[[#This Row],[יתרת פתיחה]]-הפחתה5[[#This Row],[קרן]]+הפחתה5[[#This Row],[מדד]])</f>
        <v>224490.25002207558</v>
      </c>
      <c r="S117" s="11">
        <f>IF(הפחתה5[[#This Row],[יתרת
סגירה]]&gt;0,LastRow2-ROW(),0)</f>
        <v>186</v>
      </c>
      <c r="T117" s="11">
        <f>ROWS($T$4:T117)</f>
        <v>114</v>
      </c>
      <c r="U117" s="12">
        <f ca="1">IF(ValuesEntered3,IF(הפחתה7[[#This Row],[מס'']]&lt;=תקופת_ההלוואה3,IF(ROW()-ROW(הפחתה7[[#Headers],[תאריך]])=1,LoanStart3,IF(AA116&gt;0,EDATE(U116,1),"")),""),"")</f>
        <v>49059</v>
      </c>
      <c r="V117" s="13">
        <f ca="1">IF(ROW()-ROW(הפחתה7[[#Headers],[יתרת פתיחה]])=1,סכום_הלוואה3,IF(הפחתה7[[#This Row],[תאריך]]="",0,INDEX(הפחתה7[], ROW()-4,8)))</f>
        <v>83188.32070091393</v>
      </c>
      <c r="W117" s="13">
        <f ca="1">IF(ValuesEntered3,IF(ROW()-ROW(הפחתה7[[#Headers],[ריבית]])=1,-IPMT(שיעור_ריבית3/12,1,תקופת_ההלוואה3-ROWS($C$4:U117)+1,הפחתה7[[#This Row],[יתרת פתיחה]]),IFERROR(-IPMT(שיעור_ריבית3/12,1,הפחתה7[[#This Row],[תשלומים
שנותרו]],V118),0)),0)</f>
        <v>159.0002629505307</v>
      </c>
      <c r="X117" s="13">
        <f ca="1">IFERROR(IF(AND(ValuesEntered3,הפחתה7[[#This Row],[תאריך]]&lt;&gt;""),-PPMT(שיעור_ריבית3/12,1,תקופת_ההלוואה3-ROWS($C$4:U117)+1,הפחתה7[[#This Row],[יתרת פתיחה]]),""),0)</f>
        <v>370.30897137044639</v>
      </c>
      <c r="Y117" s="13">
        <f ca="1">(הפחתה7[[#This Row],[יתרת פתיחה]])*(מדד3/12)</f>
        <v>138.64720116818989</v>
      </c>
      <c r="Z117" s="13">
        <f ca="1">IF(הפחתה7[[#This Row],[תאריך]]="",0,הפחתה7[[#This Row],[ריבית]]+הפחתה7[[#This Row],[קרן]]+הפחתה7[[#This Row],[מדד]])</f>
        <v>667.95643548916701</v>
      </c>
      <c r="AA117" s="13">
        <f ca="1">IF(הפחתה7[[#This Row],[תאריך]]="",0,הפחתה7[[#This Row],[יתרת פתיחה]]-הפחתה7[[#This Row],[קרן]]+הפחתה7[[#This Row],[מדד]])</f>
        <v>82956.658930711681</v>
      </c>
      <c r="AB117" s="11">
        <f ca="1">IF(הפחתה7[[#This Row],[יתרת
סגירה]]&gt;0,LastRow3-ROW(),0)</f>
        <v>186</v>
      </c>
      <c r="AC117" s="17">
        <f>ROWS($AC$4:AC117)</f>
        <v>114</v>
      </c>
      <c r="AD117" s="18" t="str">
        <f ca="1">IF(ValuesEntered4,IF(הפחתה8[[#This Row],[מס'']]&lt;=תקופת_ההלוואה4,IF(ROW()-ROW(הפחתה8[[#Headers],[תאריך]])=1,LoanStart4,IF(AJ116&gt;0,EDATE(AD116,1),"")),""),"")</f>
        <v/>
      </c>
      <c r="AE117" s="19">
        <f ca="1">IF(ROW()-ROW(הפחתה8[[#Headers],[יתרת פתיחה]])=1,סכום_הלוואה4,IF(הפחתה8[[#This Row],[תאריך]]="",0,INDEX(הפחתה8[], ROW()-4,8)))</f>
        <v>0</v>
      </c>
      <c r="AF117" s="19">
        <f ca="1">IF(ValuesEntered4,IF(ROW()-ROW(הפחתה8[[#Headers],[ריבית]])=1,-IPMT(שיעור_ריבית4/12,1,תקופת_ההלוואה4-ROWS($C$4:AD117)+1,הפחתה8[[#This Row],[יתרת פתיחה]]),IFERROR(-IPMT(שיעור_ריבית4/12,1,הפחתה8[[#This Row],[תשלומים
שנותרו]],AE118),0)),0)</f>
        <v>0</v>
      </c>
      <c r="AG117" s="19" t="str">
        <f ca="1">IFERROR(IF(AND(ValuesEntered4,הפחתה8[[#This Row],[תאריך]]&lt;&gt;""),-PPMT(שיעור_ריבית4/12,1,תקופת_ההלוואה4-ROWS($C$4:AD117)+1,הפחתה8[[#This Row],[יתרת פתיחה]]),""),0)</f>
        <v/>
      </c>
      <c r="AH117" s="19">
        <f ca="1">(הפחתה8[[#This Row],[יתרת פתיחה]])*(מדד4/12)</f>
        <v>0</v>
      </c>
      <c r="AI117" s="19">
        <f ca="1">IF(הפחתה8[[#This Row],[תאריך]]="",0,הפחתה8[[#This Row],[ריבית]]+הפחתה8[[#This Row],[קרן]]+הפחתה8[[#This Row],[מדד]])</f>
        <v>0</v>
      </c>
      <c r="AJ117" s="19">
        <f ca="1">IF(הפחתה8[[#This Row],[תאריך]]="",0,הפחתה8[[#This Row],[יתרת פתיחה]]-הפחתה8[[#This Row],[קרן]])</f>
        <v>0</v>
      </c>
      <c r="AK117" s="20">
        <f ca="1">IF(הפחתה8[[#This Row],[יתרת
סגירה]]&gt;0,LastRow4-ROW(),0)</f>
        <v>0</v>
      </c>
    </row>
    <row r="118" spans="1:37" ht="15" customHeight="1" x14ac:dyDescent="0.25">
      <c r="A118" s="8"/>
      <c r="B118" s="11">
        <f>ROWS($B$4:B118)</f>
        <v>115</v>
      </c>
      <c r="C118" s="12">
        <f>IF(ValuesEntered,IF(הפחתה[[#This Row],[מס'']]&lt;=תקופת_ההלוואה,IF(ROW()-ROW(הפחתה[[#Headers],[תאריך]])=1,LoanStart,IF(I117&gt;0,EDATE(C117,1),"")),""),"")</f>
        <v>48853</v>
      </c>
      <c r="D118" s="13">
        <f>IF(ROW()-ROW(הפחתה[[#Headers],[יתרת פתיחה]])=1,סכום_הלוואה,IF(הפחתה[[#This Row],[תאריך]]="",0,INDEX(הפחתה[], ROW()-4,8)))</f>
        <v>499243.53294635011</v>
      </c>
      <c r="E118" s="13">
        <f>IF(ValuesEntered,IF(ROW()-ROW(הפחתה[[#Headers],[ריבית]])=1,-IPMT(שיעור_ריבית/12,1,תקופת_ההלוואה-ROWS($C$4:C118)+1,הפחתה[[#This Row],[יתרת פתיחה]]),IFERROR(-IPMT(שיעור_ריבית/12,1,הפחתה[[#This Row],[תשלומים
שנותרו]],D119),0)),0)</f>
        <v>2200.0154130859446</v>
      </c>
      <c r="F118" s="13">
        <f>IFERROR(IF(AND(ValuesEntered,הפחתה[[#This Row],[תאריך]]&lt;&gt;""),-PPMT(שיעור_ריבית/12,1,תקופת_ההלוואה-ROWS($C$4:C118)+1,הפחתה[[#This Row],[יתרת פתיחה]]),""),0)</f>
        <v>1126.8356438721723</v>
      </c>
      <c r="G118" s="13">
        <f>(הפחתה[[#This Row],[יתרת פתיחה]])*(מדד/12)</f>
        <v>0</v>
      </c>
      <c r="H118" s="13">
        <f>IF(הפחתה[[#This Row],[תאריך]]="",0,הפחתה[[#This Row],[ריבית]]+הפחתה[[#This Row],[קרן]]+הפחתה[[#This Row],[מדד]])</f>
        <v>3326.8510569581167</v>
      </c>
      <c r="I118" s="13">
        <f>IF(הפחתה[[#This Row],[תאריך]]="",0,הפחתה[[#This Row],[יתרת פתיחה]]-הפחתה[[#This Row],[קרן]]+הפחתה[[#This Row],[מדד]])</f>
        <v>498116.69730247796</v>
      </c>
      <c r="J118" s="11">
        <f>IF(הפחתה[[#This Row],[יתרת
סגירה]]&gt;0,LastRow-ROW(),0)</f>
        <v>245</v>
      </c>
      <c r="K118" s="11">
        <f>ROWS($K$4:K118)</f>
        <v>115</v>
      </c>
      <c r="L118" s="12">
        <f>IF(ValuesEntered2,IF(הפחתה5[[#This Row],[מס'']]&lt;=תקופת_ההלוואה2,IF(ROW()-ROW(הפחתה5[[#Headers],[תאריך]])=1,LoanStart2,IF(R117&gt;0,EDATE(L117,1),"")),""),"")</f>
        <v>48853</v>
      </c>
      <c r="M118" s="13">
        <f>IF(ROW()-ROW(הפחתה5[[#Headers],[יתרת פתיחה]])=1,סכום_הלוואה2,IF(הפחתה5[[#This Row],[תאריך]]="",0,INDEX(הפחתה5[], ROW()-4,8)))</f>
        <v>224490.25002207558</v>
      </c>
      <c r="N118" s="13">
        <f>IF(ValuesEntered2,IF(ROW()-ROW(הפחתה5[[#Headers],[ריבית]])=1,-IPMT(שיעור_ריבית2/12,1,תקופת_ההלוואה2-ROWS($L$4:L118)+1,הפחתה5[[#This Row],[יתרת פתיחה]]),IFERROR(-IPMT(שיעור_ריבית2/12,1,הפחתה5[[#This Row],[תשלומים
שנותרו]],M119),0)),0)</f>
        <v>876.03209009073407</v>
      </c>
      <c r="O118" s="13">
        <f>IFERROR(IF(AND(ValuesEntered2,הפחתה5[[#This Row],[תאריך]]&lt;&gt;""),-PPMT(שיעור_ריבית2/12,1,תקופת_ההלוואה2-ROWS($L$4:L118)+1,הפחתה5[[#This Row],[יתרת פתיחה]]),""),0)</f>
        <v>822.48233933492975</v>
      </c>
      <c r="P118" s="13">
        <f>(הפחתה5[[#This Row],[יתרת פתיחה]])*(מדד2/12)</f>
        <v>0</v>
      </c>
      <c r="Q118" s="13">
        <f>IF(הפחתה5[[#This Row],[תאריך]]="",0,הפחתה5[[#This Row],[ריבית]]+הפחתה5[[#This Row],[קרן]]+הפחתה5[[#This Row],[מדד]])</f>
        <v>1698.5144294256638</v>
      </c>
      <c r="R118" s="13">
        <f>IF(הפחתה5[[#This Row],[תאריך]]="",0,הפחתה5[[#This Row],[יתרת פתיחה]]-הפחתה5[[#This Row],[קרן]]+הפחתה5[[#This Row],[מדד]])</f>
        <v>223667.76768274064</v>
      </c>
      <c r="S118" s="11">
        <f>IF(הפחתה5[[#This Row],[יתרת
סגירה]]&gt;0,LastRow2-ROW(),0)</f>
        <v>185</v>
      </c>
      <c r="T118" s="11">
        <f>ROWS($T$4:T118)</f>
        <v>115</v>
      </c>
      <c r="U118" s="12">
        <f ca="1">IF(ValuesEntered3,IF(הפחתה7[[#This Row],[מס'']]&lt;=תקופת_ההלוואה3,IF(ROW()-ROW(הפחתה7[[#Headers],[תאריך]])=1,LoanStart3,IF(AA117&gt;0,EDATE(U117,1),"")),""),"")</f>
        <v>49089</v>
      </c>
      <c r="V118" s="13">
        <f ca="1">IF(ROW()-ROW(הפחתה7[[#Headers],[יתרת פתיחה]])=1,סכום_הלוואה3,IF(הפחתה7[[#This Row],[תאריך]]="",0,INDEX(הפחתה7[], ROW()-4,8)))</f>
        <v>82956.658930711681</v>
      </c>
      <c r="W118" s="13">
        <f ca="1">IF(ValuesEntered3,IF(ROW()-ROW(הפחתה7[[#Headers],[ריבית]])=1,-IPMT(שיעור_ריבית3/12,1,תקופת_ההלוואה3-ROWS($C$4:U118)+1,הפחתה7[[#This Row],[יתרת פתיחה]]),IFERROR(-IPMT(שיעור_ריבית3/12,1,הפחתה7[[#This Row],[תשלומים
שנותרו]],V119),0)),0)</f>
        <v>158.55295365766725</v>
      </c>
      <c r="X118" s="13">
        <f ca="1">IFERROR(IF(AND(ValuesEntered3,הפחתה7[[#This Row],[תאריך]]&lt;&gt;""),-PPMT(שיעור_ריבית3/12,1,תקופת_ההלוואה3-ROWS($C$4:U118)+1,הפחתה7[[#This Row],[יתרת פתיחה]]),""),0)</f>
        <v>371.6398597118469</v>
      </c>
      <c r="Y118" s="13">
        <f ca="1">(הפחתה7[[#This Row],[יתרת פתיחה]])*(מדד3/12)</f>
        <v>138.2610982178528</v>
      </c>
      <c r="Z118" s="13">
        <f ca="1">IF(הפחתה7[[#This Row],[תאריך]]="",0,הפחתה7[[#This Row],[ריבית]]+הפחתה7[[#This Row],[קרן]]+הפחתה7[[#This Row],[מדד]])</f>
        <v>668.45391158736697</v>
      </c>
      <c r="AA118" s="13">
        <f ca="1">IF(הפחתה7[[#This Row],[תאריך]]="",0,הפחתה7[[#This Row],[יתרת פתיחה]]-הפחתה7[[#This Row],[קרן]]+הפחתה7[[#This Row],[מדד]])</f>
        <v>82723.280169217687</v>
      </c>
      <c r="AB118" s="11">
        <f ca="1">IF(הפחתה7[[#This Row],[יתרת
סגירה]]&gt;0,LastRow3-ROW(),0)</f>
        <v>185</v>
      </c>
      <c r="AC118" s="17">
        <f>ROWS($AC$4:AC118)</f>
        <v>115</v>
      </c>
      <c r="AD118" s="18" t="str">
        <f ca="1">IF(ValuesEntered4,IF(הפחתה8[[#This Row],[מס'']]&lt;=תקופת_ההלוואה4,IF(ROW()-ROW(הפחתה8[[#Headers],[תאריך]])=1,LoanStart4,IF(AJ117&gt;0,EDATE(AD117,1),"")),""),"")</f>
        <v/>
      </c>
      <c r="AE118" s="19">
        <f ca="1">IF(ROW()-ROW(הפחתה8[[#Headers],[יתרת פתיחה]])=1,סכום_הלוואה4,IF(הפחתה8[[#This Row],[תאריך]]="",0,INDEX(הפחתה8[], ROW()-4,8)))</f>
        <v>0</v>
      </c>
      <c r="AF118" s="19">
        <f ca="1">IF(ValuesEntered4,IF(ROW()-ROW(הפחתה8[[#Headers],[ריבית]])=1,-IPMT(שיעור_ריבית4/12,1,תקופת_ההלוואה4-ROWS($C$4:AD118)+1,הפחתה8[[#This Row],[יתרת פתיחה]]),IFERROR(-IPMT(שיעור_ריבית4/12,1,הפחתה8[[#This Row],[תשלומים
שנותרו]],AE119),0)),0)</f>
        <v>0</v>
      </c>
      <c r="AG118" s="19" t="str">
        <f ca="1">IFERROR(IF(AND(ValuesEntered4,הפחתה8[[#This Row],[תאריך]]&lt;&gt;""),-PPMT(שיעור_ריבית4/12,1,תקופת_ההלוואה4-ROWS($C$4:AD118)+1,הפחתה8[[#This Row],[יתרת פתיחה]]),""),0)</f>
        <v/>
      </c>
      <c r="AH118" s="19">
        <f ca="1">(הפחתה8[[#This Row],[יתרת פתיחה]])*(מדד4/12)</f>
        <v>0</v>
      </c>
      <c r="AI118" s="19">
        <f ca="1">IF(הפחתה8[[#This Row],[תאריך]]="",0,הפחתה8[[#This Row],[ריבית]]+הפחתה8[[#This Row],[קרן]]+הפחתה8[[#This Row],[מדד]])</f>
        <v>0</v>
      </c>
      <c r="AJ118" s="19">
        <f ca="1">IF(הפחתה8[[#This Row],[תאריך]]="",0,הפחתה8[[#This Row],[יתרת פתיחה]]-הפחתה8[[#This Row],[קרן]])</f>
        <v>0</v>
      </c>
      <c r="AK118" s="20">
        <f ca="1">IF(הפחתה8[[#This Row],[יתרת
סגירה]]&gt;0,LastRow4-ROW(),0)</f>
        <v>0</v>
      </c>
    </row>
    <row r="119" spans="1:37" ht="15" customHeight="1" x14ac:dyDescent="0.25">
      <c r="A119" s="8"/>
      <c r="B119" s="11">
        <f>ROWS($B$4:B119)</f>
        <v>116</v>
      </c>
      <c r="C119" s="12">
        <f>IF(ValuesEntered,IF(הפחתה[[#This Row],[מס'']]&lt;=תקופת_ההלוואה,IF(ROW()-ROW(הפחתה[[#Headers],[תאריך]])=1,LoanStart,IF(I118&gt;0,EDATE(C118,1),"")),""),"")</f>
        <v>48884</v>
      </c>
      <c r="D119" s="13">
        <f>IF(ROW()-ROW(הפחתה[[#Headers],[יתרת פתיחה]])=1,סכום_הלוואה,IF(הפחתה[[#This Row],[תאריך]]="",0,INDEX(הפחתה[], ROW()-4,8)))</f>
        <v>498116.69730247796</v>
      </c>
      <c r="E119" s="13">
        <f>IF(ValuesEntered,IF(ROW()-ROW(הפחתה[[#Headers],[ריבית]])=1,-IPMT(שיעור_ריבית/12,1,תקופת_ההלוואה-ROWS($C$4:C119)+1,הפחתה[[#This Row],[יתרת פתיחה]]),IFERROR(-IPMT(שיעור_ריבית/12,1,הפחתה[[#This Row],[תשלומים
שנותרו]],D120),0)),0)</f>
        <v>2195.0165745385393</v>
      </c>
      <c r="F119" s="13">
        <f>IFERROR(IF(AND(ValuesEntered,הפחתה[[#This Row],[תאריך]]&lt;&gt;""),-PPMT(שיעור_ריבית/12,1,תקופת_ההלוואה-ROWS($C$4:C119)+1,הפחתה[[#This Row],[יתרת פתיחה]]),""),0)</f>
        <v>1131.8125012992743</v>
      </c>
      <c r="G119" s="13">
        <f>(הפחתה[[#This Row],[יתרת פתיחה]])*(מדד/12)</f>
        <v>0</v>
      </c>
      <c r="H119" s="13">
        <f>IF(הפחתה[[#This Row],[תאריך]]="",0,הפחתה[[#This Row],[ריבית]]+הפחתה[[#This Row],[קרן]]+הפחתה[[#This Row],[מדד]])</f>
        <v>3326.8290758378134</v>
      </c>
      <c r="I119" s="13">
        <f>IF(הפחתה[[#This Row],[תאריך]]="",0,הפחתה[[#This Row],[יתרת פתיחה]]-הפחתה[[#This Row],[קרן]]+הפחתה[[#This Row],[מדד]])</f>
        <v>496984.8848011787</v>
      </c>
      <c r="J119" s="11">
        <f>IF(הפחתה[[#This Row],[יתרת
סגירה]]&gt;0,LastRow-ROW(),0)</f>
        <v>244</v>
      </c>
      <c r="K119" s="11">
        <f>ROWS($K$4:K119)</f>
        <v>116</v>
      </c>
      <c r="L119" s="12">
        <f>IF(ValuesEntered2,IF(הפחתה5[[#This Row],[מס'']]&lt;=תקופת_ההלוואה2,IF(ROW()-ROW(הפחתה5[[#Headers],[תאריך]])=1,LoanStart2,IF(R118&gt;0,EDATE(L118,1),"")),""),"")</f>
        <v>48884</v>
      </c>
      <c r="M119" s="13">
        <f>IF(ROW()-ROW(הפחתה5[[#Headers],[יתרת פתיחה]])=1,סכום_הלוואה2,IF(הפחתה5[[#This Row],[תאריך]]="",0,INDEX(הפחתה5[], ROW()-4,8)))</f>
        <v>223667.76768274064</v>
      </c>
      <c r="N119" s="13">
        <f>IF(ValuesEntered2,IF(ROW()-ROW(הפחתה5[[#Headers],[ריבית]])=1,-IPMT(שיעור_ריבית2/12,1,תקופת_ההלוואה2-ROWS($L$4:L119)+1,הפחתה5[[#This Row],[יתרת פתיחה]]),IFERROR(-IPMT(שיעור_ריבית2/12,1,הפחתה5[[#This Row],[תשלומים
שנותרו]],M120),0)),0)</f>
        <v>872.79808382078625</v>
      </c>
      <c r="O119" s="13">
        <f>IFERROR(IF(AND(ValuesEntered2,הפחתה5[[#This Row],[תאריך]]&lt;&gt;""),-PPMT(שיעור_ריבית2/12,1,תקופת_ההלוואה2-ROWS($L$4:L119)+1,הפחתה5[[#This Row],[יתרת פתיחה]]),""),0)</f>
        <v>825.70372849732485</v>
      </c>
      <c r="P119" s="13">
        <f>(הפחתה5[[#This Row],[יתרת פתיחה]])*(מדד2/12)</f>
        <v>0</v>
      </c>
      <c r="Q119" s="13">
        <f>IF(הפחתה5[[#This Row],[תאריך]]="",0,הפחתה5[[#This Row],[ריבית]]+הפחתה5[[#This Row],[קרן]]+הפחתה5[[#This Row],[מדד]])</f>
        <v>1698.5018123181112</v>
      </c>
      <c r="R119" s="13">
        <f>IF(הפחתה5[[#This Row],[תאריך]]="",0,הפחתה5[[#This Row],[יתרת פתיחה]]-הפחתה5[[#This Row],[קרן]]+הפחתה5[[#This Row],[מדד]])</f>
        <v>222842.06395424332</v>
      </c>
      <c r="S119" s="11">
        <f>IF(הפחתה5[[#This Row],[יתרת
סגירה]]&gt;0,LastRow2-ROW(),0)</f>
        <v>184</v>
      </c>
      <c r="T119" s="11">
        <f>ROWS($T$4:T119)</f>
        <v>116</v>
      </c>
      <c r="U119" s="12">
        <f ca="1">IF(ValuesEntered3,IF(הפחתה7[[#This Row],[מס'']]&lt;=תקופת_ההלוואה3,IF(ROW()-ROW(הפחתה7[[#Headers],[תאריך]])=1,LoanStart3,IF(AA118&gt;0,EDATE(U118,1),"")),""),"")</f>
        <v>49120</v>
      </c>
      <c r="V119" s="13">
        <f ca="1">IF(ROW()-ROW(הפחתה7[[#Headers],[יתרת פתיחה]])=1,סכום_הלוואה3,IF(הפחתה7[[#This Row],[תאריך]]="",0,INDEX(הפחתה7[], ROW()-4,8)))</f>
        <v>82723.280169217687</v>
      </c>
      <c r="W119" s="13">
        <f ca="1">IF(ValuesEntered3,IF(ROW()-ROW(הפחתה7[[#Headers],[ריבית]])=1,-IPMT(שיעור_ריבית3/12,1,תקופת_ההלוואה3-ROWS($C$4:U119)+1,הפחתה7[[#This Row],[יתרת פתיחה]]),IFERROR(-IPMT(שיעור_ריבית3/12,1,הפחתה7[[#This Row],[תשלומים
שנותרו]],V120),0)),0)</f>
        <v>158.10233877801141</v>
      </c>
      <c r="X119" s="13">
        <f ca="1">IFERROR(IF(AND(ValuesEntered3,הפחתה7[[#This Row],[תאריך]]&lt;&gt;""),-PPMT(שיעור_ריבית3/12,1,תקופת_ההלוואה3-ROWS($C$4:U119)+1,הפחתה7[[#This Row],[יתרת פתיחה]]),""),0)</f>
        <v>372.97554908796354</v>
      </c>
      <c r="Y119" s="13">
        <f ca="1">(הפחתה7[[#This Row],[יתרת פתיחה]])*(מדד3/12)</f>
        <v>137.87213361536283</v>
      </c>
      <c r="Z119" s="13">
        <f ca="1">IF(הפחתה7[[#This Row],[תאריך]]="",0,הפחתה7[[#This Row],[ריבית]]+הפחתה7[[#This Row],[קרן]]+הפחתה7[[#This Row],[מדד]])</f>
        <v>668.95002148133779</v>
      </c>
      <c r="AA119" s="13">
        <f ca="1">IF(הפחתה7[[#This Row],[תאריך]]="",0,הפחתה7[[#This Row],[יתרת פתיחה]]-הפחתה7[[#This Row],[קרן]]+הפחתה7[[#This Row],[מדד]])</f>
        <v>82488.176753745094</v>
      </c>
      <c r="AB119" s="11">
        <f ca="1">IF(הפחתה7[[#This Row],[יתרת
סגירה]]&gt;0,LastRow3-ROW(),0)</f>
        <v>184</v>
      </c>
      <c r="AC119" s="17">
        <f>ROWS($AC$4:AC119)</f>
        <v>116</v>
      </c>
      <c r="AD119" s="18" t="str">
        <f ca="1">IF(ValuesEntered4,IF(הפחתה8[[#This Row],[מס'']]&lt;=תקופת_ההלוואה4,IF(ROW()-ROW(הפחתה8[[#Headers],[תאריך]])=1,LoanStart4,IF(AJ118&gt;0,EDATE(AD118,1),"")),""),"")</f>
        <v/>
      </c>
      <c r="AE119" s="19">
        <f ca="1">IF(ROW()-ROW(הפחתה8[[#Headers],[יתרת פתיחה]])=1,סכום_הלוואה4,IF(הפחתה8[[#This Row],[תאריך]]="",0,INDEX(הפחתה8[], ROW()-4,8)))</f>
        <v>0</v>
      </c>
      <c r="AF119" s="19">
        <f ca="1">IF(ValuesEntered4,IF(ROW()-ROW(הפחתה8[[#Headers],[ריבית]])=1,-IPMT(שיעור_ריבית4/12,1,תקופת_ההלוואה4-ROWS($C$4:AD119)+1,הפחתה8[[#This Row],[יתרת פתיחה]]),IFERROR(-IPMT(שיעור_ריבית4/12,1,הפחתה8[[#This Row],[תשלומים
שנותרו]],AE120),0)),0)</f>
        <v>0</v>
      </c>
      <c r="AG119" s="19" t="str">
        <f ca="1">IFERROR(IF(AND(ValuesEntered4,הפחתה8[[#This Row],[תאריך]]&lt;&gt;""),-PPMT(שיעור_ריבית4/12,1,תקופת_ההלוואה4-ROWS($C$4:AD119)+1,הפחתה8[[#This Row],[יתרת פתיחה]]),""),0)</f>
        <v/>
      </c>
      <c r="AH119" s="19">
        <f ca="1">(הפחתה8[[#This Row],[יתרת פתיחה]])*(מדד4/12)</f>
        <v>0</v>
      </c>
      <c r="AI119" s="19">
        <f ca="1">IF(הפחתה8[[#This Row],[תאריך]]="",0,הפחתה8[[#This Row],[ריבית]]+הפחתה8[[#This Row],[קרן]]+הפחתה8[[#This Row],[מדד]])</f>
        <v>0</v>
      </c>
      <c r="AJ119" s="19">
        <f ca="1">IF(הפחתה8[[#This Row],[תאריך]]="",0,הפחתה8[[#This Row],[יתרת פתיחה]]-הפחתה8[[#This Row],[קרן]])</f>
        <v>0</v>
      </c>
      <c r="AK119" s="20">
        <f ca="1">IF(הפחתה8[[#This Row],[יתרת
סגירה]]&gt;0,LastRow4-ROW(),0)</f>
        <v>0</v>
      </c>
    </row>
    <row r="120" spans="1:37" ht="15" customHeight="1" x14ac:dyDescent="0.25">
      <c r="A120" s="8"/>
      <c r="B120" s="11">
        <f>ROWS($B$4:B120)</f>
        <v>117</v>
      </c>
      <c r="C120" s="12">
        <f>IF(ValuesEntered,IF(הפחתה[[#This Row],[מס'']]&lt;=תקופת_ההלוואה,IF(ROW()-ROW(הפחתה[[#Headers],[תאריך]])=1,LoanStart,IF(I119&gt;0,EDATE(C119,1),"")),""),"")</f>
        <v>48914</v>
      </c>
      <c r="D120" s="13">
        <f>IF(ROW()-ROW(הפחתה[[#Headers],[יתרת פתיחה]])=1,סכום_הלוואה,IF(הפחתה[[#This Row],[תאריך]]="",0,INDEX(הפחתה[], ROW()-4,8)))</f>
        <v>496984.8848011787</v>
      </c>
      <c r="E120" s="13">
        <f>IF(ValuesEntered,IF(ROW()-ROW(הפחתה[[#Headers],[ריבית]])=1,-IPMT(שיעור_ריבית/12,1,תקופת_ההלוואה-ROWS($C$4:C120)+1,הפחתה[[#This Row],[יתרת פתיחה]]),IFERROR(-IPMT(שיעור_ריבית/12,1,הפחתה[[#This Row],[תשלומים
שנותרו]],D121),0)),0)</f>
        <v>2189.9956577875496</v>
      </c>
      <c r="F120" s="13">
        <f>IFERROR(IF(AND(ValuesEntered,הפחתה[[#This Row],[תאריך]]&lt;&gt;""),-PPMT(שיעור_ריבית/12,1,תקופת_ההלוואה-ROWS($C$4:C120)+1,הפחתה[[#This Row],[יתרת פתיחה]]),""),0)</f>
        <v>1136.8113398466794</v>
      </c>
      <c r="G120" s="13">
        <f>(הפחתה[[#This Row],[יתרת פתיחה]])*(מדד/12)</f>
        <v>0</v>
      </c>
      <c r="H120" s="13">
        <f>IF(הפחתה[[#This Row],[תאריך]]="",0,הפחתה[[#This Row],[ריבית]]+הפחתה[[#This Row],[קרן]]+הפחתה[[#This Row],[מדד]])</f>
        <v>3326.806997634229</v>
      </c>
      <c r="I120" s="13">
        <f>IF(הפחתה[[#This Row],[תאריך]]="",0,הפחתה[[#This Row],[יתרת פתיחה]]-הפחתה[[#This Row],[קרן]]+הפחתה[[#This Row],[מדד]])</f>
        <v>495848.07346133201</v>
      </c>
      <c r="J120" s="11">
        <f>IF(הפחתה[[#This Row],[יתרת
סגירה]]&gt;0,LastRow-ROW(),0)</f>
        <v>243</v>
      </c>
      <c r="K120" s="11">
        <f>ROWS($K$4:K120)</f>
        <v>117</v>
      </c>
      <c r="L120" s="12">
        <f>IF(ValuesEntered2,IF(הפחתה5[[#This Row],[מס'']]&lt;=תקופת_ההלוואה2,IF(ROW()-ROW(הפחתה5[[#Headers],[תאריך]])=1,LoanStart2,IF(R119&gt;0,EDATE(L119,1),"")),""),"")</f>
        <v>48914</v>
      </c>
      <c r="M120" s="13">
        <f>IF(ROW()-ROW(הפחתה5[[#Headers],[יתרת פתיחה]])=1,סכום_הלוואה2,IF(הפחתה5[[#This Row],[תאריך]]="",0,INDEX(הפחתה5[], ROW()-4,8)))</f>
        <v>222842.06395424332</v>
      </c>
      <c r="N120" s="13">
        <f>IF(ValuesEntered2,IF(ROW()-ROW(הפחתה5[[#Headers],[ריבית]])=1,-IPMT(שיעור_ריבית2/12,1,תקופת_ההלוואה2-ROWS($L$4:L120)+1,הפחתה5[[#This Row],[יתרת פתיחה]]),IFERROR(-IPMT(שיעור_ריבית2/12,1,הפחתה5[[#This Row],[תשלומים
שנותרו]],M121),0)),0)</f>
        <v>869.55141102628113</v>
      </c>
      <c r="O120" s="13">
        <f>IFERROR(IF(AND(ValuesEntered2,הפחתה5[[#This Row],[תאריך]]&lt;&gt;""),-PPMT(שיעור_ריבית2/12,1,תקופת_ההלוואה2-ROWS($L$4:L120)+1,הפחתה5[[#This Row],[יתרת פתיחה]]),""),0)</f>
        <v>828.93773476727267</v>
      </c>
      <c r="P120" s="13">
        <f>(הפחתה5[[#This Row],[יתרת פתיחה]])*(מדד2/12)</f>
        <v>0</v>
      </c>
      <c r="Q120" s="13">
        <f>IF(הפחתה5[[#This Row],[תאריך]]="",0,הפחתה5[[#This Row],[ריבית]]+הפחתה5[[#This Row],[קרן]]+הפחתה5[[#This Row],[מדד]])</f>
        <v>1698.4891457935537</v>
      </c>
      <c r="R120" s="13">
        <f>IF(הפחתה5[[#This Row],[תאריך]]="",0,הפחתה5[[#This Row],[יתרת פתיחה]]-הפחתה5[[#This Row],[קרן]]+הפחתה5[[#This Row],[מדד]])</f>
        <v>222013.12621947605</v>
      </c>
      <c r="S120" s="11">
        <f>IF(הפחתה5[[#This Row],[יתרת
סגירה]]&gt;0,LastRow2-ROW(),0)</f>
        <v>183</v>
      </c>
      <c r="T120" s="11">
        <f>ROWS($T$4:T120)</f>
        <v>117</v>
      </c>
      <c r="U120" s="12">
        <f ca="1">IF(ValuesEntered3,IF(הפחתה7[[#This Row],[מס'']]&lt;=תקופת_ההלוואה3,IF(ROW()-ROW(הפחתה7[[#Headers],[תאריך]])=1,LoanStart3,IF(AA119&gt;0,EDATE(U119,1),"")),""),"")</f>
        <v>49150</v>
      </c>
      <c r="V120" s="13">
        <f ca="1">IF(ROW()-ROW(הפחתה7[[#Headers],[יתרת פתיחה]])=1,סכום_הלוואה3,IF(הפחתה7[[#This Row],[תאריך]]="",0,INDEX(הפחתה7[], ROW()-4,8)))</f>
        <v>82488.176753745094</v>
      </c>
      <c r="W120" s="13">
        <f ca="1">IF(ValuesEntered3,IF(ROW()-ROW(הפחתה7[[#Headers],[ריבית]])=1,-IPMT(שיעור_ריבית3/12,1,תקופת_ההלוואה3-ROWS($C$4:U120)+1,הפחתה7[[#This Row],[יתרת פתיחה]]),IFERROR(-IPMT(שיעור_ריבית3/12,1,הפחתה7[[#This Row],[תשלומים
שנותרו]],V121),0)),0)</f>
        <v>157.64840356657456</v>
      </c>
      <c r="X120" s="13">
        <f ca="1">IFERROR(IF(AND(ValuesEntered3,הפחתה7[[#This Row],[תאריך]]&lt;&gt;""),-PPMT(שיעור_ריבית3/12,1,תקופת_ההלוואה3-ROWS($C$4:U120)+1,הפחתה7[[#This Row],[יתרת פתיחה]]),""),0)</f>
        <v>374.31605707838526</v>
      </c>
      <c r="Y120" s="13">
        <f ca="1">(הפחתה7[[#This Row],[יתרת פתיחה]])*(מדד3/12)</f>
        <v>137.48029458957515</v>
      </c>
      <c r="Z120" s="13">
        <f ca="1">IF(הפחתה7[[#This Row],[תאריך]]="",0,הפחתה7[[#This Row],[ריבית]]+הפחתה7[[#This Row],[קרן]]+הפחתה7[[#This Row],[מדד]])</f>
        <v>669.44475523453491</v>
      </c>
      <c r="AA120" s="13">
        <f ca="1">IF(הפחתה7[[#This Row],[תאריך]]="",0,הפחתה7[[#This Row],[יתרת פתיחה]]-הפחתה7[[#This Row],[קרן]]+הפחתה7[[#This Row],[מדד]])</f>
        <v>82251.340991256293</v>
      </c>
      <c r="AB120" s="11">
        <f ca="1">IF(הפחתה7[[#This Row],[יתרת
סגירה]]&gt;0,LastRow3-ROW(),0)</f>
        <v>183</v>
      </c>
      <c r="AC120" s="17">
        <f>ROWS($AC$4:AC120)</f>
        <v>117</v>
      </c>
      <c r="AD120" s="18" t="str">
        <f ca="1">IF(ValuesEntered4,IF(הפחתה8[[#This Row],[מס'']]&lt;=תקופת_ההלוואה4,IF(ROW()-ROW(הפחתה8[[#Headers],[תאריך]])=1,LoanStart4,IF(AJ119&gt;0,EDATE(AD119,1),"")),""),"")</f>
        <v/>
      </c>
      <c r="AE120" s="19">
        <f ca="1">IF(ROW()-ROW(הפחתה8[[#Headers],[יתרת פתיחה]])=1,סכום_הלוואה4,IF(הפחתה8[[#This Row],[תאריך]]="",0,INDEX(הפחתה8[], ROW()-4,8)))</f>
        <v>0</v>
      </c>
      <c r="AF120" s="19">
        <f ca="1">IF(ValuesEntered4,IF(ROW()-ROW(הפחתה8[[#Headers],[ריבית]])=1,-IPMT(שיעור_ריבית4/12,1,תקופת_ההלוואה4-ROWS($C$4:AD120)+1,הפחתה8[[#This Row],[יתרת פתיחה]]),IFERROR(-IPMT(שיעור_ריבית4/12,1,הפחתה8[[#This Row],[תשלומים
שנותרו]],AE121),0)),0)</f>
        <v>0</v>
      </c>
      <c r="AG120" s="19" t="str">
        <f ca="1">IFERROR(IF(AND(ValuesEntered4,הפחתה8[[#This Row],[תאריך]]&lt;&gt;""),-PPMT(שיעור_ריבית4/12,1,תקופת_ההלוואה4-ROWS($C$4:AD120)+1,הפחתה8[[#This Row],[יתרת פתיחה]]),""),0)</f>
        <v/>
      </c>
      <c r="AH120" s="19">
        <f ca="1">(הפחתה8[[#This Row],[יתרת פתיחה]])*(מדד4/12)</f>
        <v>0</v>
      </c>
      <c r="AI120" s="19">
        <f ca="1">IF(הפחתה8[[#This Row],[תאריך]]="",0,הפחתה8[[#This Row],[ריבית]]+הפחתה8[[#This Row],[קרן]]+הפחתה8[[#This Row],[מדד]])</f>
        <v>0</v>
      </c>
      <c r="AJ120" s="19">
        <f ca="1">IF(הפחתה8[[#This Row],[תאריך]]="",0,הפחתה8[[#This Row],[יתרת פתיחה]]-הפחתה8[[#This Row],[קרן]])</f>
        <v>0</v>
      </c>
      <c r="AK120" s="20">
        <f ca="1">IF(הפחתה8[[#This Row],[יתרת
סגירה]]&gt;0,LastRow4-ROW(),0)</f>
        <v>0</v>
      </c>
    </row>
    <row r="121" spans="1:37" ht="15" customHeight="1" x14ac:dyDescent="0.25">
      <c r="A121" s="8"/>
      <c r="B121" s="11">
        <f>ROWS($B$4:B121)</f>
        <v>118</v>
      </c>
      <c r="C121" s="12">
        <f>IF(ValuesEntered,IF(הפחתה[[#This Row],[מס'']]&lt;=תקופת_ההלוואה,IF(ROW()-ROW(הפחתה[[#Headers],[תאריך]])=1,LoanStart,IF(I120&gt;0,EDATE(C120,1),"")),""),"")</f>
        <v>48945</v>
      </c>
      <c r="D121" s="13">
        <f>IF(ROW()-ROW(הפחתה[[#Headers],[יתרת פתיחה]])=1,סכום_הלוואה,IF(הפחתה[[#This Row],[תאריך]]="",0,INDEX(הפחתה[], ROW()-4,8)))</f>
        <v>495848.07346133201</v>
      </c>
      <c r="E121" s="13">
        <f>IF(ValuesEntered,IF(ROW()-ROW(הפחתה[[#Headers],[ריבית]])=1,-IPMT(שיעור_ריבית/12,1,תקופת_ההלוואה-ROWS($C$4:C121)+1,הפחתה[[#This Row],[יתרת פתיחה]]),IFERROR(-IPMT(שיעור_ריבית/12,1,הפחתה[[#This Row],[תשלומים
שנותרו]],D122),0)),0)</f>
        <v>2184.9525653209103</v>
      </c>
      <c r="F121" s="13">
        <f>IFERROR(IF(AND(ValuesEntered,הפחתה[[#This Row],[תאריך]]&lt;&gt;""),-PPMT(שיעור_ריבית/12,1,תקופת_ההלוואה-ROWS($C$4:C121)+1,הפחתה[[#This Row],[יתרת פתיחה]]),""),0)</f>
        <v>1141.8322565976689</v>
      </c>
      <c r="G121" s="13">
        <f>(הפחתה[[#This Row],[יתרת פתיחה]])*(מדד/12)</f>
        <v>0</v>
      </c>
      <c r="H121" s="13">
        <f>IF(הפחתה[[#This Row],[תאריך]]="",0,הפחתה[[#This Row],[ריבית]]+הפחתה[[#This Row],[קרן]]+הפחתה[[#This Row],[מדד]])</f>
        <v>3326.7848219185789</v>
      </c>
      <c r="I121" s="13">
        <f>IF(הפחתה[[#This Row],[תאריך]]="",0,הפחתה[[#This Row],[יתרת פתיחה]]-הפחתה[[#This Row],[קרן]]+הפחתה[[#This Row],[מדד]])</f>
        <v>494706.24120473437</v>
      </c>
      <c r="J121" s="11">
        <f>IF(הפחתה[[#This Row],[יתרת
סגירה]]&gt;0,LastRow-ROW(),0)</f>
        <v>242</v>
      </c>
      <c r="K121" s="11">
        <f>ROWS($K$4:K121)</f>
        <v>118</v>
      </c>
      <c r="L121" s="12">
        <f>IF(ValuesEntered2,IF(הפחתה5[[#This Row],[מס'']]&lt;=תקופת_ההלוואה2,IF(ROW()-ROW(הפחתה5[[#Headers],[תאריך]])=1,LoanStart2,IF(R120&gt;0,EDATE(L120,1),"")),""),"")</f>
        <v>48945</v>
      </c>
      <c r="M121" s="13">
        <f>IF(ROW()-ROW(הפחתה5[[#Headers],[יתרת פתיחה]])=1,סכום_הלוואה2,IF(הפחתה5[[#This Row],[תאריך]]="",0,INDEX(הפחתה5[], ROW()-4,8)))</f>
        <v>222013.12621947605</v>
      </c>
      <c r="N121" s="13">
        <f>IF(ValuesEntered2,IF(ROW()-ROW(הפחתה5[[#Headers],[ריבית]])=1,-IPMT(שיעור_ריבית2/12,1,תקופת_ההלוואה2-ROWS($L$4:L121)+1,הפחתה5[[#This Row],[יתרת פתיחה]]),IFERROR(-IPMT(שיעור_ריבית2/12,1,הפחתה5[[#This Row],[תשלומים
שנותרו]],M122),0)),0)</f>
        <v>866.29202209666414</v>
      </c>
      <c r="O121" s="13">
        <f>IFERROR(IF(AND(ValuesEntered2,הפחתה5[[#This Row],[תאריך]]&lt;&gt;""),-PPMT(שיעור_ריבית2/12,1,תקופת_ההלוואה2-ROWS($L$4:L121)+1,הפחתה5[[#This Row],[יתרת פתיחה]]),""),0)</f>
        <v>832.18440756177768</v>
      </c>
      <c r="P121" s="13">
        <f>(הפחתה5[[#This Row],[יתרת פתיחה]])*(מדד2/12)</f>
        <v>0</v>
      </c>
      <c r="Q121" s="13">
        <f>IF(הפחתה5[[#This Row],[תאריך]]="",0,הפחתה5[[#This Row],[ריבית]]+הפחתה5[[#This Row],[קרן]]+הפחתה5[[#This Row],[מדד]])</f>
        <v>1698.4764296584417</v>
      </c>
      <c r="R121" s="13">
        <f>IF(הפחתה5[[#This Row],[תאריך]]="",0,הפחתה5[[#This Row],[יתרת פתיחה]]-הפחתה5[[#This Row],[קרן]]+הפחתה5[[#This Row],[מדד]])</f>
        <v>221180.94181191426</v>
      </c>
      <c r="S121" s="11">
        <f>IF(הפחתה5[[#This Row],[יתרת
סגירה]]&gt;0,LastRow2-ROW(),0)</f>
        <v>182</v>
      </c>
      <c r="T121" s="11">
        <f>ROWS($T$4:T121)</f>
        <v>118</v>
      </c>
      <c r="U121" s="12">
        <f ca="1">IF(ValuesEntered3,IF(הפחתה7[[#This Row],[מס'']]&lt;=תקופת_ההלוואה3,IF(ROW()-ROW(הפחתה7[[#Headers],[תאריך]])=1,LoanStart3,IF(AA120&gt;0,EDATE(U120,1),"")),""),"")</f>
        <v>49181</v>
      </c>
      <c r="V121" s="13">
        <f ca="1">IF(ROW()-ROW(הפחתה7[[#Headers],[יתרת פתיחה]])=1,סכום_הלוואה3,IF(הפחתה7[[#This Row],[תאריך]]="",0,INDEX(הפחתה7[], ROW()-4,8)))</f>
        <v>82251.340991256293</v>
      </c>
      <c r="W121" s="13">
        <f ca="1">IF(ValuesEntered3,IF(ROW()-ROW(הפחתה7[[#Headers],[ריבית]])=1,-IPMT(שיעור_ריבית3/12,1,תקופת_ההלוואה3-ROWS($C$4:U121)+1,הפחתה7[[#This Row],[יתרת פתיחה]]),IFERROR(-IPMT(שיעור_ריבית3/12,1,הפחתה7[[#This Row],[תשלומים
שנותרו]],V122),0)),0)</f>
        <v>157.19113321996596</v>
      </c>
      <c r="X121" s="13">
        <f ca="1">IFERROR(IF(AND(ValuesEntered3,הפחתה7[[#This Row],[תאריך]]&lt;&gt;""),-PPMT(שיעור_ריבית3/12,1,תקופת_ההלוואה3-ROWS($C$4:U121)+1,הפחתה7[[#This Row],[יתרת פתיחה]]),""),0)</f>
        <v>375.66140133192829</v>
      </c>
      <c r="Y121" s="13">
        <f ca="1">(הפחתה7[[#This Row],[יתרת פתיחה]])*(מדד3/12)</f>
        <v>137.08556831876049</v>
      </c>
      <c r="Z121" s="13">
        <f ca="1">IF(הפחתה7[[#This Row],[תאריך]]="",0,הפחתה7[[#This Row],[ריבית]]+הפחתה7[[#This Row],[קרן]]+הפחתה7[[#This Row],[מדד]])</f>
        <v>669.93810287065469</v>
      </c>
      <c r="AA121" s="13">
        <f ca="1">IF(הפחתה7[[#This Row],[תאריך]]="",0,הפחתה7[[#This Row],[יתרת פתיחה]]-הפחתה7[[#This Row],[קרן]]+הפחתה7[[#This Row],[מדד]])</f>
        <v>82012.765158243114</v>
      </c>
      <c r="AB121" s="11">
        <f ca="1">IF(הפחתה7[[#This Row],[יתרת
סגירה]]&gt;0,LastRow3-ROW(),0)</f>
        <v>182</v>
      </c>
      <c r="AC121" s="17">
        <f>ROWS($AC$4:AC121)</f>
        <v>118</v>
      </c>
      <c r="AD121" s="18" t="str">
        <f ca="1">IF(ValuesEntered4,IF(הפחתה8[[#This Row],[מס'']]&lt;=תקופת_ההלוואה4,IF(ROW()-ROW(הפחתה8[[#Headers],[תאריך]])=1,LoanStart4,IF(AJ120&gt;0,EDATE(AD120,1),"")),""),"")</f>
        <v/>
      </c>
      <c r="AE121" s="19">
        <f ca="1">IF(ROW()-ROW(הפחתה8[[#Headers],[יתרת פתיחה]])=1,סכום_הלוואה4,IF(הפחתה8[[#This Row],[תאריך]]="",0,INDEX(הפחתה8[], ROW()-4,8)))</f>
        <v>0</v>
      </c>
      <c r="AF121" s="19">
        <f ca="1">IF(ValuesEntered4,IF(ROW()-ROW(הפחתה8[[#Headers],[ריבית]])=1,-IPMT(שיעור_ריבית4/12,1,תקופת_ההלוואה4-ROWS($C$4:AD121)+1,הפחתה8[[#This Row],[יתרת פתיחה]]),IFERROR(-IPMT(שיעור_ריבית4/12,1,הפחתה8[[#This Row],[תשלומים
שנותרו]],AE122),0)),0)</f>
        <v>0</v>
      </c>
      <c r="AG121" s="19" t="str">
        <f ca="1">IFERROR(IF(AND(ValuesEntered4,הפחתה8[[#This Row],[תאריך]]&lt;&gt;""),-PPMT(שיעור_ריבית4/12,1,תקופת_ההלוואה4-ROWS($C$4:AD121)+1,הפחתה8[[#This Row],[יתרת פתיחה]]),""),0)</f>
        <v/>
      </c>
      <c r="AH121" s="19">
        <f ca="1">(הפחתה8[[#This Row],[יתרת פתיחה]])*(מדד4/12)</f>
        <v>0</v>
      </c>
      <c r="AI121" s="19">
        <f ca="1">IF(הפחתה8[[#This Row],[תאריך]]="",0,הפחתה8[[#This Row],[ריבית]]+הפחתה8[[#This Row],[קרן]]+הפחתה8[[#This Row],[מדד]])</f>
        <v>0</v>
      </c>
      <c r="AJ121" s="19">
        <f ca="1">IF(הפחתה8[[#This Row],[תאריך]]="",0,הפחתה8[[#This Row],[יתרת פתיחה]]-הפחתה8[[#This Row],[קרן]])</f>
        <v>0</v>
      </c>
      <c r="AK121" s="20">
        <f ca="1">IF(הפחתה8[[#This Row],[יתרת
סגירה]]&gt;0,LastRow4-ROW(),0)</f>
        <v>0</v>
      </c>
    </row>
    <row r="122" spans="1:37" ht="15" customHeight="1" x14ac:dyDescent="0.25">
      <c r="A122" s="8"/>
      <c r="B122" s="11">
        <f>ROWS($B$4:B122)</f>
        <v>119</v>
      </c>
      <c r="C122" s="12">
        <f>IF(ValuesEntered,IF(הפחתה[[#This Row],[מס'']]&lt;=תקופת_ההלוואה,IF(ROW()-ROW(הפחתה[[#Headers],[תאריך]])=1,LoanStart,IF(I121&gt;0,EDATE(C121,1),"")),""),"")</f>
        <v>48976</v>
      </c>
      <c r="D122" s="13">
        <f>IF(ROW()-ROW(הפחתה[[#Headers],[יתרת פתיחה]])=1,סכום_הלוואה,IF(הפחתה[[#This Row],[תאריך]]="",0,INDEX(הפחתה[], ROW()-4,8)))</f>
        <v>494706.24120473437</v>
      </c>
      <c r="E122" s="13">
        <f>IF(ValuesEntered,IF(ROW()-ROW(הפחתה[[#Headers],[ריבית]])=1,-IPMT(שיעור_ריבית/12,1,תקופת_ההלוואה-ROWS($C$4:C122)+1,הפחתה[[#This Row],[יתרת פתיחה]]),IFERROR(-IPMT(שיעור_ריבית/12,1,הפחתה[[#This Row],[תשלומים
שנותרו]],D123),0)),0)</f>
        <v>2179.8871991958763</v>
      </c>
      <c r="F122" s="13">
        <f>IFERROR(IF(AND(ValuesEntered,הפחתה[[#This Row],[תאריך]]&lt;&gt;""),-PPMT(שיעור_ריבית/12,1,תקופת_ההלוואה-ROWS($C$4:C122)+1,הפחתה[[#This Row],[יתרת פתיחה]]),""),0)</f>
        <v>1146.8753490643087</v>
      </c>
      <c r="G122" s="13">
        <f>(הפחתה[[#This Row],[יתרת פתיחה]])*(מדד/12)</f>
        <v>0</v>
      </c>
      <c r="H122" s="13">
        <f>IF(הפחתה[[#This Row],[תאריך]]="",0,הפחתה[[#This Row],[ריבית]]+הפחתה[[#This Row],[קרן]]+הפחתה[[#This Row],[מדד]])</f>
        <v>3326.7625482601852</v>
      </c>
      <c r="I122" s="13">
        <f>IF(הפחתה[[#This Row],[תאריך]]="",0,הפחתה[[#This Row],[יתרת פתיחה]]-הפחתה[[#This Row],[קרן]]+הפחתה[[#This Row],[מדד]])</f>
        <v>493559.36585567007</v>
      </c>
      <c r="J122" s="11">
        <f>IF(הפחתה[[#This Row],[יתרת
סגירה]]&gt;0,LastRow-ROW(),0)</f>
        <v>241</v>
      </c>
      <c r="K122" s="11">
        <f>ROWS($K$4:K122)</f>
        <v>119</v>
      </c>
      <c r="L122" s="12">
        <f>IF(ValuesEntered2,IF(הפחתה5[[#This Row],[מס'']]&lt;=תקופת_ההלוואה2,IF(ROW()-ROW(הפחתה5[[#Headers],[תאריך]])=1,LoanStart2,IF(R121&gt;0,EDATE(L121,1),"")),""),"")</f>
        <v>48976</v>
      </c>
      <c r="M122" s="13">
        <f>IF(ROW()-ROW(הפחתה5[[#Headers],[יתרת פתיחה]])=1,סכום_הלוואה2,IF(הפחתה5[[#This Row],[תאריך]]="",0,INDEX(הפחתה5[], ROW()-4,8)))</f>
        <v>221180.94181191426</v>
      </c>
      <c r="N122" s="13">
        <f>IF(ValuesEntered2,IF(ROW()-ROW(הפחתה5[[#Headers],[ריבית]])=1,-IPMT(שיעור_ריבית2/12,1,תקופת_ההלוואה2-ROWS($L$4:L122)+1,הפחתה5[[#This Row],[יתרת פתיחה]]),IFERROR(-IPMT(שיעור_ריבית2/12,1,הפחתה5[[#This Row],[תשלומים
שנותרו]],M123),0)),0)</f>
        <v>863.01986722707284</v>
      </c>
      <c r="O122" s="13">
        <f>IFERROR(IF(AND(ValuesEntered2,הפחתה5[[#This Row],[תאריך]]&lt;&gt;""),-PPMT(שיעור_ריבית2/12,1,תקופת_ההלוואה2-ROWS($L$4:L122)+1,הפחתה5[[#This Row],[יתרת פתיחה]]),""),0)</f>
        <v>835.44379649139466</v>
      </c>
      <c r="P122" s="13">
        <f>(הפחתה5[[#This Row],[יתרת פתיחה]])*(מדד2/12)</f>
        <v>0</v>
      </c>
      <c r="Q122" s="13">
        <f>IF(הפחתה5[[#This Row],[תאריך]]="",0,הפחתה5[[#This Row],[ריבית]]+הפחתה5[[#This Row],[קרן]]+הפחתה5[[#This Row],[מדד]])</f>
        <v>1698.4636637184676</v>
      </c>
      <c r="R122" s="13">
        <f>IF(הפחתה5[[#This Row],[תאריך]]="",0,הפחתה5[[#This Row],[יתרת פתיחה]]-הפחתה5[[#This Row],[קרן]]+הפחתה5[[#This Row],[מדד]])</f>
        <v>220345.49801542287</v>
      </c>
      <c r="S122" s="11">
        <f>IF(הפחתה5[[#This Row],[יתרת
סגירה]]&gt;0,LastRow2-ROW(),0)</f>
        <v>181</v>
      </c>
      <c r="T122" s="11">
        <f>ROWS($T$4:T122)</f>
        <v>119</v>
      </c>
      <c r="U122" s="12">
        <f ca="1">IF(ValuesEntered3,IF(הפחתה7[[#This Row],[מס'']]&lt;=תקופת_ההלוואה3,IF(ROW()-ROW(הפחתה7[[#Headers],[תאריך]])=1,LoanStart3,IF(AA121&gt;0,EDATE(U121,1),"")),""),"")</f>
        <v>49212</v>
      </c>
      <c r="V122" s="13">
        <f ca="1">IF(ROW()-ROW(הפחתה7[[#Headers],[יתרת פתיחה]])=1,סכום_הלוואה3,IF(הפחתה7[[#This Row],[תאריך]]="",0,INDEX(הפחתה7[], ROW()-4,8)))</f>
        <v>82012.765158243114</v>
      </c>
      <c r="W122" s="13">
        <f ca="1">IF(ValuesEntered3,IF(ROW()-ROW(הפחתה7[[#Headers],[ריבית]])=1,-IPMT(שיעור_ריבית3/12,1,תקופת_ההלוואה3-ROWS($C$4:U122)+1,הפחתה7[[#This Row],[יתרת פתיחה]]),IFERROR(-IPMT(שיעור_ריבית3/12,1,הפחתה7[[#This Row],[תשלומים
שנותרו]],V123),0)),0)</f>
        <v>156.73051287616244</v>
      </c>
      <c r="X122" s="13">
        <f ca="1">IFERROR(IF(AND(ValuesEntered3,הפחתה7[[#This Row],[תאריך]]&lt;&gt;""),-PPMT(שיעור_ריבית3/12,1,תקופת_ההלוואה3-ROWS($C$4:U122)+1,הפחתה7[[#This Row],[יתרת פתיחה]]),""),0)</f>
        <v>377.01159956702145</v>
      </c>
      <c r="Y122" s="13">
        <f ca="1">(הפחתה7[[#This Row],[יתרת פתיחה]])*(מדד3/12)</f>
        <v>136.6879419304052</v>
      </c>
      <c r="Z122" s="13">
        <f ca="1">IF(הפחתה7[[#This Row],[תאריך]]="",0,הפחתה7[[#This Row],[ריבית]]+הפחתה7[[#This Row],[קרן]]+הפחתה7[[#This Row],[מדד]])</f>
        <v>670.4300543735892</v>
      </c>
      <c r="AA122" s="13">
        <f ca="1">IF(הפחתה7[[#This Row],[תאריך]]="",0,הפחתה7[[#This Row],[יתרת פתיחה]]-הפחתה7[[#This Row],[קרן]]+הפחתה7[[#This Row],[מדד]])</f>
        <v>81772.441500606496</v>
      </c>
      <c r="AB122" s="11">
        <f ca="1">IF(הפחתה7[[#This Row],[יתרת
סגירה]]&gt;0,LastRow3-ROW(),0)</f>
        <v>181</v>
      </c>
      <c r="AC122" s="17">
        <f>ROWS($AC$4:AC122)</f>
        <v>119</v>
      </c>
      <c r="AD122" s="18" t="str">
        <f ca="1">IF(ValuesEntered4,IF(הפחתה8[[#This Row],[מס'']]&lt;=תקופת_ההלוואה4,IF(ROW()-ROW(הפחתה8[[#Headers],[תאריך]])=1,LoanStart4,IF(AJ121&gt;0,EDATE(AD121,1),"")),""),"")</f>
        <v/>
      </c>
      <c r="AE122" s="19">
        <f ca="1">IF(ROW()-ROW(הפחתה8[[#Headers],[יתרת פתיחה]])=1,סכום_הלוואה4,IF(הפחתה8[[#This Row],[תאריך]]="",0,INDEX(הפחתה8[], ROW()-4,8)))</f>
        <v>0</v>
      </c>
      <c r="AF122" s="19">
        <f ca="1">IF(ValuesEntered4,IF(ROW()-ROW(הפחתה8[[#Headers],[ריבית]])=1,-IPMT(שיעור_ריבית4/12,1,תקופת_ההלוואה4-ROWS($C$4:AD122)+1,הפחתה8[[#This Row],[יתרת פתיחה]]),IFERROR(-IPMT(שיעור_ריבית4/12,1,הפחתה8[[#This Row],[תשלומים
שנותרו]],AE123),0)),0)</f>
        <v>0</v>
      </c>
      <c r="AG122" s="19" t="str">
        <f ca="1">IFERROR(IF(AND(ValuesEntered4,הפחתה8[[#This Row],[תאריך]]&lt;&gt;""),-PPMT(שיעור_ריבית4/12,1,תקופת_ההלוואה4-ROWS($C$4:AD122)+1,הפחתה8[[#This Row],[יתרת פתיחה]]),""),0)</f>
        <v/>
      </c>
      <c r="AH122" s="19">
        <f ca="1">(הפחתה8[[#This Row],[יתרת פתיחה]])*(מדד4/12)</f>
        <v>0</v>
      </c>
      <c r="AI122" s="19">
        <f ca="1">IF(הפחתה8[[#This Row],[תאריך]]="",0,הפחתה8[[#This Row],[ריבית]]+הפחתה8[[#This Row],[קרן]]+הפחתה8[[#This Row],[מדד]])</f>
        <v>0</v>
      </c>
      <c r="AJ122" s="19">
        <f ca="1">IF(הפחתה8[[#This Row],[תאריך]]="",0,הפחתה8[[#This Row],[יתרת פתיחה]]-הפחתה8[[#This Row],[קרן]])</f>
        <v>0</v>
      </c>
      <c r="AK122" s="20">
        <f ca="1">IF(הפחתה8[[#This Row],[יתרת
סגירה]]&gt;0,LastRow4-ROW(),0)</f>
        <v>0</v>
      </c>
    </row>
    <row r="123" spans="1:37" ht="15" customHeight="1" x14ac:dyDescent="0.25">
      <c r="A123" s="8"/>
      <c r="B123" s="11">
        <f>ROWS($B$4:B123)</f>
        <v>120</v>
      </c>
      <c r="C123" s="12">
        <f>IF(ValuesEntered,IF(הפחתה[[#This Row],[מס'']]&lt;=תקופת_ההלוואה,IF(ROW()-ROW(הפחתה[[#Headers],[תאריך]])=1,LoanStart,IF(I122&gt;0,EDATE(C122,1),"")),""),"")</f>
        <v>49004</v>
      </c>
      <c r="D123" s="13">
        <f>IF(ROW()-ROW(הפחתה[[#Headers],[יתרת פתיחה]])=1,סכום_הלוואה,IF(הפחתה[[#This Row],[תאריך]]="",0,INDEX(הפחתה[], ROW()-4,8)))</f>
        <v>493559.36585567007</v>
      </c>
      <c r="E123" s="13">
        <f>IF(ValuesEntered,IF(ROW()-ROW(הפחתה[[#Headers],[ריבית]])=1,-IPMT(שיעור_ריבית/12,1,תקופת_ההלוואה-ROWS($C$4:C123)+1,הפחתה[[#This Row],[יתרת פתיחה]]),IFERROR(-IPMT(שיעור_ריבית/12,1,הפחתה[[#This Row],[תשלומים
שנותרו]],D124),0)),0)</f>
        <v>2174.7994610371234</v>
      </c>
      <c r="F123" s="13">
        <f>IFERROR(IF(AND(ValuesEntered,הפחתה[[#This Row],[תאריך]]&lt;&gt;""),-PPMT(שיעור_ריבית/12,1,תקופת_ההלוואה-ROWS($C$4:C123)+1,הפחתה[[#This Row],[יתרת פתיחה]]),""),0)</f>
        <v>1151.9407151893429</v>
      </c>
      <c r="G123" s="13">
        <f>(הפחתה[[#This Row],[יתרת פתיחה]])*(מדד/12)</f>
        <v>0</v>
      </c>
      <c r="H123" s="13">
        <f>IF(הפחתה[[#This Row],[תאריך]]="",0,הפחתה[[#This Row],[ריבית]]+הפחתה[[#This Row],[קרן]]+הפחתה[[#This Row],[מדד]])</f>
        <v>3326.7401762264662</v>
      </c>
      <c r="I123" s="13">
        <f>IF(הפחתה[[#This Row],[תאריך]]="",0,הפחתה[[#This Row],[יתרת פתיחה]]-הפחתה[[#This Row],[קרן]]+הפחתה[[#This Row],[מדד]])</f>
        <v>492407.42514048074</v>
      </c>
      <c r="J123" s="11">
        <f>IF(הפחתה[[#This Row],[יתרת
סגירה]]&gt;0,LastRow-ROW(),0)</f>
        <v>240</v>
      </c>
      <c r="K123" s="11">
        <f>ROWS($K$4:K123)</f>
        <v>120</v>
      </c>
      <c r="L123" s="12">
        <f>IF(ValuesEntered2,IF(הפחתה5[[#This Row],[מס'']]&lt;=תקופת_ההלוואה2,IF(ROW()-ROW(הפחתה5[[#Headers],[תאריך]])=1,LoanStart2,IF(R122&gt;0,EDATE(L122,1),"")),""),"")</f>
        <v>49004</v>
      </c>
      <c r="M123" s="13">
        <f>IF(ROW()-ROW(הפחתה5[[#Headers],[יתרת פתיחה]])=1,סכום_הלוואה2,IF(הפחתה5[[#This Row],[תאריך]]="",0,INDEX(הפחתה5[], ROW()-4,8)))</f>
        <v>220345.49801542287</v>
      </c>
      <c r="N123" s="13">
        <f>IF(ValuesEntered2,IF(ROW()-ROW(הפחתה5[[#Headers],[ריבית]])=1,-IPMT(שיעור_ריבית2/12,1,תקופת_ההלוואה2-ROWS($L$4:L123)+1,הפחתה5[[#This Row],[יתרת פתיחה]]),IFERROR(-IPMT(שיעור_ריבית2/12,1,הפחתה5[[#This Row],[תשלומים
שנותרו]],M124),0)),0)</f>
        <v>859.73489641757556</v>
      </c>
      <c r="O123" s="13">
        <f>IFERROR(IF(AND(ValuesEntered2,הפחתה5[[#This Row],[תאריך]]&lt;&gt;""),-PPMT(שיעור_ריבית2/12,1,תקופת_ההלוואה2-ROWS($L$4:L123)+1,הפחתה5[[#This Row],[יתרת פתיחה]]),""),0)</f>
        <v>838.71595136098597</v>
      </c>
      <c r="P123" s="13">
        <f>(הפחתה5[[#This Row],[יתרת פתיחה]])*(מדד2/12)</f>
        <v>0</v>
      </c>
      <c r="Q123" s="13">
        <f>IF(הפחתה5[[#This Row],[תאריך]]="",0,הפחתה5[[#This Row],[ריבית]]+הפחתה5[[#This Row],[קרן]]+הפחתה5[[#This Row],[מדד]])</f>
        <v>1698.4508477785616</v>
      </c>
      <c r="R123" s="13">
        <f>IF(הפחתה5[[#This Row],[תאריך]]="",0,הפחתה5[[#This Row],[יתרת פתיחה]]-הפחתה5[[#This Row],[קרן]]+הפחתה5[[#This Row],[מדד]])</f>
        <v>219506.78206406187</v>
      </c>
      <c r="S123" s="11">
        <f>IF(הפחתה5[[#This Row],[יתרת
סגירה]]&gt;0,LastRow2-ROW(),0)</f>
        <v>180</v>
      </c>
      <c r="T123" s="11">
        <f>ROWS($T$4:T123)</f>
        <v>120</v>
      </c>
      <c r="U123" s="12">
        <f ca="1">IF(ValuesEntered3,IF(הפחתה7[[#This Row],[מס'']]&lt;=תקופת_ההלוואה3,IF(ROW()-ROW(הפחתה7[[#Headers],[תאריך]])=1,LoanStart3,IF(AA122&gt;0,EDATE(U122,1),"")),""),"")</f>
        <v>49242</v>
      </c>
      <c r="V123" s="13">
        <f ca="1">IF(ROW()-ROW(הפחתה7[[#Headers],[יתרת פתיחה]])=1,סכום_הלוואה3,IF(הפחתה7[[#This Row],[תאריך]]="",0,INDEX(הפחתה7[], ROW()-4,8)))</f>
        <v>81772.441500606496</v>
      </c>
      <c r="W123" s="13">
        <f ca="1">IF(ValuesEntered3,IF(ROW()-ROW(הפחתה7[[#Headers],[ריבית]])=1,-IPMT(שיעור_ריבית3/12,1,תקופת_ההלוואה3-ROWS($C$4:U123)+1,הפחתה7[[#This Row],[יתרת פתיחה]]),IFERROR(-IPMT(שיעור_ריבית3/12,1,הפחתה7[[#This Row],[תשלומים
שנותרו]],V124),0)),0)</f>
        <v>156.26652761427619</v>
      </c>
      <c r="X123" s="13">
        <f ca="1">IFERROR(IF(AND(ValuesEntered3,הפחתה7[[#This Row],[תאריך]]&lt;&gt;""),-PPMT(שיעור_ריבית3/12,1,תקופת_ההלוואה3-ROWS($C$4:U123)+1,הפחתה7[[#This Row],[יתרת פתיחה]]),""),0)</f>
        <v>378.36666957209701</v>
      </c>
      <c r="Y123" s="13">
        <f ca="1">(הפחתה7[[#This Row],[יתרת פתיחה]])*(מדד3/12)</f>
        <v>136.28740250101083</v>
      </c>
      <c r="Z123" s="13">
        <f ca="1">IF(הפחתה7[[#This Row],[תאריך]]="",0,הפחתה7[[#This Row],[ריבית]]+הפחתה7[[#This Row],[קרן]]+הפחתה7[[#This Row],[מדד]])</f>
        <v>670.92059968738408</v>
      </c>
      <c r="AA123" s="13">
        <f ca="1">IF(הפחתה7[[#This Row],[תאריך]]="",0,הפחתה7[[#This Row],[יתרת פתיחה]]-הפחתה7[[#This Row],[קרן]]+הפחתה7[[#This Row],[מדד]])</f>
        <v>81530.362233535401</v>
      </c>
      <c r="AB123" s="11">
        <f ca="1">IF(הפחתה7[[#This Row],[יתרת
סגירה]]&gt;0,LastRow3-ROW(),0)</f>
        <v>180</v>
      </c>
      <c r="AC123" s="17">
        <f>ROWS($AC$4:AC123)</f>
        <v>120</v>
      </c>
      <c r="AD123" s="18" t="str">
        <f ca="1">IF(ValuesEntered4,IF(הפחתה8[[#This Row],[מס'']]&lt;=תקופת_ההלוואה4,IF(ROW()-ROW(הפחתה8[[#Headers],[תאריך]])=1,LoanStart4,IF(AJ122&gt;0,EDATE(AD122,1),"")),""),"")</f>
        <v/>
      </c>
      <c r="AE123" s="19">
        <f ca="1">IF(ROW()-ROW(הפחתה8[[#Headers],[יתרת פתיחה]])=1,סכום_הלוואה4,IF(הפחתה8[[#This Row],[תאריך]]="",0,INDEX(הפחתה8[], ROW()-4,8)))</f>
        <v>0</v>
      </c>
      <c r="AF123" s="19">
        <f ca="1">IF(ValuesEntered4,IF(ROW()-ROW(הפחתה8[[#Headers],[ריבית]])=1,-IPMT(שיעור_ריבית4/12,1,תקופת_ההלוואה4-ROWS($C$4:AD123)+1,הפחתה8[[#This Row],[יתרת פתיחה]]),IFERROR(-IPMT(שיעור_ריבית4/12,1,הפחתה8[[#This Row],[תשלומים
שנותרו]],AE124),0)),0)</f>
        <v>0</v>
      </c>
      <c r="AG123" s="19" t="str">
        <f ca="1">IFERROR(IF(AND(ValuesEntered4,הפחתה8[[#This Row],[תאריך]]&lt;&gt;""),-PPMT(שיעור_ריבית4/12,1,תקופת_ההלוואה4-ROWS($C$4:AD123)+1,הפחתה8[[#This Row],[יתרת פתיחה]]),""),0)</f>
        <v/>
      </c>
      <c r="AH123" s="19">
        <f ca="1">(הפחתה8[[#This Row],[יתרת פתיחה]])*(מדד4/12)</f>
        <v>0</v>
      </c>
      <c r="AI123" s="19">
        <f ca="1">IF(הפחתה8[[#This Row],[תאריך]]="",0,הפחתה8[[#This Row],[ריבית]]+הפחתה8[[#This Row],[קרן]]+הפחתה8[[#This Row],[מדד]])</f>
        <v>0</v>
      </c>
      <c r="AJ123" s="19">
        <f ca="1">IF(הפחתה8[[#This Row],[תאריך]]="",0,הפחתה8[[#This Row],[יתרת פתיחה]]-הפחתה8[[#This Row],[קרן]])</f>
        <v>0</v>
      </c>
      <c r="AK123" s="20">
        <f ca="1">IF(הפחתה8[[#This Row],[יתרת
סגירה]]&gt;0,LastRow4-ROW(),0)</f>
        <v>0</v>
      </c>
    </row>
    <row r="124" spans="1:37" ht="15" customHeight="1" x14ac:dyDescent="0.25">
      <c r="A124" s="8"/>
      <c r="B124" s="11">
        <f>ROWS($B$4:B124)</f>
        <v>121</v>
      </c>
      <c r="C124" s="12">
        <f>IF(ValuesEntered,IF(הפחתה[[#This Row],[מס'']]&lt;=תקופת_ההלוואה,IF(ROW()-ROW(הפחתה[[#Headers],[תאריך]])=1,LoanStart,IF(I123&gt;0,EDATE(C123,1),"")),""),"")</f>
        <v>49035</v>
      </c>
      <c r="D124" s="13">
        <f>IF(ROW()-ROW(הפחתה[[#Headers],[יתרת פתיחה]])=1,סכום_הלוואה,IF(הפחתה[[#This Row],[תאריך]]="",0,INDEX(הפחתה[], ROW()-4,8)))</f>
        <v>492407.42514048074</v>
      </c>
      <c r="E124" s="13">
        <f>IF(ValuesEntered,IF(ROW()-ROW(הפחתה[[#Headers],[ריבית]])=1,-IPMT(שיעור_ריבית/12,1,תקופת_ההלוואה-ROWS($C$4:C124)+1,הפחתה[[#This Row],[יתרת פתיחה]]),IFERROR(-IPMT(שיעור_ריבית/12,1,הפחתה[[#This Row],[תשלומים
שנותרו]],D125),0)),0)</f>
        <v>2169.689252034836</v>
      </c>
      <c r="F124" s="13">
        <f>IFERROR(IF(AND(ValuesEntered,הפחתה[[#This Row],[תאריך]]&lt;&gt;""),-PPMT(שיעור_ריבית/12,1,תקופת_ההלוואה-ROWS($C$4:C124)+1,הפחתה[[#This Row],[יתרת פתיחה]]),""),0)</f>
        <v>1157.0284533480958</v>
      </c>
      <c r="G124" s="13">
        <f>(הפחתה[[#This Row],[יתרת פתיחה]])*(מדד/12)</f>
        <v>0</v>
      </c>
      <c r="H124" s="13">
        <f>IF(הפחתה[[#This Row],[תאריך]]="",0,הפחתה[[#This Row],[ריבית]]+הפחתה[[#This Row],[קרן]]+הפחתה[[#This Row],[מדד]])</f>
        <v>3326.7177053829319</v>
      </c>
      <c r="I124" s="13">
        <f>IF(הפחתה[[#This Row],[תאריך]]="",0,הפחתה[[#This Row],[יתרת פתיחה]]-הפחתה[[#This Row],[קרן]]+הפחתה[[#This Row],[מדד]])</f>
        <v>491250.39668713266</v>
      </c>
      <c r="J124" s="11">
        <f>IF(הפחתה[[#This Row],[יתרת
סגירה]]&gt;0,LastRow-ROW(),0)</f>
        <v>239</v>
      </c>
      <c r="K124" s="11">
        <f>ROWS($K$4:K124)</f>
        <v>121</v>
      </c>
      <c r="L124" s="12">
        <f>IF(ValuesEntered2,IF(הפחתה5[[#This Row],[מס'']]&lt;=תקופת_ההלוואה2,IF(ROW()-ROW(הפחתה5[[#Headers],[תאריך]])=1,LoanStart2,IF(R123&gt;0,EDATE(L123,1),"")),""),"")</f>
        <v>49035</v>
      </c>
      <c r="M124" s="13">
        <f>IF(ROW()-ROW(הפחתה5[[#Headers],[יתרת פתיחה]])=1,סכום_הלוואה2,IF(הפחתה5[[#This Row],[תאריך]]="",0,INDEX(הפחתה5[], ROW()-4,8)))</f>
        <v>219506.78206406187</v>
      </c>
      <c r="N124" s="13">
        <f>IF(ValuesEntered2,IF(ROW()-ROW(הפחתה5[[#Headers],[ריבית]])=1,-IPMT(שיעור_ריבית2/12,1,תקופת_ההלוואה2-ROWS($L$4:L124)+1,הפחתה5[[#This Row],[יתרת פתיחה]]),IFERROR(-IPMT(שיעור_ריבית2/12,1,הפחתה5[[#This Row],[תשלומים
שנותרו]],M125),0)),0)</f>
        <v>856.43705947240778</v>
      </c>
      <c r="O124" s="13">
        <f>IFERROR(IF(AND(ValuesEntered2,הפחתה5[[#This Row],[תאריך]]&lt;&gt;""),-PPMT(שיעור_ריבית2/12,1,תקופת_ההלוואה2-ROWS($L$4:L124)+1,הפחתה5[[#This Row],[יתרת פתיחה]]),""),0)</f>
        <v>842.00092217048325</v>
      </c>
      <c r="P124" s="13">
        <f>(הפחתה5[[#This Row],[יתרת פתיחה]])*(מדד2/12)</f>
        <v>0</v>
      </c>
      <c r="Q124" s="13">
        <f>IF(הפחתה5[[#This Row],[תאריך]]="",0,הפחתה5[[#This Row],[ריבית]]+הפחתה5[[#This Row],[קרן]]+הפחתה5[[#This Row],[מדד]])</f>
        <v>1698.4379816428909</v>
      </c>
      <c r="R124" s="13">
        <f>IF(הפחתה5[[#This Row],[תאריך]]="",0,הפחתה5[[#This Row],[יתרת פתיחה]]-הפחתה5[[#This Row],[קרן]]+הפחתה5[[#This Row],[מדד]])</f>
        <v>218664.78114189138</v>
      </c>
      <c r="S124" s="11">
        <f>IF(הפחתה5[[#This Row],[יתרת
סגירה]]&gt;0,LastRow2-ROW(),0)</f>
        <v>179</v>
      </c>
      <c r="T124" s="11">
        <f>ROWS($T$4:T124)</f>
        <v>121</v>
      </c>
      <c r="U124" s="12">
        <f ca="1">IF(ValuesEntered3,IF(הפחתה7[[#This Row],[מס'']]&lt;=תקופת_ההלוואה3,IF(ROW()-ROW(הפחתה7[[#Headers],[תאריך]])=1,LoanStart3,IF(AA123&gt;0,EDATE(U123,1),"")),""),"")</f>
        <v>49273</v>
      </c>
      <c r="V124" s="13">
        <f ca="1">IF(ROW()-ROW(הפחתה7[[#Headers],[יתרת פתיחה]])=1,סכום_הלוואה3,IF(הפחתה7[[#This Row],[תאריך]]="",0,INDEX(הפחתה7[], ROW()-4,8)))</f>
        <v>81530.362233535401</v>
      </c>
      <c r="W124" s="13">
        <f ca="1">IF(ValuesEntered3,IF(ROW()-ROW(הפחתה7[[#Headers],[ריבית]])=1,-IPMT(שיעור_ריבית3/12,1,תקופת_ההלוואה3-ROWS($C$4:U124)+1,הפחתה7[[#This Row],[יתרת פתיחה]]),IFERROR(-IPMT(שיעור_ריבית3/12,1,הפחתה7[[#This Row],[תשלומים
שנותרו]],V125),0)),0)</f>
        <v>155.79916245432182</v>
      </c>
      <c r="X124" s="13">
        <f ca="1">IFERROR(IF(AND(ValuesEntered3,הפחתה7[[#This Row],[תאריך]]&lt;&gt;""),-PPMT(שיעור_ריבית3/12,1,תקופת_ההלוואה3-ROWS($C$4:U124)+1,הפחתה7[[#This Row],[יתרת פתיחה]]),""),0)</f>
        <v>379.726629205986</v>
      </c>
      <c r="Y124" s="13">
        <f ca="1">(הפחתה7[[#This Row],[יתרת פתיחה]])*(מדד3/12)</f>
        <v>135.88393705589235</v>
      </c>
      <c r="Z124" s="13">
        <f ca="1">IF(הפחתה7[[#This Row],[תאריך]]="",0,הפחתה7[[#This Row],[ריבית]]+הפחתה7[[#This Row],[קרן]]+הפחתה7[[#This Row],[מדד]])</f>
        <v>671.40972871620022</v>
      </c>
      <c r="AA124" s="13">
        <f ca="1">IF(הפחתה7[[#This Row],[תאריך]]="",0,הפחתה7[[#This Row],[יתרת פתיחה]]-הפחתה7[[#This Row],[קרן]]+הפחתה7[[#This Row],[מדד]])</f>
        <v>81286.519541385307</v>
      </c>
      <c r="AB124" s="11">
        <f ca="1">IF(הפחתה7[[#This Row],[יתרת
סגירה]]&gt;0,LastRow3-ROW(),0)</f>
        <v>179</v>
      </c>
      <c r="AC124" s="17">
        <f>ROWS($AC$4:AC124)</f>
        <v>121</v>
      </c>
      <c r="AD124" s="18" t="str">
        <f ca="1">IF(ValuesEntered4,IF(הפחתה8[[#This Row],[מס'']]&lt;=תקופת_ההלוואה4,IF(ROW()-ROW(הפחתה8[[#Headers],[תאריך]])=1,LoanStart4,IF(AJ123&gt;0,EDATE(AD123,1),"")),""),"")</f>
        <v/>
      </c>
      <c r="AE124" s="19">
        <f ca="1">IF(ROW()-ROW(הפחתה8[[#Headers],[יתרת פתיחה]])=1,סכום_הלוואה4,IF(הפחתה8[[#This Row],[תאריך]]="",0,INDEX(הפחתה8[], ROW()-4,8)))</f>
        <v>0</v>
      </c>
      <c r="AF124" s="19">
        <f ca="1">IF(ValuesEntered4,IF(ROW()-ROW(הפחתה8[[#Headers],[ריבית]])=1,-IPMT(שיעור_ריבית4/12,1,תקופת_ההלוואה4-ROWS($C$4:AD124)+1,הפחתה8[[#This Row],[יתרת פתיחה]]),IFERROR(-IPMT(שיעור_ריבית4/12,1,הפחתה8[[#This Row],[תשלומים
שנותרו]],AE125),0)),0)</f>
        <v>0</v>
      </c>
      <c r="AG124" s="19" t="str">
        <f ca="1">IFERROR(IF(AND(ValuesEntered4,הפחתה8[[#This Row],[תאריך]]&lt;&gt;""),-PPMT(שיעור_ריבית4/12,1,תקופת_ההלוואה4-ROWS($C$4:AD124)+1,הפחתה8[[#This Row],[יתרת פתיחה]]),""),0)</f>
        <v/>
      </c>
      <c r="AH124" s="19">
        <f ca="1">(הפחתה8[[#This Row],[יתרת פתיחה]])*(מדד4/12)</f>
        <v>0</v>
      </c>
      <c r="AI124" s="19">
        <f ca="1">IF(הפחתה8[[#This Row],[תאריך]]="",0,הפחתה8[[#This Row],[ריבית]]+הפחתה8[[#This Row],[קרן]]+הפחתה8[[#This Row],[מדד]])</f>
        <v>0</v>
      </c>
      <c r="AJ124" s="19">
        <f ca="1">IF(הפחתה8[[#This Row],[תאריך]]="",0,הפחתה8[[#This Row],[יתרת פתיחה]]-הפחתה8[[#This Row],[קרן]])</f>
        <v>0</v>
      </c>
      <c r="AK124" s="20">
        <f ca="1">IF(הפחתה8[[#This Row],[יתרת
סגירה]]&gt;0,LastRow4-ROW(),0)</f>
        <v>0</v>
      </c>
    </row>
    <row r="125" spans="1:37" ht="15" customHeight="1" x14ac:dyDescent="0.25">
      <c r="A125" s="8"/>
      <c r="B125" s="11">
        <f>ROWS($B$4:B125)</f>
        <v>122</v>
      </c>
      <c r="C125" s="12">
        <f>IF(ValuesEntered,IF(הפחתה[[#This Row],[מס'']]&lt;=תקופת_ההלוואה,IF(ROW()-ROW(הפחתה[[#Headers],[תאריך]])=1,LoanStart,IF(I124&gt;0,EDATE(C124,1),"")),""),"")</f>
        <v>49065</v>
      </c>
      <c r="D125" s="13">
        <f>IF(ROW()-ROW(הפחתה[[#Headers],[יתרת פתיחה]])=1,סכום_הלוואה,IF(הפחתה[[#This Row],[תאריך]]="",0,INDEX(הפחתה[], ROW()-4,8)))</f>
        <v>491250.39668713266</v>
      </c>
      <c r="E125" s="13">
        <f>IF(ValuesEntered,IF(ROW()-ROW(הפחתה[[#Headers],[ריבית]])=1,-IPMT(שיעור_ריבית/12,1,תקופת_ההלוואה-ROWS($C$4:C125)+1,הפחתה[[#This Row],[יתרת פתיחה]]),IFERROR(-IPMT(שיעור_ריבית/12,1,הפחתה[[#This Row],[תשלומים
שנותרו]],D126),0)),0)</f>
        <v>2164.5564729427883</v>
      </c>
      <c r="F125" s="13">
        <f>IFERROR(IF(AND(ValuesEntered,הפחתה[[#This Row],[תאריך]]&lt;&gt;""),-PPMT(שיעור_ריבית/12,1,תקופת_ההלוואה-ROWS($C$4:C125)+1,הפחתה[[#This Row],[יתרת פתיחה]]),""),0)</f>
        <v>1162.1386623503834</v>
      </c>
      <c r="G125" s="13">
        <f>(הפחתה[[#This Row],[יתרת פתיחה]])*(מדד/12)</f>
        <v>0</v>
      </c>
      <c r="H125" s="13">
        <f>IF(הפחתה[[#This Row],[תאריך]]="",0,הפחתה[[#This Row],[ריבית]]+הפחתה[[#This Row],[קרן]]+הפחתה[[#This Row],[מדד]])</f>
        <v>3326.6951352931719</v>
      </c>
      <c r="I125" s="13">
        <f>IF(הפחתה[[#This Row],[תאריך]]="",0,הפחתה[[#This Row],[יתרת פתיחה]]-הפחתה[[#This Row],[קרן]]+הפחתה[[#This Row],[מדד]])</f>
        <v>490088.25802478229</v>
      </c>
      <c r="J125" s="11">
        <f>IF(הפחתה[[#This Row],[יתרת
סגירה]]&gt;0,LastRow-ROW(),0)</f>
        <v>238</v>
      </c>
      <c r="K125" s="11">
        <f>ROWS($K$4:K125)</f>
        <v>122</v>
      </c>
      <c r="L125" s="12">
        <f>IF(ValuesEntered2,IF(הפחתה5[[#This Row],[מס'']]&lt;=תקופת_ההלוואה2,IF(ROW()-ROW(הפחתה5[[#Headers],[תאריך]])=1,LoanStart2,IF(R124&gt;0,EDATE(L124,1),"")),""),"")</f>
        <v>49065</v>
      </c>
      <c r="M125" s="13">
        <f>IF(ROW()-ROW(הפחתה5[[#Headers],[יתרת פתיחה]])=1,סכום_הלוואה2,IF(הפחתה5[[#This Row],[תאריך]]="",0,INDEX(הפחתה5[], ROW()-4,8)))</f>
        <v>218664.78114189138</v>
      </c>
      <c r="N125" s="13">
        <f>IF(ValuesEntered2,IF(ROW()-ROW(הפחתה5[[#Headers],[ריבית]])=1,-IPMT(שיעור_ריבית2/12,1,תקופת_ההלוואה2-ROWS($L$4:L125)+1,הפחתה5[[#This Row],[יתרת פתיחה]]),IFERROR(-IPMT(שיעור_ריבית2/12,1,הפחתה5[[#This Row],[תשלומים
שנותרו]],M126),0)),0)</f>
        <v>853.12630599920487</v>
      </c>
      <c r="O125" s="13">
        <f>IFERROR(IF(AND(ValuesEntered2,הפחתה5[[#This Row],[תאריך]]&lt;&gt;""),-PPMT(שיעור_ריבית2/12,1,תקופת_ההלוואה2-ROWS($L$4:L125)+1,הפחתה5[[#This Row],[יתרת פתיחה]]),""),0)</f>
        <v>845.2987591156508</v>
      </c>
      <c r="P125" s="13">
        <f>(הפחתה5[[#This Row],[יתרת פתיחה]])*(מדד2/12)</f>
        <v>0</v>
      </c>
      <c r="Q125" s="13">
        <f>IF(הפחתה5[[#This Row],[תאריך]]="",0,הפחתה5[[#This Row],[ריבית]]+הפחתה5[[#This Row],[קרן]]+הפחתה5[[#This Row],[מדד]])</f>
        <v>1698.4250651148557</v>
      </c>
      <c r="R125" s="13">
        <f>IF(הפחתה5[[#This Row],[תאריך]]="",0,הפחתה5[[#This Row],[יתרת פתיחה]]-הפחתה5[[#This Row],[קרן]]+הפחתה5[[#This Row],[מדד]])</f>
        <v>217819.48238277572</v>
      </c>
      <c r="S125" s="11">
        <f>IF(הפחתה5[[#This Row],[יתרת
סגירה]]&gt;0,LastRow2-ROW(),0)</f>
        <v>178</v>
      </c>
      <c r="T125" s="11">
        <f>ROWS($T$4:T125)</f>
        <v>122</v>
      </c>
      <c r="U125" s="12">
        <f ca="1">IF(ValuesEntered3,IF(הפחתה7[[#This Row],[מס'']]&lt;=תקופת_ההלוואה3,IF(ROW()-ROW(הפחתה7[[#Headers],[תאריך]])=1,LoanStart3,IF(AA124&gt;0,EDATE(U124,1),"")),""),"")</f>
        <v>49303</v>
      </c>
      <c r="V125" s="13">
        <f ca="1">IF(ROW()-ROW(הפחתה7[[#Headers],[יתרת פתיחה]])=1,סכום_הלוואה3,IF(הפחתה7[[#This Row],[תאריך]]="",0,INDEX(הפחתה7[], ROW()-4,8)))</f>
        <v>81286.519541385307</v>
      </c>
      <c r="W125" s="13">
        <f ca="1">IF(ValuesEntered3,IF(ROW()-ROW(הפחתה7[[#Headers],[ריבית]])=1,-IPMT(שיעור_ריבית3/12,1,תקופת_ההלוואה3-ROWS($C$4:U125)+1,הפחתה7[[#This Row],[יתרת פתיחה]]),IFERROR(-IPMT(שיעור_ריבית3/12,1,הפחתה7[[#This Row],[תשלומים
שנותרו]],V126),0)),0)</f>
        <v>155.32840235698222</v>
      </c>
      <c r="X125" s="13">
        <f ca="1">IFERROR(IF(AND(ValuesEntered3,הפחתה7[[#This Row],[תאריך]]&lt;&gt;""),-PPMT(שיעור_ריבית3/12,1,תקופת_ההלוואה3-ROWS($C$4:U125)+1,הפחתה7[[#This Row],[יתרת פתיחה]]),""),0)</f>
        <v>381.09149639831963</v>
      </c>
      <c r="Y125" s="13">
        <f ca="1">(הפחתה7[[#This Row],[יתרת פתיחה]])*(מדד3/12)</f>
        <v>135.47753256897553</v>
      </c>
      <c r="Z125" s="13">
        <f ca="1">IF(הפחתה7[[#This Row],[תאריך]]="",0,הפחתה7[[#This Row],[ריבית]]+הפחתה7[[#This Row],[קרן]]+הפחתה7[[#This Row],[מדד]])</f>
        <v>671.89743132427736</v>
      </c>
      <c r="AA125" s="13">
        <f ca="1">IF(הפחתה7[[#This Row],[תאריך]]="",0,הפחתה7[[#This Row],[יתרת פתיחה]]-הפחתה7[[#This Row],[קרן]]+הפחתה7[[#This Row],[מדד]])</f>
        <v>81040.905577555954</v>
      </c>
      <c r="AB125" s="11">
        <f ca="1">IF(הפחתה7[[#This Row],[יתרת
סגירה]]&gt;0,LastRow3-ROW(),0)</f>
        <v>178</v>
      </c>
      <c r="AC125" s="17">
        <f>ROWS($AC$4:AC125)</f>
        <v>122</v>
      </c>
      <c r="AD125" s="18" t="str">
        <f ca="1">IF(ValuesEntered4,IF(הפחתה8[[#This Row],[מס'']]&lt;=תקופת_ההלוואה4,IF(ROW()-ROW(הפחתה8[[#Headers],[תאריך]])=1,LoanStart4,IF(AJ124&gt;0,EDATE(AD124,1),"")),""),"")</f>
        <v/>
      </c>
      <c r="AE125" s="19">
        <f ca="1">IF(ROW()-ROW(הפחתה8[[#Headers],[יתרת פתיחה]])=1,סכום_הלוואה4,IF(הפחתה8[[#This Row],[תאריך]]="",0,INDEX(הפחתה8[], ROW()-4,8)))</f>
        <v>0</v>
      </c>
      <c r="AF125" s="19">
        <f ca="1">IF(ValuesEntered4,IF(ROW()-ROW(הפחתה8[[#Headers],[ריבית]])=1,-IPMT(שיעור_ריבית4/12,1,תקופת_ההלוואה4-ROWS($C$4:AD125)+1,הפחתה8[[#This Row],[יתרת פתיחה]]),IFERROR(-IPMT(שיעור_ריבית4/12,1,הפחתה8[[#This Row],[תשלומים
שנותרו]],AE126),0)),0)</f>
        <v>0</v>
      </c>
      <c r="AG125" s="19" t="str">
        <f ca="1">IFERROR(IF(AND(ValuesEntered4,הפחתה8[[#This Row],[תאריך]]&lt;&gt;""),-PPMT(שיעור_ריבית4/12,1,תקופת_ההלוואה4-ROWS($C$4:AD125)+1,הפחתה8[[#This Row],[יתרת פתיחה]]),""),0)</f>
        <v/>
      </c>
      <c r="AH125" s="19">
        <f ca="1">(הפחתה8[[#This Row],[יתרת פתיחה]])*(מדד4/12)</f>
        <v>0</v>
      </c>
      <c r="AI125" s="19">
        <f ca="1">IF(הפחתה8[[#This Row],[תאריך]]="",0,הפחתה8[[#This Row],[ריבית]]+הפחתה8[[#This Row],[קרן]]+הפחתה8[[#This Row],[מדד]])</f>
        <v>0</v>
      </c>
      <c r="AJ125" s="19">
        <f ca="1">IF(הפחתה8[[#This Row],[תאריך]]="",0,הפחתה8[[#This Row],[יתרת פתיחה]]-הפחתה8[[#This Row],[קרן]])</f>
        <v>0</v>
      </c>
      <c r="AK125" s="20">
        <f ca="1">IF(הפחתה8[[#This Row],[יתרת
סגירה]]&gt;0,LastRow4-ROW(),0)</f>
        <v>0</v>
      </c>
    </row>
    <row r="126" spans="1:37" ht="15" customHeight="1" x14ac:dyDescent="0.25">
      <c r="A126" s="8"/>
      <c r="B126" s="11">
        <f>ROWS($B$4:B126)</f>
        <v>123</v>
      </c>
      <c r="C126" s="12">
        <f>IF(ValuesEntered,IF(הפחתה[[#This Row],[מס'']]&lt;=תקופת_ההלוואה,IF(ROW()-ROW(הפחתה[[#Headers],[תאריך]])=1,LoanStart,IF(I125&gt;0,EDATE(C125,1),"")),""),"")</f>
        <v>49096</v>
      </c>
      <c r="D126" s="13">
        <f>IF(ROW()-ROW(הפחתה[[#Headers],[יתרת פתיחה]])=1,סכום_הלוואה,IF(הפחתה[[#This Row],[תאריך]]="",0,INDEX(הפחתה[], ROW()-4,8)))</f>
        <v>490088.25802478229</v>
      </c>
      <c r="E126" s="13">
        <f>IF(ValuesEntered,IF(ROW()-ROW(הפחתה[[#Headers],[ריבית]])=1,-IPMT(שיעור_ריבית/12,1,תקופת_ההלוואה-ROWS($C$4:C126)+1,הפחתה[[#This Row],[יתרת פתיחה]]),IFERROR(-IPMT(שיעור_ריבית/12,1,הפחתה[[#This Row],[תשלומים
שנותרו]],D127),0)),0)</f>
        <v>2159.4010240764173</v>
      </c>
      <c r="F126" s="13">
        <f>IFERROR(IF(AND(ValuesEntered,הפחתה[[#This Row],[תאריך]]&lt;&gt;""),-PPMT(שיעור_ריבית/12,1,תקופת_ההלוואה-ROWS($C$4:C126)+1,הפחתה[[#This Row],[יתרת פתיחה]]),""),0)</f>
        <v>1167.2714414424306</v>
      </c>
      <c r="G126" s="13">
        <f>(הפחתה[[#This Row],[יתרת פתיחה]])*(מדד/12)</f>
        <v>0</v>
      </c>
      <c r="H126" s="13">
        <f>IF(הפחתה[[#This Row],[תאריך]]="",0,הפחתה[[#This Row],[ריבית]]+הפחתה[[#This Row],[קרן]]+הפחתה[[#This Row],[מדד]])</f>
        <v>3326.6724655188482</v>
      </c>
      <c r="I126" s="13">
        <f>IF(הפחתה[[#This Row],[תאריך]]="",0,הפחתה[[#This Row],[יתרת פתיחה]]-הפחתה[[#This Row],[קרן]]+הפחתה[[#This Row],[מדד]])</f>
        <v>488920.98658333987</v>
      </c>
      <c r="J126" s="11">
        <f>IF(הפחתה[[#This Row],[יתרת
סגירה]]&gt;0,LastRow-ROW(),0)</f>
        <v>237</v>
      </c>
      <c r="K126" s="11">
        <f>ROWS($K$4:K126)</f>
        <v>123</v>
      </c>
      <c r="L126" s="12">
        <f>IF(ValuesEntered2,IF(הפחתה5[[#This Row],[מס'']]&lt;=תקופת_ההלוואה2,IF(ROW()-ROW(הפחתה5[[#Headers],[תאריך]])=1,LoanStart2,IF(R125&gt;0,EDATE(L125,1),"")),""),"")</f>
        <v>49096</v>
      </c>
      <c r="M126" s="13">
        <f>IF(ROW()-ROW(הפחתה5[[#Headers],[יתרת פתיחה]])=1,סכום_הלוואה2,IF(הפחתה5[[#This Row],[תאריך]]="",0,INDEX(הפחתה5[], ROW()-4,8)))</f>
        <v>217819.48238277572</v>
      </c>
      <c r="N126" s="13">
        <f>IF(ValuesEntered2,IF(ROW()-ROW(הפחתה5[[#Headers],[ריבית]])=1,-IPMT(שיעור_ריבית2/12,1,תקופת_ההלוואה2-ROWS($L$4:L126)+1,הפחתה5[[#This Row],[יתרת פתיחה]]),IFERROR(-IPMT(שיעור_ריבית2/12,1,הפחתה5[[#This Row],[תשלומים
שנותרו]],M127),0)),0)</f>
        <v>849.80258540823183</v>
      </c>
      <c r="O126" s="13">
        <f>IFERROR(IF(AND(ValuesEntered2,הפחתה5[[#This Row],[תאריך]]&lt;&gt;""),-PPMT(שיעור_ריבית2/12,1,תקופת_ההלוואה2-ROWS($L$4:L126)+1,הפחתה5[[#This Row],[יתרת פתיחה]]),""),0)</f>
        <v>848.6095125888537</v>
      </c>
      <c r="P126" s="13">
        <f>(הפחתה5[[#This Row],[יתרת פתיחה]])*(מדד2/12)</f>
        <v>0</v>
      </c>
      <c r="Q126" s="13">
        <f>IF(הפחתה5[[#This Row],[תאריך]]="",0,הפחתה5[[#This Row],[ריבית]]+הפחתה5[[#This Row],[קרן]]+הפחתה5[[#This Row],[מדד]])</f>
        <v>1698.4120979970855</v>
      </c>
      <c r="R126" s="13">
        <f>IF(הפחתה5[[#This Row],[תאריך]]="",0,הפחתה5[[#This Row],[יתרת פתיחה]]-הפחתה5[[#This Row],[קרן]]+הפחתה5[[#This Row],[מדד]])</f>
        <v>216970.87287018687</v>
      </c>
      <c r="S126" s="11">
        <f>IF(הפחתה5[[#This Row],[יתרת
סגירה]]&gt;0,LastRow2-ROW(),0)</f>
        <v>177</v>
      </c>
      <c r="T126" s="11">
        <f>ROWS($T$4:T126)</f>
        <v>123</v>
      </c>
      <c r="U126" s="12">
        <f ca="1">IF(ValuesEntered3,IF(הפחתה7[[#This Row],[מס'']]&lt;=תקופת_ההלוואה3,IF(ROW()-ROW(הפחתה7[[#Headers],[תאריך]])=1,LoanStart3,IF(AA125&gt;0,EDATE(U125,1),"")),""),"")</f>
        <v>49334</v>
      </c>
      <c r="V126" s="13">
        <f ca="1">IF(ROW()-ROW(הפחתה7[[#Headers],[יתרת פתיחה]])=1,סכום_הלוואה3,IF(הפחתה7[[#This Row],[תאריך]]="",0,INDEX(הפחתה7[], ROW()-4,8)))</f>
        <v>81040.905577555954</v>
      </c>
      <c r="W126" s="13">
        <f ca="1">IF(ValuesEntered3,IF(ROW()-ROW(הפחתה7[[#Headers],[ריבית]])=1,-IPMT(שיעור_ריבית3/12,1,תקופת_ההלוואה3-ROWS($C$4:U126)+1,הפחתה7[[#This Row],[יתרת פתיחה]]),IFERROR(-IPMT(שיעור_ריבית3/12,1,הפחתה7[[#This Row],[תשלומים
שנותרו]],V127),0)),0)</f>
        <v>154.85423222337315</v>
      </c>
      <c r="X126" s="13">
        <f ca="1">IFERROR(IF(AND(ValuesEntered3,הפחתה7[[#This Row],[תאריך]]&lt;&gt;""),-PPMT(שיעור_ריבית3/12,1,תקופת_ההלוואה3-ROWS($C$4:U126)+1,הפחתה7[[#This Row],[יתרת פתיחה]]),""),0)</f>
        <v>382.46128914993602</v>
      </c>
      <c r="Y126" s="13">
        <f ca="1">(הפחתה7[[#This Row],[יתרת פתיחה]])*(מדד3/12)</f>
        <v>135.06817596259327</v>
      </c>
      <c r="Z126" s="13">
        <f ca="1">IF(הפחתה7[[#This Row],[תאריך]]="",0,הפחתה7[[#This Row],[ריבית]]+הפחתה7[[#This Row],[קרן]]+הפחתה7[[#This Row],[מדד]])</f>
        <v>672.38369733590241</v>
      </c>
      <c r="AA126" s="13">
        <f ca="1">IF(הפחתה7[[#This Row],[תאריך]]="",0,הפחתה7[[#This Row],[יתרת פתיחה]]-הפחתה7[[#This Row],[קרן]]+הפחתה7[[#This Row],[מדד]])</f>
        <v>80793.512464368599</v>
      </c>
      <c r="AB126" s="11">
        <f ca="1">IF(הפחתה7[[#This Row],[יתרת
סגירה]]&gt;0,LastRow3-ROW(),0)</f>
        <v>177</v>
      </c>
      <c r="AC126" s="17">
        <f>ROWS($AC$4:AC126)</f>
        <v>123</v>
      </c>
      <c r="AD126" s="18" t="str">
        <f ca="1">IF(ValuesEntered4,IF(הפחתה8[[#This Row],[מס'']]&lt;=תקופת_ההלוואה4,IF(ROW()-ROW(הפחתה8[[#Headers],[תאריך]])=1,LoanStart4,IF(AJ125&gt;0,EDATE(AD125,1),"")),""),"")</f>
        <v/>
      </c>
      <c r="AE126" s="19">
        <f ca="1">IF(ROW()-ROW(הפחתה8[[#Headers],[יתרת פתיחה]])=1,סכום_הלוואה4,IF(הפחתה8[[#This Row],[תאריך]]="",0,INDEX(הפחתה8[], ROW()-4,8)))</f>
        <v>0</v>
      </c>
      <c r="AF126" s="19">
        <f ca="1">IF(ValuesEntered4,IF(ROW()-ROW(הפחתה8[[#Headers],[ריבית]])=1,-IPMT(שיעור_ריבית4/12,1,תקופת_ההלוואה4-ROWS($C$4:AD126)+1,הפחתה8[[#This Row],[יתרת פתיחה]]),IFERROR(-IPMT(שיעור_ריבית4/12,1,הפחתה8[[#This Row],[תשלומים
שנותרו]],AE127),0)),0)</f>
        <v>0</v>
      </c>
      <c r="AG126" s="19" t="str">
        <f ca="1">IFERROR(IF(AND(ValuesEntered4,הפחתה8[[#This Row],[תאריך]]&lt;&gt;""),-PPMT(שיעור_ריבית4/12,1,תקופת_ההלוואה4-ROWS($C$4:AD126)+1,הפחתה8[[#This Row],[יתרת פתיחה]]),""),0)</f>
        <v/>
      </c>
      <c r="AH126" s="19">
        <f ca="1">(הפחתה8[[#This Row],[יתרת פתיחה]])*(מדד4/12)</f>
        <v>0</v>
      </c>
      <c r="AI126" s="19">
        <f ca="1">IF(הפחתה8[[#This Row],[תאריך]]="",0,הפחתה8[[#This Row],[ריבית]]+הפחתה8[[#This Row],[קרן]]+הפחתה8[[#This Row],[מדד]])</f>
        <v>0</v>
      </c>
      <c r="AJ126" s="19">
        <f ca="1">IF(הפחתה8[[#This Row],[תאריך]]="",0,הפחתה8[[#This Row],[יתרת פתיחה]]-הפחתה8[[#This Row],[קרן]])</f>
        <v>0</v>
      </c>
      <c r="AK126" s="20">
        <f ca="1">IF(הפחתה8[[#This Row],[יתרת
סגירה]]&gt;0,LastRow4-ROW(),0)</f>
        <v>0</v>
      </c>
    </row>
    <row r="127" spans="1:37" ht="15" customHeight="1" x14ac:dyDescent="0.25">
      <c r="A127" s="8"/>
      <c r="B127" s="11">
        <f>ROWS($B$4:B127)</f>
        <v>124</v>
      </c>
      <c r="C127" s="12">
        <f>IF(ValuesEntered,IF(הפחתה[[#This Row],[מס'']]&lt;=תקופת_ההלוואה,IF(ROW()-ROW(הפחתה[[#Headers],[תאריך]])=1,LoanStart,IF(I126&gt;0,EDATE(C126,1),"")),""),"")</f>
        <v>49126</v>
      </c>
      <c r="D127" s="13">
        <f>IF(ROW()-ROW(הפחתה[[#Headers],[יתרת פתיחה]])=1,סכום_הלוואה,IF(הפחתה[[#This Row],[תאריך]]="",0,INDEX(הפחתה[], ROW()-4,8)))</f>
        <v>488920.98658333987</v>
      </c>
      <c r="E127" s="13">
        <f>IF(ValuesEntered,IF(ROW()-ROW(הפחתה[[#Headers],[ריבית]])=1,-IPMT(שיעור_ריבית/12,1,תקופת_ההלוואה-ROWS($C$4:C127)+1,הפחתה[[#This Row],[יתרת פתיחה]]),IFERROR(-IPMT(שיעור_ריבית/12,1,הפחתה[[#This Row],[תשלומים
שנותרו]],D128),0)),0)</f>
        <v>2154.2228053108875</v>
      </c>
      <c r="F127" s="13">
        <f>IFERROR(IF(AND(ValuesEntered,הפחתה[[#This Row],[תאריך]]&lt;&gt;""),-PPMT(שיעור_ריבית/12,1,תקופת_ההלוואה-ROWS($C$4:C127)+1,הפחתה[[#This Row],[יתרת פתיחה]]),""),0)</f>
        <v>1172.4268903088018</v>
      </c>
      <c r="G127" s="13">
        <f>(הפחתה[[#This Row],[יתרת פתיחה]])*(מדד/12)</f>
        <v>0</v>
      </c>
      <c r="H127" s="13">
        <f>IF(הפחתה[[#This Row],[תאריך]]="",0,הפחתה[[#This Row],[ריבית]]+הפחתה[[#This Row],[קרן]]+הפחתה[[#This Row],[מדד]])</f>
        <v>3326.6496956196893</v>
      </c>
      <c r="I127" s="13">
        <f>IF(הפחתה[[#This Row],[תאריך]]="",0,הפחתה[[#This Row],[יתרת פתיחה]]-הפחתה[[#This Row],[קרן]]+הפחתה[[#This Row],[מדד]])</f>
        <v>487748.55969303107</v>
      </c>
      <c r="J127" s="11">
        <f>IF(הפחתה[[#This Row],[יתרת
סגירה]]&gt;0,LastRow-ROW(),0)</f>
        <v>236</v>
      </c>
      <c r="K127" s="11">
        <f>ROWS($K$4:K127)</f>
        <v>124</v>
      </c>
      <c r="L127" s="12">
        <f>IF(ValuesEntered2,IF(הפחתה5[[#This Row],[מס'']]&lt;=תקופת_ההלוואה2,IF(ROW()-ROW(הפחתה5[[#Headers],[תאריך]])=1,LoanStart2,IF(R126&gt;0,EDATE(L126,1),"")),""),"")</f>
        <v>49126</v>
      </c>
      <c r="M127" s="13">
        <f>IF(ROW()-ROW(הפחתה5[[#Headers],[יתרת פתיחה]])=1,סכום_הלוואה2,IF(הפחתה5[[#This Row],[תאריך]]="",0,INDEX(הפחתה5[], ROW()-4,8)))</f>
        <v>216970.87287018687</v>
      </c>
      <c r="N127" s="13">
        <f>IF(ValuesEntered2,IF(ROW()-ROW(הפחתה5[[#Headers],[ריבית]])=1,-IPMT(שיעור_ריבית2/12,1,תקופת_ההלוואה2-ROWS($L$4:L127)+1,הפחתה5[[#This Row],[יתרת פתיחה]]),IFERROR(-IPMT(שיעור_ריבית2/12,1,הפחתה5[[#This Row],[תשלומים
שנותרו]],M128),0)),0)</f>
        <v>846.46584691161092</v>
      </c>
      <c r="O127" s="13">
        <f>IFERROR(IF(AND(ValuesEntered2,הפחתה5[[#This Row],[תאריך]]&lt;&gt;""),-PPMT(שיעור_ריבית2/12,1,תקופת_ההלוואה2-ROWS($L$4:L127)+1,הפחתה5[[#This Row],[יתרת פתיחה]]),""),0)</f>
        <v>851.93323317982674</v>
      </c>
      <c r="P127" s="13">
        <f>(הפחתה5[[#This Row],[יתרת פתיחה]])*(מדד2/12)</f>
        <v>0</v>
      </c>
      <c r="Q127" s="13">
        <f>IF(הפחתה5[[#This Row],[תאריך]]="",0,הפחתה5[[#This Row],[ריבית]]+הפחתה5[[#This Row],[קרן]]+הפחתה5[[#This Row],[מדד]])</f>
        <v>1698.3990800914376</v>
      </c>
      <c r="R127" s="13">
        <f>IF(הפחתה5[[#This Row],[תאריך]]="",0,הפחתה5[[#This Row],[יתרת פתיחה]]-הפחתה5[[#This Row],[קרן]]+הפחתה5[[#This Row],[מדד]])</f>
        <v>216118.93963700705</v>
      </c>
      <c r="S127" s="11">
        <f>IF(הפחתה5[[#This Row],[יתרת
סגירה]]&gt;0,LastRow2-ROW(),0)</f>
        <v>176</v>
      </c>
      <c r="T127" s="11">
        <f>ROWS($T$4:T127)</f>
        <v>124</v>
      </c>
      <c r="U127" s="12">
        <f ca="1">IF(ValuesEntered3,IF(הפחתה7[[#This Row],[מס'']]&lt;=תקופת_ההלוואה3,IF(ROW()-ROW(הפחתה7[[#Headers],[תאריך]])=1,LoanStart3,IF(AA126&gt;0,EDATE(U126,1),"")),""),"")</f>
        <v>49365</v>
      </c>
      <c r="V127" s="13">
        <f ca="1">IF(ROW()-ROW(הפחתה7[[#Headers],[יתרת פתיחה]])=1,סכום_הלוואה3,IF(הפחתה7[[#This Row],[תאריך]]="",0,INDEX(הפחתה7[], ROW()-4,8)))</f>
        <v>80793.512464368599</v>
      </c>
      <c r="W127" s="13">
        <f ca="1">IF(ValuesEntered3,IF(ROW()-ROW(הפחתה7[[#Headers],[ריבית]])=1,-IPMT(שיעור_ריבית3/12,1,תקופת_ההלוואה3-ROWS($C$4:U127)+1,הפחתה7[[#This Row],[יתרת פתיחה]]),IFERROR(-IPMT(שיעור_ריבית3/12,1,הפחתה7[[#This Row],[תשלומים
שנותרו]],V128),0)),0)</f>
        <v>154.37663689480664</v>
      </c>
      <c r="X127" s="13">
        <f ca="1">IFERROR(IF(AND(ValuesEntered3,הפחתה7[[#This Row],[תאריך]]&lt;&gt;""),-PPMT(שיעור_ריבית3/12,1,תקופת_ההלוואה3-ROWS($C$4:U127)+1,הפחתה7[[#This Row],[יתרת פתיחה]]),""),0)</f>
        <v>383.83602553329314</v>
      </c>
      <c r="Y127" s="13">
        <f ca="1">(הפחתה7[[#This Row],[יתרת פתיחה]])*(מדד3/12)</f>
        <v>134.65585410728102</v>
      </c>
      <c r="Z127" s="13">
        <f ca="1">IF(הפחתה7[[#This Row],[תאריך]]="",0,הפחתה7[[#This Row],[ריבית]]+הפחתה7[[#This Row],[קרן]]+הפחתה7[[#This Row],[מדד]])</f>
        <v>672.86851653538076</v>
      </c>
      <c r="AA127" s="13">
        <f ca="1">IF(הפחתה7[[#This Row],[תאריך]]="",0,הפחתה7[[#This Row],[יתרת פתיחה]]-הפחתה7[[#This Row],[קרן]]+הפחתה7[[#This Row],[מדד]])</f>
        <v>80544.332292942592</v>
      </c>
      <c r="AB127" s="11">
        <f ca="1">IF(הפחתה7[[#This Row],[יתרת
סגירה]]&gt;0,LastRow3-ROW(),0)</f>
        <v>176</v>
      </c>
      <c r="AC127" s="17">
        <f>ROWS($AC$4:AC127)</f>
        <v>124</v>
      </c>
      <c r="AD127" s="18" t="str">
        <f ca="1">IF(ValuesEntered4,IF(הפחתה8[[#This Row],[מס'']]&lt;=תקופת_ההלוואה4,IF(ROW()-ROW(הפחתה8[[#Headers],[תאריך]])=1,LoanStart4,IF(AJ126&gt;0,EDATE(AD126,1),"")),""),"")</f>
        <v/>
      </c>
      <c r="AE127" s="19">
        <f ca="1">IF(ROW()-ROW(הפחתה8[[#Headers],[יתרת פתיחה]])=1,סכום_הלוואה4,IF(הפחתה8[[#This Row],[תאריך]]="",0,INDEX(הפחתה8[], ROW()-4,8)))</f>
        <v>0</v>
      </c>
      <c r="AF127" s="19">
        <f ca="1">IF(ValuesEntered4,IF(ROW()-ROW(הפחתה8[[#Headers],[ריבית]])=1,-IPMT(שיעור_ריבית4/12,1,תקופת_ההלוואה4-ROWS($C$4:AD127)+1,הפחתה8[[#This Row],[יתרת פתיחה]]),IFERROR(-IPMT(שיעור_ריבית4/12,1,הפחתה8[[#This Row],[תשלומים
שנותרו]],AE128),0)),0)</f>
        <v>0</v>
      </c>
      <c r="AG127" s="19" t="str">
        <f ca="1">IFERROR(IF(AND(ValuesEntered4,הפחתה8[[#This Row],[תאריך]]&lt;&gt;""),-PPMT(שיעור_ריבית4/12,1,תקופת_ההלוואה4-ROWS($C$4:AD127)+1,הפחתה8[[#This Row],[יתרת פתיחה]]),""),0)</f>
        <v/>
      </c>
      <c r="AH127" s="19">
        <f ca="1">(הפחתה8[[#This Row],[יתרת פתיחה]])*(מדד4/12)</f>
        <v>0</v>
      </c>
      <c r="AI127" s="19">
        <f ca="1">IF(הפחתה8[[#This Row],[תאריך]]="",0,הפחתה8[[#This Row],[ריבית]]+הפחתה8[[#This Row],[קרן]]+הפחתה8[[#This Row],[מדד]])</f>
        <v>0</v>
      </c>
      <c r="AJ127" s="19">
        <f ca="1">IF(הפחתה8[[#This Row],[תאריך]]="",0,הפחתה8[[#This Row],[יתרת פתיחה]]-הפחתה8[[#This Row],[קרן]])</f>
        <v>0</v>
      </c>
      <c r="AK127" s="20">
        <f ca="1">IF(הפחתה8[[#This Row],[יתרת
סגירה]]&gt;0,LastRow4-ROW(),0)</f>
        <v>0</v>
      </c>
    </row>
    <row r="128" spans="1:37" ht="15" customHeight="1" x14ac:dyDescent="0.25">
      <c r="A128" s="8"/>
      <c r="B128" s="11">
        <f>ROWS($B$4:B128)</f>
        <v>125</v>
      </c>
      <c r="C128" s="12">
        <f>IF(ValuesEntered,IF(הפחתה[[#This Row],[מס'']]&lt;=תקופת_ההלוואה,IF(ROW()-ROW(הפחתה[[#Headers],[תאריך]])=1,LoanStart,IF(I127&gt;0,EDATE(C127,1),"")),""),"")</f>
        <v>49157</v>
      </c>
      <c r="D128" s="13">
        <f>IF(ROW()-ROW(הפחתה[[#Headers],[יתרת פתיחה]])=1,סכום_הלוואה,IF(הפחתה[[#This Row],[תאריך]]="",0,INDEX(הפחתה[], ROW()-4,8)))</f>
        <v>487748.55969303107</v>
      </c>
      <c r="E128" s="13">
        <f>IF(ValuesEntered,IF(ROW()-ROW(הפחתה[[#Headers],[ריבית]])=1,-IPMT(שיעור_ריבית/12,1,תקופת_ההלוואה-ROWS($C$4:C128)+1,הפחתה[[#This Row],[יתרת פתיחה]]),IFERROR(-IPMT(שיעור_ריבית/12,1,הפחתה[[#This Row],[תשלומים
שנותרו]],D129),0)),0)</f>
        <v>2149.0217160791422</v>
      </c>
      <c r="F128" s="13">
        <f>IFERROR(IF(AND(ValuesEntered,הפחתה[[#This Row],[תאריך]]&lt;&gt;""),-PPMT(שיעור_ריבית/12,1,תקופת_ההלוואה-ROWS($C$4:C128)+1,הפחתה[[#This Row],[יתרת פתיחה]]),""),0)</f>
        <v>1177.6051090743324</v>
      </c>
      <c r="G128" s="13">
        <f>(הפחתה[[#This Row],[יתרת פתיחה]])*(מדד/12)</f>
        <v>0</v>
      </c>
      <c r="H128" s="13">
        <f>IF(הפחתה[[#This Row],[תאריך]]="",0,הפחתה[[#This Row],[ריבית]]+הפחתה[[#This Row],[קרן]]+הפחתה[[#This Row],[מדד]])</f>
        <v>3326.6268251534748</v>
      </c>
      <c r="I128" s="13">
        <f>IF(הפחתה[[#This Row],[תאריך]]="",0,הפחתה[[#This Row],[יתרת פתיחה]]-הפחתה[[#This Row],[קרן]]+הפחתה[[#This Row],[מדד]])</f>
        <v>486570.95458395674</v>
      </c>
      <c r="J128" s="11">
        <f>IF(הפחתה[[#This Row],[יתרת
סגירה]]&gt;0,LastRow-ROW(),0)</f>
        <v>235</v>
      </c>
      <c r="K128" s="11">
        <f>ROWS($K$4:K128)</f>
        <v>125</v>
      </c>
      <c r="L128" s="12">
        <f>IF(ValuesEntered2,IF(הפחתה5[[#This Row],[מס'']]&lt;=תקופת_ההלוואה2,IF(ROW()-ROW(הפחתה5[[#Headers],[תאריך]])=1,LoanStart2,IF(R127&gt;0,EDATE(L127,1),"")),""),"")</f>
        <v>49157</v>
      </c>
      <c r="M128" s="13">
        <f>IF(ROW()-ROW(הפחתה5[[#Headers],[יתרת פתיחה]])=1,סכום_הלוואה2,IF(הפחתה5[[#This Row],[תאריך]]="",0,INDEX(הפחתה5[], ROW()-4,8)))</f>
        <v>216118.93963700705</v>
      </c>
      <c r="N128" s="13">
        <f>IF(ValuesEntered2,IF(ROW()-ROW(הפחתה5[[#Headers],[ריבית]])=1,-IPMT(שיעור_ריבית2/12,1,תקופת_ההלוואה2-ROWS($L$4:L128)+1,הפחתה5[[#This Row],[יתרת פתיחה]]),IFERROR(-IPMT(שיעור_ריבית2/12,1,הפחתה5[[#This Row],[תשלומים
שנותרו]],M129),0)),0)</f>
        <v>843.11603952254472</v>
      </c>
      <c r="O128" s="13">
        <f>IFERROR(IF(AND(ValuesEntered2,הפחתה5[[#This Row],[תאריך]]&lt;&gt;""),-PPMT(שיעור_ריבית2/12,1,תקופת_ההלוואה2-ROWS($L$4:L128)+1,הפחתה5[[#This Row],[יתרת פתיחה]]),""),0)</f>
        <v>855.26997167644777</v>
      </c>
      <c r="P128" s="13">
        <f>(הפחתה5[[#This Row],[יתרת פתיחה]])*(מדד2/12)</f>
        <v>0</v>
      </c>
      <c r="Q128" s="13">
        <f>IF(הפחתה5[[#This Row],[תאריך]]="",0,הפחתה5[[#This Row],[ריבית]]+הפחתה5[[#This Row],[קרן]]+הפחתה5[[#This Row],[מדד]])</f>
        <v>1698.3860111989925</v>
      </c>
      <c r="R128" s="13">
        <f>IF(הפחתה5[[#This Row],[תאריך]]="",0,הפחתה5[[#This Row],[יתרת פתיחה]]-הפחתה5[[#This Row],[קרן]]+הפחתה5[[#This Row],[מדד]])</f>
        <v>215263.66966533058</v>
      </c>
      <c r="S128" s="11">
        <f>IF(הפחתה5[[#This Row],[יתרת
סגירה]]&gt;0,LastRow2-ROW(),0)</f>
        <v>175</v>
      </c>
      <c r="T128" s="11">
        <f>ROWS($T$4:T128)</f>
        <v>125</v>
      </c>
      <c r="U128" s="12">
        <f ca="1">IF(ValuesEntered3,IF(הפחתה7[[#This Row],[מס'']]&lt;=תקופת_ההלוואה3,IF(ROW()-ROW(הפחתה7[[#Headers],[תאריך]])=1,LoanStart3,IF(AA127&gt;0,EDATE(U127,1),"")),""),"")</f>
        <v>49393</v>
      </c>
      <c r="V128" s="13">
        <f ca="1">IF(ROW()-ROW(הפחתה7[[#Headers],[יתרת פתיחה]])=1,סכום_הלוואה3,IF(הפחתה7[[#This Row],[תאריך]]="",0,INDEX(הפחתה7[], ROW()-4,8)))</f>
        <v>80544.332292942592</v>
      </c>
      <c r="W128" s="13">
        <f ca="1">IF(ValuesEntered3,IF(ROW()-ROW(הפחתה7[[#Headers],[ריבית]])=1,-IPMT(שיעור_ריבית3/12,1,תקופת_ההלוואה3-ROWS($C$4:U128)+1,הפחתה7[[#This Row],[יתרת פתיחה]]),IFERROR(-IPMT(שיעור_ריבית3/12,1,הפחתה7[[#This Row],[תשלומים
שנותרו]],V129),0)),0)</f>
        <v>153.89560115255327</v>
      </c>
      <c r="X128" s="13">
        <f ca="1">IFERROR(IF(AND(ValuesEntered3,הפחתה7[[#This Row],[תאריך]]&lt;&gt;""),-PPMT(שיעור_ריבית3/12,1,תקופת_ההלוואה3-ROWS($C$4:U128)+1,הפחתה7[[#This Row],[יתרת פתיחה]]),""),0)</f>
        <v>385.21572369288731</v>
      </c>
      <c r="Y128" s="13">
        <f ca="1">(הפחתה7[[#This Row],[יתרת פתיחה]])*(מדד3/12)</f>
        <v>134.24055382157098</v>
      </c>
      <c r="Z128" s="13">
        <f ca="1">IF(הפחתה7[[#This Row],[תאריך]]="",0,הפחתה7[[#This Row],[ריבית]]+הפחתה7[[#This Row],[קרן]]+הפחתה7[[#This Row],[מדד]])</f>
        <v>673.35187866701153</v>
      </c>
      <c r="AA128" s="13">
        <f ca="1">IF(הפחתה7[[#This Row],[תאריך]]="",0,הפחתה7[[#This Row],[יתרת פתיחה]]-הפחתה7[[#This Row],[קרן]]+הפחתה7[[#This Row],[מדד]])</f>
        <v>80293.35712307127</v>
      </c>
      <c r="AB128" s="11">
        <f ca="1">IF(הפחתה7[[#This Row],[יתרת
סגירה]]&gt;0,LastRow3-ROW(),0)</f>
        <v>175</v>
      </c>
      <c r="AC128" s="17">
        <f>ROWS($AC$4:AC128)</f>
        <v>125</v>
      </c>
      <c r="AD128" s="18" t="str">
        <f ca="1">IF(ValuesEntered4,IF(הפחתה8[[#This Row],[מס'']]&lt;=תקופת_ההלוואה4,IF(ROW()-ROW(הפחתה8[[#Headers],[תאריך]])=1,LoanStart4,IF(AJ127&gt;0,EDATE(AD127,1),"")),""),"")</f>
        <v/>
      </c>
      <c r="AE128" s="19">
        <f ca="1">IF(ROW()-ROW(הפחתה8[[#Headers],[יתרת פתיחה]])=1,סכום_הלוואה4,IF(הפחתה8[[#This Row],[תאריך]]="",0,INDEX(הפחתה8[], ROW()-4,8)))</f>
        <v>0</v>
      </c>
      <c r="AF128" s="19">
        <f ca="1">IF(ValuesEntered4,IF(ROW()-ROW(הפחתה8[[#Headers],[ריבית]])=1,-IPMT(שיעור_ריבית4/12,1,תקופת_ההלוואה4-ROWS($C$4:AD128)+1,הפחתה8[[#This Row],[יתרת פתיחה]]),IFERROR(-IPMT(שיעור_ריבית4/12,1,הפחתה8[[#This Row],[תשלומים
שנותרו]],AE129),0)),0)</f>
        <v>0</v>
      </c>
      <c r="AG128" s="19" t="str">
        <f ca="1">IFERROR(IF(AND(ValuesEntered4,הפחתה8[[#This Row],[תאריך]]&lt;&gt;""),-PPMT(שיעור_ריבית4/12,1,תקופת_ההלוואה4-ROWS($C$4:AD128)+1,הפחתה8[[#This Row],[יתרת פתיחה]]),""),0)</f>
        <v/>
      </c>
      <c r="AH128" s="19">
        <f ca="1">(הפחתה8[[#This Row],[יתרת פתיחה]])*(מדד4/12)</f>
        <v>0</v>
      </c>
      <c r="AI128" s="19">
        <f ca="1">IF(הפחתה8[[#This Row],[תאריך]]="",0,הפחתה8[[#This Row],[ריבית]]+הפחתה8[[#This Row],[קרן]]+הפחתה8[[#This Row],[מדד]])</f>
        <v>0</v>
      </c>
      <c r="AJ128" s="19">
        <f ca="1">IF(הפחתה8[[#This Row],[תאריך]]="",0,הפחתה8[[#This Row],[יתרת פתיחה]]-הפחתה8[[#This Row],[קרן]])</f>
        <v>0</v>
      </c>
      <c r="AK128" s="20">
        <f ca="1">IF(הפחתה8[[#This Row],[יתרת
סגירה]]&gt;0,LastRow4-ROW(),0)</f>
        <v>0</v>
      </c>
    </row>
    <row r="129" spans="1:37" ht="15" customHeight="1" x14ac:dyDescent="0.25">
      <c r="A129" s="8"/>
      <c r="B129" s="11">
        <f>ROWS($B$4:B129)</f>
        <v>126</v>
      </c>
      <c r="C129" s="12">
        <f>IF(ValuesEntered,IF(הפחתה[[#This Row],[מס'']]&lt;=תקופת_ההלוואה,IF(ROW()-ROW(הפחתה[[#Headers],[תאריך]])=1,LoanStart,IF(I128&gt;0,EDATE(C128,1),"")),""),"")</f>
        <v>49188</v>
      </c>
      <c r="D129" s="13">
        <f>IF(ROW()-ROW(הפחתה[[#Headers],[יתרת פתיחה]])=1,סכום_הלוואה,IF(הפחתה[[#This Row],[תאריך]]="",0,INDEX(הפחתה[], ROW()-4,8)))</f>
        <v>486570.95458395674</v>
      </c>
      <c r="E129" s="13">
        <f>IF(ValuesEntered,IF(ROW()-ROW(הפחתה[[#Headers],[ריבית]])=1,-IPMT(שיעור_ריבית/12,1,תקופת_ההלוואה-ROWS($C$4:C129)+1,הפחתה[[#This Row],[יתרת פתיחה]]),IFERROR(-IPMT(שיעור_ריבית/12,1,הפחתה[[#This Row],[תשלומים
שנותרו]],D130),0)),0)</f>
        <v>2143.7976553699573</v>
      </c>
      <c r="F129" s="13">
        <f>IFERROR(IF(AND(ValuesEntered,הפחתה[[#This Row],[תאריך]]&lt;&gt;""),-PPMT(שיעור_ריבית/12,1,תקופת_ההלוואה-ROWS($C$4:C129)+1,הפחתה[[#This Row],[יתרת פתיחה]]),""),0)</f>
        <v>1182.8061983060772</v>
      </c>
      <c r="G129" s="13">
        <f>(הפחתה[[#This Row],[יתרת פתיחה]])*(מדד/12)</f>
        <v>0</v>
      </c>
      <c r="H129" s="13">
        <f>IF(הפחתה[[#This Row],[תאריך]]="",0,הפחתה[[#This Row],[ריבית]]+הפחתה[[#This Row],[קרן]]+הפחתה[[#This Row],[מדד]])</f>
        <v>3326.6038536760343</v>
      </c>
      <c r="I129" s="13">
        <f>IF(הפחתה[[#This Row],[תאריך]]="",0,הפחתה[[#This Row],[יתרת פתיחה]]-הפחתה[[#This Row],[קרן]]+הפחתה[[#This Row],[מדד]])</f>
        <v>485388.14838565065</v>
      </c>
      <c r="J129" s="11">
        <f>IF(הפחתה[[#This Row],[יתרת
סגירה]]&gt;0,LastRow-ROW(),0)</f>
        <v>234</v>
      </c>
      <c r="K129" s="11">
        <f>ROWS($K$4:K129)</f>
        <v>126</v>
      </c>
      <c r="L129" s="12">
        <f>IF(ValuesEntered2,IF(הפחתה5[[#This Row],[מס'']]&lt;=תקופת_ההלוואה2,IF(ROW()-ROW(הפחתה5[[#Headers],[תאריך]])=1,LoanStart2,IF(R128&gt;0,EDATE(L128,1),"")),""),"")</f>
        <v>49188</v>
      </c>
      <c r="M129" s="13">
        <f>IF(ROW()-ROW(הפחתה5[[#Headers],[יתרת פתיחה]])=1,סכום_הלוואה2,IF(הפחתה5[[#This Row],[תאריך]]="",0,INDEX(הפחתה5[], ROW()-4,8)))</f>
        <v>215263.66966533058</v>
      </c>
      <c r="N129" s="13">
        <f>IF(ValuesEntered2,IF(ROW()-ROW(הפחתה5[[#Headers],[ריבית]])=1,-IPMT(שיעור_ריבית2/12,1,תקופת_ההלוואה2-ROWS($L$4:L129)+1,הפחתה5[[#This Row],[יתרת פתיחה]]),IFERROR(-IPMT(שיעור_ריבית2/12,1,הפחתה5[[#This Row],[תשלומים
שנותרו]],M130),0)),0)</f>
        <v>839.75311205453818</v>
      </c>
      <c r="O129" s="13">
        <f>IFERROR(IF(AND(ValuesEntered2,הפחתה5[[#This Row],[תאריך]]&lt;&gt;""),-PPMT(שיעור_ריבית2/12,1,תקופת_ההלוואה2-ROWS($L$4:L129)+1,הפחתה5[[#This Row],[יתרת פתיחה]]),""),0)</f>
        <v>858.61977906551385</v>
      </c>
      <c r="P129" s="13">
        <f>(הפחתה5[[#This Row],[יתרת פתיחה]])*(מדד2/12)</f>
        <v>0</v>
      </c>
      <c r="Q129" s="13">
        <f>IF(הפחתה5[[#This Row],[תאריך]]="",0,הפחתה5[[#This Row],[ריבית]]+הפחתה5[[#This Row],[קרן]]+הפחתה5[[#This Row],[מדד]])</f>
        <v>1698.3728911200519</v>
      </c>
      <c r="R129" s="13">
        <f>IF(הפחתה5[[#This Row],[תאריך]]="",0,הפחתה5[[#This Row],[יתרת פתיחה]]-הפחתה5[[#This Row],[קרן]]+הפחתה5[[#This Row],[מדד]])</f>
        <v>214405.04988626507</v>
      </c>
      <c r="S129" s="11">
        <f>IF(הפחתה5[[#This Row],[יתרת
סגירה]]&gt;0,LastRow2-ROW(),0)</f>
        <v>174</v>
      </c>
      <c r="T129" s="11">
        <f>ROWS($T$4:T129)</f>
        <v>126</v>
      </c>
      <c r="U129" s="12">
        <f ca="1">IF(ValuesEntered3,IF(הפחתה7[[#This Row],[מס'']]&lt;=תקופת_ההלוואה3,IF(ROW()-ROW(הפחתה7[[#Headers],[תאריך]])=1,LoanStart3,IF(AA128&gt;0,EDATE(U128,1),"")),""),"")</f>
        <v>49424</v>
      </c>
      <c r="V129" s="13">
        <f ca="1">IF(ROW()-ROW(הפחתה7[[#Headers],[יתרת פתיחה]])=1,סכום_הלוואה3,IF(הפחתה7[[#This Row],[תאריך]]="",0,INDEX(הפחתה7[], ROW()-4,8)))</f>
        <v>80293.35712307127</v>
      </c>
      <c r="W129" s="13">
        <f ca="1">IF(ValuesEntered3,IF(ROW()-ROW(הפחתה7[[#Headers],[ריבית]])=1,-IPMT(שיעור_ריבית3/12,1,תקופת_ההלוואה3-ROWS($C$4:U129)+1,הפחתה7[[#This Row],[יתרת פתיחה]]),IFERROR(-IPMT(שיעור_ריבית3/12,1,הפחתה7[[#This Row],[תשלומים
שנותרו]],V130),0)),0)</f>
        <v>153.41110971760327</v>
      </c>
      <c r="X129" s="13">
        <f ca="1">IFERROR(IF(AND(ValuesEntered3,הפחתה7[[#This Row],[תאריך]]&lt;&gt;""),-PPMT(שיעור_ריבית3/12,1,תקופת_ההלוואה3-ROWS($C$4:U129)+1,הפחתה7[[#This Row],[יתרת פתיחה]]),""),0)</f>
        <v>386.60040184567799</v>
      </c>
      <c r="Y129" s="13">
        <f ca="1">(הפחתה7[[#This Row],[יתרת פתיחה]])*(מדד3/12)</f>
        <v>133.82226187178546</v>
      </c>
      <c r="Z129" s="13">
        <f ca="1">IF(הפחתה7[[#This Row],[תאריך]]="",0,הפחתה7[[#This Row],[ריבית]]+הפחתה7[[#This Row],[קרן]]+הפחתה7[[#This Row],[מדד]])</f>
        <v>673.83377343506675</v>
      </c>
      <c r="AA129" s="13">
        <f ca="1">IF(הפחתה7[[#This Row],[תאריך]]="",0,הפחתה7[[#This Row],[יתרת פתיחה]]-הפחתה7[[#This Row],[קרן]]+הפחתה7[[#This Row],[מדד]])</f>
        <v>80040.578983097381</v>
      </c>
      <c r="AB129" s="11">
        <f ca="1">IF(הפחתה7[[#This Row],[יתרת
סגירה]]&gt;0,LastRow3-ROW(),0)</f>
        <v>174</v>
      </c>
      <c r="AC129" s="17">
        <f>ROWS($AC$4:AC129)</f>
        <v>126</v>
      </c>
      <c r="AD129" s="18" t="str">
        <f ca="1">IF(ValuesEntered4,IF(הפחתה8[[#This Row],[מס'']]&lt;=תקופת_ההלוואה4,IF(ROW()-ROW(הפחתה8[[#Headers],[תאריך]])=1,LoanStart4,IF(AJ128&gt;0,EDATE(AD128,1),"")),""),"")</f>
        <v/>
      </c>
      <c r="AE129" s="19">
        <f ca="1">IF(ROW()-ROW(הפחתה8[[#Headers],[יתרת פתיחה]])=1,סכום_הלוואה4,IF(הפחתה8[[#This Row],[תאריך]]="",0,INDEX(הפחתה8[], ROW()-4,8)))</f>
        <v>0</v>
      </c>
      <c r="AF129" s="19">
        <f ca="1">IF(ValuesEntered4,IF(ROW()-ROW(הפחתה8[[#Headers],[ריבית]])=1,-IPMT(שיעור_ריבית4/12,1,תקופת_ההלוואה4-ROWS($C$4:AD129)+1,הפחתה8[[#This Row],[יתרת פתיחה]]),IFERROR(-IPMT(שיעור_ריבית4/12,1,הפחתה8[[#This Row],[תשלומים
שנותרו]],AE130),0)),0)</f>
        <v>0</v>
      </c>
      <c r="AG129" s="19" t="str">
        <f ca="1">IFERROR(IF(AND(ValuesEntered4,הפחתה8[[#This Row],[תאריך]]&lt;&gt;""),-PPMT(שיעור_ריבית4/12,1,תקופת_ההלוואה4-ROWS($C$4:AD129)+1,הפחתה8[[#This Row],[יתרת פתיחה]]),""),0)</f>
        <v/>
      </c>
      <c r="AH129" s="19">
        <f ca="1">(הפחתה8[[#This Row],[יתרת פתיחה]])*(מדד4/12)</f>
        <v>0</v>
      </c>
      <c r="AI129" s="19">
        <f ca="1">IF(הפחתה8[[#This Row],[תאריך]]="",0,הפחתה8[[#This Row],[ריבית]]+הפחתה8[[#This Row],[קרן]]+הפחתה8[[#This Row],[מדד]])</f>
        <v>0</v>
      </c>
      <c r="AJ129" s="19">
        <f ca="1">IF(הפחתה8[[#This Row],[תאריך]]="",0,הפחתה8[[#This Row],[יתרת פתיחה]]-הפחתה8[[#This Row],[קרן]])</f>
        <v>0</v>
      </c>
      <c r="AK129" s="20">
        <f ca="1">IF(הפחתה8[[#This Row],[יתרת
סגירה]]&gt;0,LastRow4-ROW(),0)</f>
        <v>0</v>
      </c>
    </row>
    <row r="130" spans="1:37" ht="15" customHeight="1" x14ac:dyDescent="0.25">
      <c r="A130" s="8"/>
      <c r="B130" s="11">
        <f>ROWS($B$4:B130)</f>
        <v>127</v>
      </c>
      <c r="C130" s="12">
        <f>IF(ValuesEntered,IF(הפחתה[[#This Row],[מס'']]&lt;=תקופת_ההלוואה,IF(ROW()-ROW(הפחתה[[#Headers],[תאריך]])=1,LoanStart,IF(I129&gt;0,EDATE(C129,1),"")),""),"")</f>
        <v>49218</v>
      </c>
      <c r="D130" s="13">
        <f>IF(ROW()-ROW(הפחתה[[#Headers],[יתרת פתיחה]])=1,סכום_הלוואה,IF(הפחתה[[#This Row],[תאריך]]="",0,INDEX(הפחתה[], ROW()-4,8)))</f>
        <v>485388.14838565065</v>
      </c>
      <c r="E130" s="13">
        <f>IF(ValuesEntered,IF(ROW()-ROW(הפחתה[[#Headers],[ריבית]])=1,-IPMT(שיעור_ריבית/12,1,תקופת_ההלוואה-ROWS($C$4:C130)+1,הפחתה[[#This Row],[יתרת פתיחה]]),IFERROR(-IPMT(שיעור_ריבית/12,1,הפחתה[[#This Row],[תשלומים
שנותרו]],D131),0)),0)</f>
        <v>2138.5505217259729</v>
      </c>
      <c r="F130" s="13">
        <f>IFERROR(IF(AND(ValuesEntered,הפחתה[[#This Row],[תאריך]]&lt;&gt;""),-PPMT(שיעור_ריבית/12,1,תקופת_ההלוואה-ROWS($C$4:C130)+1,הפחתה[[#This Row],[יתרת פתיחה]]),""),0)</f>
        <v>1188.0302590152619</v>
      </c>
      <c r="G130" s="13">
        <f>(הפחתה[[#This Row],[יתרת פתיחה]])*(מדד/12)</f>
        <v>0</v>
      </c>
      <c r="H130" s="13">
        <f>IF(הפחתה[[#This Row],[תאריך]]="",0,הפחתה[[#This Row],[ריבית]]+הפחתה[[#This Row],[קרן]]+הפחתה[[#This Row],[מדד]])</f>
        <v>3326.5807807412348</v>
      </c>
      <c r="I130" s="13">
        <f>IF(הפחתה[[#This Row],[תאריך]]="",0,הפחתה[[#This Row],[יתרת פתיחה]]-הפחתה[[#This Row],[קרן]]+הפחתה[[#This Row],[מדד]])</f>
        <v>484200.11812663538</v>
      </c>
      <c r="J130" s="11">
        <f>IF(הפחתה[[#This Row],[יתרת
סגירה]]&gt;0,LastRow-ROW(),0)</f>
        <v>233</v>
      </c>
      <c r="K130" s="11">
        <f>ROWS($K$4:K130)</f>
        <v>127</v>
      </c>
      <c r="L130" s="12">
        <f>IF(ValuesEntered2,IF(הפחתה5[[#This Row],[מס'']]&lt;=תקופת_ההלוואה2,IF(ROW()-ROW(הפחתה5[[#Headers],[תאריך]])=1,LoanStart2,IF(R129&gt;0,EDATE(L129,1),"")),""),"")</f>
        <v>49218</v>
      </c>
      <c r="M130" s="13">
        <f>IF(ROW()-ROW(הפחתה5[[#Headers],[יתרת פתיחה]])=1,סכום_הלוואה2,IF(הפחתה5[[#This Row],[תאריך]]="",0,INDEX(הפחתה5[], ROW()-4,8)))</f>
        <v>214405.04988626507</v>
      </c>
      <c r="N130" s="13">
        <f>IF(ValuesEntered2,IF(ROW()-ROW(הפחתה5[[#Headers],[ריבית]])=1,-IPMT(שיעור_ריבית2/12,1,תקופת_ההלוואה2-ROWS($L$4:L130)+1,הפחתה5[[#This Row],[יתרת פתיחה]]),IFERROR(-IPMT(שיעור_ריבית2/12,1,הפחתה5[[#This Row],[תשלומים
שנותרו]],M131),0)),0)</f>
        <v>836.37701312061517</v>
      </c>
      <c r="O130" s="13">
        <f>IFERROR(IF(AND(ValuesEntered2,הפחתה5[[#This Row],[תאריך]]&lt;&gt;""),-PPMT(שיעור_ריבית2/12,1,תקופת_ההלוואה2-ROWS($L$4:L130)+1,הפחתה5[[#This Row],[יתרת פתיחה]]),""),0)</f>
        <v>861.98270653352051</v>
      </c>
      <c r="P130" s="13">
        <f>(הפחתה5[[#This Row],[יתרת פתיחה]])*(מדד2/12)</f>
        <v>0</v>
      </c>
      <c r="Q130" s="13">
        <f>IF(הפחתה5[[#This Row],[תאריך]]="",0,הפחתה5[[#This Row],[ריבית]]+הפחתה5[[#This Row],[קרן]]+הפחתה5[[#This Row],[מדד]])</f>
        <v>1698.3597196541357</v>
      </c>
      <c r="R130" s="13">
        <f>IF(הפחתה5[[#This Row],[תאריך]]="",0,הפחתה5[[#This Row],[יתרת פתיחה]]-הפחתה5[[#This Row],[קרן]]+הפחתה5[[#This Row],[מדד]])</f>
        <v>213543.06717973156</v>
      </c>
      <c r="S130" s="11">
        <f>IF(הפחתה5[[#This Row],[יתרת
סגירה]]&gt;0,LastRow2-ROW(),0)</f>
        <v>173</v>
      </c>
      <c r="T130" s="11">
        <f>ROWS($T$4:T130)</f>
        <v>127</v>
      </c>
      <c r="U130" s="12">
        <f ca="1">IF(ValuesEntered3,IF(הפחתה7[[#This Row],[מס'']]&lt;=תקופת_ההלוואה3,IF(ROW()-ROW(הפחתה7[[#Headers],[תאריך]])=1,LoanStart3,IF(AA129&gt;0,EDATE(U129,1),"")),""),"")</f>
        <v>49454</v>
      </c>
      <c r="V130" s="13">
        <f ca="1">IF(ROW()-ROW(הפחתה7[[#Headers],[יתרת פתיחה]])=1,סכום_הלוואה3,IF(הפחתה7[[#This Row],[תאריך]]="",0,INDEX(הפחתה7[], ROW()-4,8)))</f>
        <v>80040.578983097381</v>
      </c>
      <c r="W130" s="13">
        <f ca="1">IF(ValuesEntered3,IF(ROW()-ROW(הפחתה7[[#Headers],[ריבית]])=1,-IPMT(שיעור_ריבית3/12,1,תקופת_ההלוואה3-ROWS($C$4:U130)+1,הפחתה7[[#This Row],[יתרת פתיחה]]),IFERROR(-IPMT(שיעור_ריבית3/12,1,הפחתה7[[#This Row],[תשלומים
שנותרו]],V131),0)),0)</f>
        <v>152.92314725042641</v>
      </c>
      <c r="X130" s="13">
        <f ca="1">IFERROR(IF(AND(ValuesEntered3,הפחתה7[[#This Row],[תאריך]]&lt;&gt;""),-PPMT(שיעור_ריבית3/12,1,תקופת_ההלוואה3-ROWS($C$4:U130)+1,הפחתה7[[#This Row],[יתרת פתיחה]]),""),0)</f>
        <v>387.99007828151872</v>
      </c>
      <c r="Y130" s="13">
        <f ca="1">(הפחתה7[[#This Row],[יתרת פתיחה]])*(מדד3/12)</f>
        <v>133.40096497182898</v>
      </c>
      <c r="Z130" s="13">
        <f ca="1">IF(הפחתה7[[#This Row],[תאריך]]="",0,הפחתה7[[#This Row],[ריבית]]+הפחתה7[[#This Row],[קרן]]+הפחתה7[[#This Row],[מדד]])</f>
        <v>674.31419050377417</v>
      </c>
      <c r="AA130" s="13">
        <f ca="1">IF(הפחתה7[[#This Row],[תאריך]]="",0,הפחתה7[[#This Row],[יתרת פתיחה]]-הפחתה7[[#This Row],[קרן]]+הפחתה7[[#This Row],[מדד]])</f>
        <v>79785.989869787692</v>
      </c>
      <c r="AB130" s="11">
        <f ca="1">IF(הפחתה7[[#This Row],[יתרת
סגירה]]&gt;0,LastRow3-ROW(),0)</f>
        <v>173</v>
      </c>
      <c r="AC130" s="17">
        <f>ROWS($AC$4:AC130)</f>
        <v>127</v>
      </c>
      <c r="AD130" s="18" t="str">
        <f ca="1">IF(ValuesEntered4,IF(הפחתה8[[#This Row],[מס'']]&lt;=תקופת_ההלוואה4,IF(ROW()-ROW(הפחתה8[[#Headers],[תאריך]])=1,LoanStart4,IF(AJ129&gt;0,EDATE(AD129,1),"")),""),"")</f>
        <v/>
      </c>
      <c r="AE130" s="19">
        <f ca="1">IF(ROW()-ROW(הפחתה8[[#Headers],[יתרת פתיחה]])=1,סכום_הלוואה4,IF(הפחתה8[[#This Row],[תאריך]]="",0,INDEX(הפחתה8[], ROW()-4,8)))</f>
        <v>0</v>
      </c>
      <c r="AF130" s="19">
        <f ca="1">IF(ValuesEntered4,IF(ROW()-ROW(הפחתה8[[#Headers],[ריבית]])=1,-IPMT(שיעור_ריבית4/12,1,תקופת_ההלוואה4-ROWS($C$4:AD130)+1,הפחתה8[[#This Row],[יתרת פתיחה]]),IFERROR(-IPMT(שיעור_ריבית4/12,1,הפחתה8[[#This Row],[תשלומים
שנותרו]],AE131),0)),0)</f>
        <v>0</v>
      </c>
      <c r="AG130" s="19" t="str">
        <f ca="1">IFERROR(IF(AND(ValuesEntered4,הפחתה8[[#This Row],[תאריך]]&lt;&gt;""),-PPMT(שיעור_ריבית4/12,1,תקופת_ההלוואה4-ROWS($C$4:AD130)+1,הפחתה8[[#This Row],[יתרת פתיחה]]),""),0)</f>
        <v/>
      </c>
      <c r="AH130" s="19">
        <f ca="1">(הפחתה8[[#This Row],[יתרת פתיחה]])*(מדד4/12)</f>
        <v>0</v>
      </c>
      <c r="AI130" s="19">
        <f ca="1">IF(הפחתה8[[#This Row],[תאריך]]="",0,הפחתה8[[#This Row],[ריבית]]+הפחתה8[[#This Row],[קרן]]+הפחתה8[[#This Row],[מדד]])</f>
        <v>0</v>
      </c>
      <c r="AJ130" s="19">
        <f ca="1">IF(הפחתה8[[#This Row],[תאריך]]="",0,הפחתה8[[#This Row],[יתרת פתיחה]]-הפחתה8[[#This Row],[קרן]])</f>
        <v>0</v>
      </c>
      <c r="AK130" s="20">
        <f ca="1">IF(הפחתה8[[#This Row],[יתרת
סגירה]]&gt;0,LastRow4-ROW(),0)</f>
        <v>0</v>
      </c>
    </row>
    <row r="131" spans="1:37" ht="15" customHeight="1" x14ac:dyDescent="0.25">
      <c r="A131" s="8"/>
      <c r="B131" s="11">
        <f>ROWS($B$4:B131)</f>
        <v>128</v>
      </c>
      <c r="C131" s="12">
        <f>IF(ValuesEntered,IF(הפחתה[[#This Row],[מס'']]&lt;=תקופת_ההלוואה,IF(ROW()-ROW(הפחתה[[#Headers],[תאריך]])=1,LoanStart,IF(I130&gt;0,EDATE(C130,1),"")),""),"")</f>
        <v>49249</v>
      </c>
      <c r="D131" s="13">
        <f>IF(ROW()-ROW(הפחתה[[#Headers],[יתרת פתיחה]])=1,סכום_הלוואה,IF(הפחתה[[#This Row],[תאריך]]="",0,INDEX(הפחתה[], ROW()-4,8)))</f>
        <v>484200.11812663538</v>
      </c>
      <c r="E131" s="13">
        <f>IF(ValuesEntered,IF(ROW()-ROW(הפחתה[[#Headers],[ריבית]])=1,-IPMT(שיעור_ריבית/12,1,תקופת_ההלוואה-ROWS($C$4:C131)+1,הפחתה[[#This Row],[יתרת פתיחה]]),IFERROR(-IPMT(שיעור_ריבית/12,1,הפחתה[[#This Row],[תשלומים
שנותרו]],D132),0)),0)</f>
        <v>2133.2802132417278</v>
      </c>
      <c r="F131" s="13">
        <f>IFERROR(IF(AND(ValuesEntered,הפחתה[[#This Row],[תאריך]]&lt;&gt;""),-PPMT(שיעור_ריבית/12,1,תקופת_ההלוואה-ROWS($C$4:C131)+1,הפחתה[[#This Row],[יתרת פתיחה]]),""),0)</f>
        <v>1193.2773926592458</v>
      </c>
      <c r="G131" s="13">
        <f>(הפחתה[[#This Row],[יתרת פתיחה]])*(מדד/12)</f>
        <v>0</v>
      </c>
      <c r="H131" s="13">
        <f>IF(הפחתה[[#This Row],[תאריך]]="",0,הפחתה[[#This Row],[ריבית]]+הפחתה[[#This Row],[קרן]]+הפחתה[[#This Row],[מדד]])</f>
        <v>3326.5576059009736</v>
      </c>
      <c r="I131" s="13">
        <f>IF(הפחתה[[#This Row],[תאריך]]="",0,הפחתה[[#This Row],[יתרת פתיחה]]-הפחתה[[#This Row],[קרן]]+הפחתה[[#This Row],[מדד]])</f>
        <v>483006.84073397616</v>
      </c>
      <c r="J131" s="11">
        <f>IF(הפחתה[[#This Row],[יתרת
סגירה]]&gt;0,LastRow-ROW(),0)</f>
        <v>232</v>
      </c>
      <c r="K131" s="11">
        <f>ROWS($K$4:K131)</f>
        <v>128</v>
      </c>
      <c r="L131" s="12">
        <f>IF(ValuesEntered2,IF(הפחתה5[[#This Row],[מס'']]&lt;=תקופת_ההלוואה2,IF(ROW()-ROW(הפחתה5[[#Headers],[תאריך]])=1,LoanStart2,IF(R130&gt;0,EDATE(L130,1),"")),""),"")</f>
        <v>49249</v>
      </c>
      <c r="M131" s="13">
        <f>IF(ROW()-ROW(הפחתה5[[#Headers],[יתרת פתיחה]])=1,סכום_הלוואה2,IF(הפחתה5[[#This Row],[תאריך]]="",0,INDEX(הפחתה5[], ROW()-4,8)))</f>
        <v>213543.06717973156</v>
      </c>
      <c r="N131" s="13">
        <f>IF(ValuesEntered2,IF(ROW()-ROW(הפחתה5[[#Headers],[ריבית]])=1,-IPMT(שיעור_ריבית2/12,1,תקופת_ההלוואה2-ROWS($L$4:L131)+1,הפחתה5[[#This Row],[יתרת פתיחה]]),IFERROR(-IPMT(שיעור_ריבית2/12,1,הפחתה5[[#This Row],[תשלומים
שנותרו]],M132),0)),0)</f>
        <v>832.98769113253445</v>
      </c>
      <c r="O131" s="13">
        <f>IFERROR(IF(AND(ValuesEntered2,הפחתה5[[#This Row],[תאריך]]&lt;&gt;""),-PPMT(שיעור_ריבית2/12,1,תקופת_ההלוואה2-ROWS($L$4:L131)+1,הפחתה5[[#This Row],[יתרת פתיחה]]),""),0)</f>
        <v>865.35880546744329</v>
      </c>
      <c r="P131" s="13">
        <f>(הפחתה5[[#This Row],[יתרת פתיחה]])*(מדד2/12)</f>
        <v>0</v>
      </c>
      <c r="Q131" s="13">
        <f>IF(הפחתה5[[#This Row],[תאריך]]="",0,הפחתה5[[#This Row],[ריבית]]+הפחתה5[[#This Row],[קרן]]+הפחתה5[[#This Row],[מדד]])</f>
        <v>1698.3464965999779</v>
      </c>
      <c r="R131" s="13">
        <f>IF(הפחתה5[[#This Row],[תאריך]]="",0,הפחתה5[[#This Row],[יתרת פתיחה]]-הפחתה5[[#This Row],[קרן]]+הפחתה5[[#This Row],[מדד]])</f>
        <v>212677.70837426413</v>
      </c>
      <c r="S131" s="11">
        <f>IF(הפחתה5[[#This Row],[יתרת
סגירה]]&gt;0,LastRow2-ROW(),0)</f>
        <v>172</v>
      </c>
      <c r="T131" s="11">
        <f>ROWS($T$4:T131)</f>
        <v>128</v>
      </c>
      <c r="U131" s="12">
        <f ca="1">IF(ValuesEntered3,IF(הפחתה7[[#This Row],[מס'']]&lt;=תקופת_ההלוואה3,IF(ROW()-ROW(הפחתה7[[#Headers],[תאריך]])=1,LoanStart3,IF(AA130&gt;0,EDATE(U130,1),"")),""),"")</f>
        <v>49485</v>
      </c>
      <c r="V131" s="13">
        <f ca="1">IF(ROW()-ROW(הפחתה7[[#Headers],[יתרת פתיחה]])=1,סכום_הלוואה3,IF(הפחתה7[[#This Row],[תאריך]]="",0,INDEX(הפחתה7[], ROW()-4,8)))</f>
        <v>79785.989869787692</v>
      </c>
      <c r="W131" s="13">
        <f ca="1">IF(ValuesEntered3,IF(ROW()-ROW(הפחתה7[[#Headers],[ריבית]])=1,-IPMT(שיעור_ריבית3/12,1,תקופת_ההלוואה3-ROWS($C$4:U131)+1,הפחתה7[[#This Row],[יתרת פתיחה]]),IFERROR(-IPMT(שיעור_ריבית3/12,1,הפחתה7[[#This Row],[תשלומים
שנותרו]],V132),0)),0)</f>
        <v>152.43169835073024</v>
      </c>
      <c r="X131" s="13">
        <f ca="1">IFERROR(IF(AND(ValuesEntered3,הפחתה7[[#This Row],[תאריך]]&lt;&gt;""),-PPMT(שיעור_ריבית3/12,1,תקופת_ההלוואה3-ROWS($C$4:U131)+1,הפחתה7[[#This Row],[יתרת פתיחה]]),""),0)</f>
        <v>389.38477136359495</v>
      </c>
      <c r="Y131" s="13">
        <f ca="1">(הפחתה7[[#This Row],[יתרת פתיחה]])*(מדד3/12)</f>
        <v>132.97664978297951</v>
      </c>
      <c r="Z131" s="13">
        <f ca="1">IF(הפחתה7[[#This Row],[תאריך]]="",0,הפחתה7[[#This Row],[ריבית]]+הפחתה7[[#This Row],[קרן]]+הפחתה7[[#This Row],[מדד]])</f>
        <v>674.7931194973047</v>
      </c>
      <c r="AA131" s="13">
        <f ca="1">IF(הפחתה7[[#This Row],[תאריך]]="",0,הפחתה7[[#This Row],[יתרת פתיחה]]-הפחתה7[[#This Row],[קרן]]+הפחתה7[[#This Row],[מדד]])</f>
        <v>79529.581748207085</v>
      </c>
      <c r="AB131" s="11">
        <f ca="1">IF(הפחתה7[[#This Row],[יתרת
סגירה]]&gt;0,LastRow3-ROW(),0)</f>
        <v>172</v>
      </c>
      <c r="AC131" s="17">
        <f>ROWS($AC$4:AC131)</f>
        <v>128</v>
      </c>
      <c r="AD131" s="18" t="str">
        <f ca="1">IF(ValuesEntered4,IF(הפחתה8[[#This Row],[מס'']]&lt;=תקופת_ההלוואה4,IF(ROW()-ROW(הפחתה8[[#Headers],[תאריך]])=1,LoanStart4,IF(AJ130&gt;0,EDATE(AD130,1),"")),""),"")</f>
        <v/>
      </c>
      <c r="AE131" s="19">
        <f ca="1">IF(ROW()-ROW(הפחתה8[[#Headers],[יתרת פתיחה]])=1,סכום_הלוואה4,IF(הפחתה8[[#This Row],[תאריך]]="",0,INDEX(הפחתה8[], ROW()-4,8)))</f>
        <v>0</v>
      </c>
      <c r="AF131" s="19">
        <f ca="1">IF(ValuesEntered4,IF(ROW()-ROW(הפחתה8[[#Headers],[ריבית]])=1,-IPMT(שיעור_ריבית4/12,1,תקופת_ההלוואה4-ROWS($C$4:AD131)+1,הפחתה8[[#This Row],[יתרת פתיחה]]),IFERROR(-IPMT(שיעור_ריבית4/12,1,הפחתה8[[#This Row],[תשלומים
שנותרו]],AE132),0)),0)</f>
        <v>0</v>
      </c>
      <c r="AG131" s="19" t="str">
        <f ca="1">IFERROR(IF(AND(ValuesEntered4,הפחתה8[[#This Row],[תאריך]]&lt;&gt;""),-PPMT(שיעור_ריבית4/12,1,תקופת_ההלוואה4-ROWS($C$4:AD131)+1,הפחתה8[[#This Row],[יתרת פתיחה]]),""),0)</f>
        <v/>
      </c>
      <c r="AH131" s="19">
        <f ca="1">(הפחתה8[[#This Row],[יתרת פתיחה]])*(מדד4/12)</f>
        <v>0</v>
      </c>
      <c r="AI131" s="19">
        <f ca="1">IF(הפחתה8[[#This Row],[תאריך]]="",0,הפחתה8[[#This Row],[ריבית]]+הפחתה8[[#This Row],[קרן]]+הפחתה8[[#This Row],[מדד]])</f>
        <v>0</v>
      </c>
      <c r="AJ131" s="19">
        <f ca="1">IF(הפחתה8[[#This Row],[תאריך]]="",0,הפחתה8[[#This Row],[יתרת פתיחה]]-הפחתה8[[#This Row],[קרן]])</f>
        <v>0</v>
      </c>
      <c r="AK131" s="20">
        <f ca="1">IF(הפחתה8[[#This Row],[יתרת
סגירה]]&gt;0,LastRow4-ROW(),0)</f>
        <v>0</v>
      </c>
    </row>
    <row r="132" spans="1:37" ht="15" customHeight="1" x14ac:dyDescent="0.25">
      <c r="A132" s="8"/>
      <c r="B132" s="11">
        <f>ROWS($B$4:B132)</f>
        <v>129</v>
      </c>
      <c r="C132" s="12">
        <f>IF(ValuesEntered,IF(הפחתה[[#This Row],[מס'']]&lt;=תקופת_ההלוואה,IF(ROW()-ROW(הפחתה[[#Headers],[תאריך]])=1,LoanStart,IF(I131&gt;0,EDATE(C131,1),"")),""),"")</f>
        <v>49279</v>
      </c>
      <c r="D132" s="13">
        <f>IF(ROW()-ROW(הפחתה[[#Headers],[יתרת פתיחה]])=1,סכום_הלוואה,IF(הפחתה[[#This Row],[תאריך]]="",0,INDEX(הפחתה[], ROW()-4,8)))</f>
        <v>483006.84073397616</v>
      </c>
      <c r="E132" s="13">
        <f>IF(ValuesEntered,IF(ROW()-ROW(הפחתה[[#Headers],[ריבית]])=1,-IPMT(שיעור_ריבית/12,1,תקופת_ההלוואה-ROWS($C$4:C132)+1,הפחתה[[#This Row],[יתרת פתיחה]]),IFERROR(-IPMT(שיעור_ריבית/12,1,הפחתה[[#This Row],[תשלומים
שנותרו]],D133),0)),0)</f>
        <v>2127.9866275616778</v>
      </c>
      <c r="F132" s="13">
        <f>IFERROR(IF(AND(ValuesEntered,הפחתה[[#This Row],[תאריך]]&lt;&gt;""),-PPMT(שיעור_ריבית/12,1,תקופת_ההלוואה-ROWS($C$4:C132)+1,הפחתה[[#This Row],[יתרת פתיחה]]),""),0)</f>
        <v>1198.5477011434909</v>
      </c>
      <c r="G132" s="13">
        <f>(הפחתה[[#This Row],[יתרת פתיחה]])*(מדד/12)</f>
        <v>0</v>
      </c>
      <c r="H132" s="13">
        <f>IF(הפחתה[[#This Row],[תאריך]]="",0,הפחתה[[#This Row],[ריבית]]+הפחתה[[#This Row],[קרן]]+הפחתה[[#This Row],[מדד]])</f>
        <v>3326.5343287051687</v>
      </c>
      <c r="I132" s="13">
        <f>IF(הפחתה[[#This Row],[תאריך]]="",0,הפחתה[[#This Row],[יתרת פתיחה]]-הפחתה[[#This Row],[קרן]]+הפחתה[[#This Row],[מדד]])</f>
        <v>481808.29303283268</v>
      </c>
      <c r="J132" s="11">
        <f>IF(הפחתה[[#This Row],[יתרת
סגירה]]&gt;0,LastRow-ROW(),0)</f>
        <v>231</v>
      </c>
      <c r="K132" s="11">
        <f>ROWS($K$4:K132)</f>
        <v>129</v>
      </c>
      <c r="L132" s="12">
        <f>IF(ValuesEntered2,IF(הפחתה5[[#This Row],[מס'']]&lt;=תקופת_ההלוואה2,IF(ROW()-ROW(הפחתה5[[#Headers],[תאריך]])=1,LoanStart2,IF(R131&gt;0,EDATE(L131,1),"")),""),"")</f>
        <v>49279</v>
      </c>
      <c r="M132" s="13">
        <f>IF(ROW()-ROW(הפחתה5[[#Headers],[יתרת פתיחה]])=1,סכום_הלוואה2,IF(הפחתה5[[#This Row],[תאריך]]="",0,INDEX(הפחתה5[], ROW()-4,8)))</f>
        <v>212677.70837426413</v>
      </c>
      <c r="N132" s="13">
        <f>IF(ValuesEntered2,IF(ROW()-ROW(הפחתה5[[#Headers],[ריבית]])=1,-IPMT(שיעור_ריבית2/12,1,תקופת_ההלוואה2-ROWS($L$4:L132)+1,הפחתה5[[#This Row],[יתרת פתיחה]]),IFERROR(-IPMT(שיעור_ריבית2/12,1,הפחתה5[[#This Row],[תשלומים
שנותרו]],M133),0)),0)</f>
        <v>829.58509430000026</v>
      </c>
      <c r="O132" s="13">
        <f>IFERROR(IF(AND(ValuesEntered2,הפחתה5[[#This Row],[תאריך]]&lt;&gt;""),-PPMT(שיעור_ריבית2/12,1,תקופת_ההלוואה2-ROWS($L$4:L132)+1,הפחתה5[[#This Row],[יתרת פתיחה]]),""),0)</f>
        <v>868.74812745552424</v>
      </c>
      <c r="P132" s="13">
        <f>(הפחתה5[[#This Row],[יתרת פתיחה]])*(מדד2/12)</f>
        <v>0</v>
      </c>
      <c r="Q132" s="13">
        <f>IF(הפחתה5[[#This Row],[תאריך]]="",0,הפחתה5[[#This Row],[ריבית]]+הפחתה5[[#This Row],[קרן]]+הפחתה5[[#This Row],[מדד]])</f>
        <v>1698.3332217555244</v>
      </c>
      <c r="R132" s="13">
        <f>IF(הפחתה5[[#This Row],[תאריך]]="",0,הפחתה5[[#This Row],[יתרת פתיחה]]-הפחתה5[[#This Row],[קרן]]+הפחתה5[[#This Row],[מדד]])</f>
        <v>211808.96024680859</v>
      </c>
      <c r="S132" s="11">
        <f>IF(הפחתה5[[#This Row],[יתרת
סגירה]]&gt;0,LastRow2-ROW(),0)</f>
        <v>171</v>
      </c>
      <c r="T132" s="11">
        <f>ROWS($T$4:T132)</f>
        <v>129</v>
      </c>
      <c r="U132" s="12">
        <f ca="1">IF(ValuesEntered3,IF(הפחתה7[[#This Row],[מס'']]&lt;=תקופת_ההלוואה3,IF(ROW()-ROW(הפחתה7[[#Headers],[תאריך]])=1,LoanStart3,IF(AA131&gt;0,EDATE(U131,1),"")),""),"")</f>
        <v>49515</v>
      </c>
      <c r="V132" s="13">
        <f ca="1">IF(ROW()-ROW(הפחתה7[[#Headers],[יתרת פתיחה]])=1,סכום_הלוואה3,IF(הפחתה7[[#This Row],[תאריך]]="",0,INDEX(הפחתה7[], ROW()-4,8)))</f>
        <v>79529.581748207085</v>
      </c>
      <c r="W132" s="13">
        <f ca="1">IF(ValuesEntered3,IF(ROW()-ROW(הפחתה7[[#Headers],[ריבית]])=1,-IPMT(שיעור_ריבית3/12,1,תקופת_ההלוואה3-ROWS($C$4:U132)+1,הפחתה7[[#This Row],[יתרת פתיחה]]),IFERROR(-IPMT(שיעור_ריבית3/12,1,הפחתה7[[#This Row],[תשלומים
שנותרו]],V133),0)),0)</f>
        <v>151.93674755721781</v>
      </c>
      <c r="X132" s="13">
        <f ca="1">IFERROR(IF(AND(ValuesEntered3,הפחתה7[[#This Row],[תאריך]]&lt;&gt;""),-PPMT(שיעור_ריבית3/12,1,תקופת_ההלוואה3-ROWS($C$4:U132)+1,הפחתה7[[#This Row],[יתרת פתיחה]]),""),0)</f>
        <v>390.7844995288678</v>
      </c>
      <c r="Y132" s="13">
        <f ca="1">(הפחתה7[[#This Row],[יתרת פתיחה]])*(מדד3/12)</f>
        <v>132.54930291367847</v>
      </c>
      <c r="Z132" s="13">
        <f ca="1">IF(הפחתה7[[#This Row],[תאריך]]="",0,הפחתה7[[#This Row],[ריבית]]+הפחתה7[[#This Row],[קרן]]+הפחתה7[[#This Row],[מדד]])</f>
        <v>675.27054999976417</v>
      </c>
      <c r="AA132" s="13">
        <f ca="1">IF(הפחתה7[[#This Row],[תאריך]]="",0,הפחתה7[[#This Row],[יתרת פתיחה]]-הפחתה7[[#This Row],[קרן]]+הפחתה7[[#This Row],[מדד]])</f>
        <v>79271.346551591909</v>
      </c>
      <c r="AB132" s="11">
        <f ca="1">IF(הפחתה7[[#This Row],[יתרת
סגירה]]&gt;0,LastRow3-ROW(),0)</f>
        <v>171</v>
      </c>
      <c r="AC132" s="17">
        <f>ROWS($AC$4:AC132)</f>
        <v>129</v>
      </c>
      <c r="AD132" s="18" t="str">
        <f ca="1">IF(ValuesEntered4,IF(הפחתה8[[#This Row],[מס'']]&lt;=תקופת_ההלוואה4,IF(ROW()-ROW(הפחתה8[[#Headers],[תאריך]])=1,LoanStart4,IF(AJ131&gt;0,EDATE(AD131,1),"")),""),"")</f>
        <v/>
      </c>
      <c r="AE132" s="19">
        <f ca="1">IF(ROW()-ROW(הפחתה8[[#Headers],[יתרת פתיחה]])=1,סכום_הלוואה4,IF(הפחתה8[[#This Row],[תאריך]]="",0,INDEX(הפחתה8[], ROW()-4,8)))</f>
        <v>0</v>
      </c>
      <c r="AF132" s="19">
        <f ca="1">IF(ValuesEntered4,IF(ROW()-ROW(הפחתה8[[#Headers],[ריבית]])=1,-IPMT(שיעור_ריבית4/12,1,תקופת_ההלוואה4-ROWS($C$4:AD132)+1,הפחתה8[[#This Row],[יתרת פתיחה]]),IFERROR(-IPMT(שיעור_ריבית4/12,1,הפחתה8[[#This Row],[תשלומים
שנותרו]],AE133),0)),0)</f>
        <v>0</v>
      </c>
      <c r="AG132" s="19" t="str">
        <f ca="1">IFERROR(IF(AND(ValuesEntered4,הפחתה8[[#This Row],[תאריך]]&lt;&gt;""),-PPMT(שיעור_ריבית4/12,1,תקופת_ההלוואה4-ROWS($C$4:AD132)+1,הפחתה8[[#This Row],[יתרת פתיחה]]),""),0)</f>
        <v/>
      </c>
      <c r="AH132" s="19">
        <f ca="1">(הפחתה8[[#This Row],[יתרת פתיחה]])*(מדד4/12)</f>
        <v>0</v>
      </c>
      <c r="AI132" s="19">
        <f ca="1">IF(הפחתה8[[#This Row],[תאריך]]="",0,הפחתה8[[#This Row],[ריבית]]+הפחתה8[[#This Row],[קרן]]+הפחתה8[[#This Row],[מדד]])</f>
        <v>0</v>
      </c>
      <c r="AJ132" s="19">
        <f ca="1">IF(הפחתה8[[#This Row],[תאריך]]="",0,הפחתה8[[#This Row],[יתרת פתיחה]]-הפחתה8[[#This Row],[קרן]])</f>
        <v>0</v>
      </c>
      <c r="AK132" s="20">
        <f ca="1">IF(הפחתה8[[#This Row],[יתרת
סגירה]]&gt;0,LastRow4-ROW(),0)</f>
        <v>0</v>
      </c>
    </row>
    <row r="133" spans="1:37" ht="15" customHeight="1" x14ac:dyDescent="0.25">
      <c r="A133" s="8"/>
      <c r="B133" s="11">
        <f>ROWS($B$4:B133)</f>
        <v>130</v>
      </c>
      <c r="C133" s="12">
        <f>IF(ValuesEntered,IF(הפחתה[[#This Row],[מס'']]&lt;=תקופת_ההלוואה,IF(ROW()-ROW(הפחתה[[#Headers],[תאריך]])=1,LoanStart,IF(I132&gt;0,EDATE(C132,1),"")),""),"")</f>
        <v>49310</v>
      </c>
      <c r="D133" s="13">
        <f>IF(ROW()-ROW(הפחתה[[#Headers],[יתרת פתיחה]])=1,סכום_הלוואה,IF(הפחתה[[#This Row],[תאריך]]="",0,INDEX(הפחתה[], ROW()-4,8)))</f>
        <v>481808.29303283268</v>
      </c>
      <c r="E133" s="13">
        <f>IF(ValuesEntered,IF(ROW()-ROW(הפחתה[[#Headers],[ריבית]])=1,-IPMT(שיעור_ריבית/12,1,תקופת_ההלוואה-ROWS($C$4:C133)+1,הפחתה[[#This Row],[יתרת פתיחה]]),IFERROR(-IPMT(שיעור_ריבית/12,1,הפחתה[[#This Row],[תשלומים
שנותרו]],D134),0)),0)</f>
        <v>2122.6696618782071</v>
      </c>
      <c r="F133" s="13">
        <f>IFERROR(IF(AND(ValuesEntered,הפחתה[[#This Row],[תאריך]]&lt;&gt;""),-PPMT(שיעור_ריבית/12,1,תקופת_ההלוואה-ROWS($C$4:C133)+1,הפחתה[[#This Row],[יתרת פתיחה]]),""),0)</f>
        <v>1203.8412868235419</v>
      </c>
      <c r="G133" s="13">
        <f>(הפחתה[[#This Row],[יתרת פתיחה]])*(מדד/12)</f>
        <v>0</v>
      </c>
      <c r="H133" s="13">
        <f>IF(הפחתה[[#This Row],[תאריך]]="",0,הפחתה[[#This Row],[ריבית]]+הפחתה[[#This Row],[קרן]]+הפחתה[[#This Row],[מדד]])</f>
        <v>3326.5109487017489</v>
      </c>
      <c r="I133" s="13">
        <f>IF(הפחתה[[#This Row],[תאריך]]="",0,הפחתה[[#This Row],[יתרת פתיחה]]-הפחתה[[#This Row],[קרן]]+הפחתה[[#This Row],[מדד]])</f>
        <v>480604.45174600912</v>
      </c>
      <c r="J133" s="11">
        <f>IF(הפחתה[[#This Row],[יתרת
סגירה]]&gt;0,LastRow-ROW(),0)</f>
        <v>230</v>
      </c>
      <c r="K133" s="11">
        <f>ROWS($K$4:K133)</f>
        <v>130</v>
      </c>
      <c r="L133" s="12">
        <f>IF(ValuesEntered2,IF(הפחתה5[[#This Row],[מס'']]&lt;=תקופת_ההלוואה2,IF(ROW()-ROW(הפחתה5[[#Headers],[תאריך]])=1,LoanStart2,IF(R132&gt;0,EDATE(L132,1),"")),""),"")</f>
        <v>49310</v>
      </c>
      <c r="M133" s="13">
        <f>IF(ROW()-ROW(הפחתה5[[#Headers],[יתרת פתיחה]])=1,סכום_הלוואה2,IF(הפחתה5[[#This Row],[תאריך]]="",0,INDEX(הפחתה5[], ROW()-4,8)))</f>
        <v>211808.96024680859</v>
      </c>
      <c r="N133" s="13">
        <f>IF(ValuesEntered2,IF(ROW()-ROW(הפחתה5[[#Headers],[ריבית]])=1,-IPMT(שיעור_ריבית2/12,1,תקופת_ההלוואה2-ROWS($L$4:L133)+1,הפחתה5[[#This Row],[יתרת פתיחה]]),IFERROR(-IPMT(שיעור_ריבית2/12,1,הפחתה5[[#This Row],[תשלומים
שנותרו]],M134),0)),0)</f>
        <v>826.16917062987204</v>
      </c>
      <c r="O133" s="13">
        <f>IFERROR(IF(AND(ValuesEntered2,הפחתה5[[#This Row],[תאריך]]&lt;&gt;""),-PPMT(שיעור_ריבית2/12,1,תקופת_ההלוואה2-ROWS($L$4:L133)+1,הפחתה5[[#This Row],[יתרת פתיחה]]),""),0)</f>
        <v>872.15072428805831</v>
      </c>
      <c r="P133" s="13">
        <f>(הפחתה5[[#This Row],[יתרת פתיחה]])*(מדד2/12)</f>
        <v>0</v>
      </c>
      <c r="Q133" s="13">
        <f>IF(הפחתה5[[#This Row],[תאריך]]="",0,הפחתה5[[#This Row],[ריבית]]+הפחתה5[[#This Row],[קרן]]+הפחתה5[[#This Row],[מדד]])</f>
        <v>1698.3198949179305</v>
      </c>
      <c r="R133" s="13">
        <f>IF(הפחתה5[[#This Row],[תאריך]]="",0,הפחתה5[[#This Row],[יתרת פתיחה]]-הפחתה5[[#This Row],[קרן]]+הפחתה5[[#This Row],[מדד]])</f>
        <v>210936.80952252055</v>
      </c>
      <c r="S133" s="11">
        <f>IF(הפחתה5[[#This Row],[יתרת
סגירה]]&gt;0,LastRow2-ROW(),0)</f>
        <v>170</v>
      </c>
      <c r="T133" s="11">
        <f>ROWS($T$4:T133)</f>
        <v>130</v>
      </c>
      <c r="U133" s="12">
        <f ca="1">IF(ValuesEntered3,IF(הפחתה7[[#This Row],[מס'']]&lt;=תקופת_ההלוואה3,IF(ROW()-ROW(הפחתה7[[#Headers],[תאריך]])=1,LoanStart3,IF(AA132&gt;0,EDATE(U132,1),"")),""),"")</f>
        <v>49546</v>
      </c>
      <c r="V133" s="13">
        <f ca="1">IF(ROW()-ROW(הפחתה7[[#Headers],[יתרת פתיחה]])=1,סכום_הלוואה3,IF(הפחתה7[[#This Row],[תאריך]]="",0,INDEX(הפחתה7[], ROW()-4,8)))</f>
        <v>79271.346551591909</v>
      </c>
      <c r="W133" s="13">
        <f ca="1">IF(ValuesEntered3,IF(ROW()-ROW(הפחתה7[[#Headers],[ריבית]])=1,-IPMT(שיעור_ריבית3/12,1,תקופת_ההלוואה3-ROWS($C$4:U133)+1,הפחתה7[[#This Row],[יתרת פתיחה]]),IFERROR(-IPMT(שיעור_ריבית3/12,1,הפחתה7[[#This Row],[תשלומים
שנותרו]],V134),0)),0)</f>
        <v>151.43827934734352</v>
      </c>
      <c r="X133" s="13">
        <f ca="1">IFERROR(IF(AND(ValuesEntered3,הפחתה7[[#This Row],[תאריך]]&lt;&gt;""),-PPMT(שיעור_ריבית3/12,1,תקופת_ההלוואה3-ROWS($C$4:U133)+1,הפחתה7[[#This Row],[יתרת פתיחה]]),""),0)</f>
        <v>392.18928128852582</v>
      </c>
      <c r="Y133" s="13">
        <f ca="1">(הפחתה7[[#This Row],[יתרת פתיחה]])*(מדד3/12)</f>
        <v>132.11891091931986</v>
      </c>
      <c r="Z133" s="13">
        <f ca="1">IF(הפחתה7[[#This Row],[תאריך]]="",0,הפחתה7[[#This Row],[ריבית]]+הפחתה7[[#This Row],[קרן]]+הפחתה7[[#This Row],[מדד]])</f>
        <v>675.74647155518926</v>
      </c>
      <c r="AA133" s="13">
        <f ca="1">IF(הפחתה7[[#This Row],[תאריך]]="",0,הפחתה7[[#This Row],[יתרת פתיחה]]-הפחתה7[[#This Row],[קרן]]+הפחתה7[[#This Row],[מדד]])</f>
        <v>79011.276181222711</v>
      </c>
      <c r="AB133" s="11">
        <f ca="1">IF(הפחתה7[[#This Row],[יתרת
סגירה]]&gt;0,LastRow3-ROW(),0)</f>
        <v>170</v>
      </c>
      <c r="AC133" s="17">
        <f>ROWS($AC$4:AC133)</f>
        <v>130</v>
      </c>
      <c r="AD133" s="18" t="str">
        <f ca="1">IF(ValuesEntered4,IF(הפחתה8[[#This Row],[מס'']]&lt;=תקופת_ההלוואה4,IF(ROW()-ROW(הפחתה8[[#Headers],[תאריך]])=1,LoanStart4,IF(AJ132&gt;0,EDATE(AD132,1),"")),""),"")</f>
        <v/>
      </c>
      <c r="AE133" s="19">
        <f ca="1">IF(ROW()-ROW(הפחתה8[[#Headers],[יתרת פתיחה]])=1,סכום_הלוואה4,IF(הפחתה8[[#This Row],[תאריך]]="",0,INDEX(הפחתה8[], ROW()-4,8)))</f>
        <v>0</v>
      </c>
      <c r="AF133" s="19">
        <f ca="1">IF(ValuesEntered4,IF(ROW()-ROW(הפחתה8[[#Headers],[ריבית]])=1,-IPMT(שיעור_ריבית4/12,1,תקופת_ההלוואה4-ROWS($C$4:AD133)+1,הפחתה8[[#This Row],[יתרת פתיחה]]),IFERROR(-IPMT(שיעור_ריבית4/12,1,הפחתה8[[#This Row],[תשלומים
שנותרו]],AE134),0)),0)</f>
        <v>0</v>
      </c>
      <c r="AG133" s="19" t="str">
        <f ca="1">IFERROR(IF(AND(ValuesEntered4,הפחתה8[[#This Row],[תאריך]]&lt;&gt;""),-PPMT(שיעור_ריבית4/12,1,תקופת_ההלוואה4-ROWS($C$4:AD133)+1,הפחתה8[[#This Row],[יתרת פתיחה]]),""),0)</f>
        <v/>
      </c>
      <c r="AH133" s="19">
        <f ca="1">(הפחתה8[[#This Row],[יתרת פתיחה]])*(מדד4/12)</f>
        <v>0</v>
      </c>
      <c r="AI133" s="19">
        <f ca="1">IF(הפחתה8[[#This Row],[תאריך]]="",0,הפחתה8[[#This Row],[ריבית]]+הפחתה8[[#This Row],[קרן]]+הפחתה8[[#This Row],[מדד]])</f>
        <v>0</v>
      </c>
      <c r="AJ133" s="19">
        <f ca="1">IF(הפחתה8[[#This Row],[תאריך]]="",0,הפחתה8[[#This Row],[יתרת פתיחה]]-הפחתה8[[#This Row],[קרן]])</f>
        <v>0</v>
      </c>
      <c r="AK133" s="20">
        <f ca="1">IF(הפחתה8[[#This Row],[יתרת
סגירה]]&gt;0,LastRow4-ROW(),0)</f>
        <v>0</v>
      </c>
    </row>
    <row r="134" spans="1:37" ht="15" customHeight="1" x14ac:dyDescent="0.25">
      <c r="A134" s="8"/>
      <c r="B134" s="11">
        <f>ROWS($B$4:B134)</f>
        <v>131</v>
      </c>
      <c r="C134" s="12">
        <f>IF(ValuesEntered,IF(הפחתה[[#This Row],[מס'']]&lt;=תקופת_ההלוואה,IF(ROW()-ROW(הפחתה[[#Headers],[תאריך]])=1,LoanStart,IF(I133&gt;0,EDATE(C133,1),"")),""),"")</f>
        <v>49341</v>
      </c>
      <c r="D134" s="13">
        <f>IF(ROW()-ROW(הפחתה[[#Headers],[יתרת פתיחה]])=1,סכום_הלוואה,IF(הפחתה[[#This Row],[תאריך]]="",0,INDEX(הפחתה[], ROW()-4,8)))</f>
        <v>480604.45174600912</v>
      </c>
      <c r="E134" s="13">
        <f>IF(ValuesEntered,IF(ROW()-ROW(הפחתה[[#Headers],[ריבית]])=1,-IPMT(שיעור_ריבית/12,1,תקופת_ההלוואה-ROWS($C$4:C134)+1,הפחתה[[#This Row],[יתרת פתיחה]]),IFERROR(-IPMT(שיעור_ריבית/12,1,הפחתה[[#This Row],[תשלומים
שנותרו]],D135),0)),0)</f>
        <v>2117.3292129296342</v>
      </c>
      <c r="F134" s="13">
        <f>IFERROR(IF(AND(ValuesEntered,הפחתה[[#This Row],[תאריך]]&lt;&gt;""),-PPMT(שיעור_ריבית/12,1,תקופת_ההלוואה-ROWS($C$4:C134)+1,הפחתה[[#This Row],[יתרת פתיחה]]),""),0)</f>
        <v>1209.1582525070123</v>
      </c>
      <c r="G134" s="13">
        <f>(הפחתה[[#This Row],[יתרת פתיחה]])*(מדד/12)</f>
        <v>0</v>
      </c>
      <c r="H134" s="13">
        <f>IF(הפחתה[[#This Row],[תאריך]]="",0,הפחתה[[#This Row],[ריבית]]+הפחתה[[#This Row],[קרן]]+הפחתה[[#This Row],[מדד]])</f>
        <v>3326.4874654366467</v>
      </c>
      <c r="I134" s="13">
        <f>IF(הפחתה[[#This Row],[תאריך]]="",0,הפחתה[[#This Row],[יתרת פתיחה]]-הפחתה[[#This Row],[קרן]]+הפחתה[[#This Row],[מדד]])</f>
        <v>479395.29349350207</v>
      </c>
      <c r="J134" s="11">
        <f>IF(הפחתה[[#This Row],[יתרת
סגירה]]&gt;0,LastRow-ROW(),0)</f>
        <v>229</v>
      </c>
      <c r="K134" s="11">
        <f>ROWS($K$4:K134)</f>
        <v>131</v>
      </c>
      <c r="L134" s="12">
        <f>IF(ValuesEntered2,IF(הפחתה5[[#This Row],[מס'']]&lt;=תקופת_ההלוואה2,IF(ROW()-ROW(הפחתה5[[#Headers],[תאריך]])=1,LoanStart2,IF(R133&gt;0,EDATE(L133,1),"")),""),"")</f>
        <v>49341</v>
      </c>
      <c r="M134" s="13">
        <f>IF(ROW()-ROW(הפחתה5[[#Headers],[יתרת פתיחה]])=1,סכום_הלוואה2,IF(הפחתה5[[#This Row],[תאריך]]="",0,INDEX(הפחתה5[], ROW()-4,8)))</f>
        <v>210936.80952252055</v>
      </c>
      <c r="N134" s="13">
        <f>IF(ValuesEntered2,IF(ROW()-ROW(הפחתה5[[#Headers],[ריבית]])=1,-IPMT(שיעור_ריבית2/12,1,תקופת_ההלוואה2-ROWS($L$4:L134)+1,הפחתה5[[#This Row],[יתרת פתיחה]]),IFERROR(-IPMT(שיעור_ריבית2/12,1,הפחתה5[[#This Row],[תשלומים
שנותרו]],M135),0)),0)</f>
        <v>822.73986792536914</v>
      </c>
      <c r="O134" s="13">
        <f>IFERROR(IF(AND(ValuesEntered2,הפחתה5[[#This Row],[תאריך]]&lt;&gt;""),-PPMT(שיעור_ריבית2/12,1,תקופת_ההלוואה2-ROWS($L$4:L134)+1,הפחתה5[[#This Row],[יתרת פתיחה]]),""),0)</f>
        <v>875.56664795818676</v>
      </c>
      <c r="P134" s="13">
        <f>(הפחתה5[[#This Row],[יתרת פתיחה]])*(מדד2/12)</f>
        <v>0</v>
      </c>
      <c r="Q134" s="13">
        <f>IF(הפחתה5[[#This Row],[תאריך]]="",0,הפחתה5[[#This Row],[ריבית]]+הפחתה5[[#This Row],[קרן]]+הפחתה5[[#This Row],[מדד]])</f>
        <v>1698.3065158835559</v>
      </c>
      <c r="R134" s="13">
        <f>IF(הפחתה5[[#This Row],[תאריך]]="",0,הפחתה5[[#This Row],[יתרת פתיחה]]-הפחתה5[[#This Row],[קרן]]+הפחתה5[[#This Row],[מדד]])</f>
        <v>210061.24287456236</v>
      </c>
      <c r="S134" s="11">
        <f>IF(הפחתה5[[#This Row],[יתרת
סגירה]]&gt;0,LastRow2-ROW(),0)</f>
        <v>169</v>
      </c>
      <c r="T134" s="11">
        <f>ROWS($T$4:T134)</f>
        <v>131</v>
      </c>
      <c r="U134" s="12">
        <f ca="1">IF(ValuesEntered3,IF(הפחתה7[[#This Row],[מס'']]&lt;=תקופת_ההלוואה3,IF(ROW()-ROW(הפחתה7[[#Headers],[תאריך]])=1,LoanStart3,IF(AA133&gt;0,EDATE(U133,1),"")),""),"")</f>
        <v>49577</v>
      </c>
      <c r="V134" s="13">
        <f ca="1">IF(ROW()-ROW(הפחתה7[[#Headers],[יתרת פתיחה]])=1,סכום_הלוואה3,IF(הפחתה7[[#This Row],[תאריך]]="",0,INDEX(הפחתה7[], ROW()-4,8)))</f>
        <v>79011.276181222711</v>
      </c>
      <c r="W134" s="13">
        <f ca="1">IF(ValuesEntered3,IF(ROW()-ROW(הפחתה7[[#Headers],[ריבית]])=1,-IPMT(שיעור_ריבית3/12,1,תקופת_ההלוואה3-ROWS($C$4:U134)+1,הפחתה7[[#This Row],[יתרת פתיחה]]),IFERROR(-IPMT(שיעור_ריבית3/12,1,הפחתה7[[#This Row],[תשלומים
שנותרו]],V135),0)),0)</f>
        <v>150.93627813706789</v>
      </c>
      <c r="X134" s="13">
        <f ca="1">IFERROR(IF(AND(ValuesEntered3,הפחתה7[[#This Row],[תאריך]]&lt;&gt;""),-PPMT(שיעור_ריבית3/12,1,תקופת_ההלוואה3-ROWS($C$4:U134)+1,הפחתה7[[#This Row],[יתרת פתיחה]]),""),0)</f>
        <v>393.59913522844295</v>
      </c>
      <c r="Y134" s="13">
        <f ca="1">(הפחתה7[[#This Row],[יתרת פתיחה]])*(מדד3/12)</f>
        <v>131.68546030203785</v>
      </c>
      <c r="Z134" s="13">
        <f ca="1">IF(הפחתה7[[#This Row],[תאריך]]="",0,הפחתה7[[#This Row],[ריבית]]+הפחתה7[[#This Row],[קרן]]+הפחתה7[[#This Row],[מדד]])</f>
        <v>676.22087366754874</v>
      </c>
      <c r="AA134" s="13">
        <f ca="1">IF(הפחתה7[[#This Row],[תאריך]]="",0,הפחתה7[[#This Row],[יתרת פתיחה]]-הפחתה7[[#This Row],[קרן]]+הפחתה7[[#This Row],[מדד]])</f>
        <v>78749.362506296296</v>
      </c>
      <c r="AB134" s="11">
        <f ca="1">IF(הפחתה7[[#This Row],[יתרת
סגירה]]&gt;0,LastRow3-ROW(),0)</f>
        <v>169</v>
      </c>
      <c r="AC134" s="17">
        <f>ROWS($AC$4:AC134)</f>
        <v>131</v>
      </c>
      <c r="AD134" s="18" t="str">
        <f ca="1">IF(ValuesEntered4,IF(הפחתה8[[#This Row],[מס'']]&lt;=תקופת_ההלוואה4,IF(ROW()-ROW(הפחתה8[[#Headers],[תאריך]])=1,LoanStart4,IF(AJ133&gt;0,EDATE(AD133,1),"")),""),"")</f>
        <v/>
      </c>
      <c r="AE134" s="19">
        <f ca="1">IF(ROW()-ROW(הפחתה8[[#Headers],[יתרת פתיחה]])=1,סכום_הלוואה4,IF(הפחתה8[[#This Row],[תאריך]]="",0,INDEX(הפחתה8[], ROW()-4,8)))</f>
        <v>0</v>
      </c>
      <c r="AF134" s="19">
        <f ca="1">IF(ValuesEntered4,IF(ROW()-ROW(הפחתה8[[#Headers],[ריבית]])=1,-IPMT(שיעור_ריבית4/12,1,תקופת_ההלוואה4-ROWS($C$4:AD134)+1,הפחתה8[[#This Row],[יתרת פתיחה]]),IFERROR(-IPMT(שיעור_ריבית4/12,1,הפחתה8[[#This Row],[תשלומים
שנותרו]],AE135),0)),0)</f>
        <v>0</v>
      </c>
      <c r="AG134" s="19" t="str">
        <f ca="1">IFERROR(IF(AND(ValuesEntered4,הפחתה8[[#This Row],[תאריך]]&lt;&gt;""),-PPMT(שיעור_ריבית4/12,1,תקופת_ההלוואה4-ROWS($C$4:AD134)+1,הפחתה8[[#This Row],[יתרת פתיחה]]),""),0)</f>
        <v/>
      </c>
      <c r="AH134" s="19">
        <f ca="1">(הפחתה8[[#This Row],[יתרת פתיחה]])*(מדד4/12)</f>
        <v>0</v>
      </c>
      <c r="AI134" s="19">
        <f ca="1">IF(הפחתה8[[#This Row],[תאריך]]="",0,הפחתה8[[#This Row],[ריבית]]+הפחתה8[[#This Row],[קרן]]+הפחתה8[[#This Row],[מדד]])</f>
        <v>0</v>
      </c>
      <c r="AJ134" s="19">
        <f ca="1">IF(הפחתה8[[#This Row],[תאריך]]="",0,הפחתה8[[#This Row],[יתרת פתיחה]]-הפחתה8[[#This Row],[קרן]])</f>
        <v>0</v>
      </c>
      <c r="AK134" s="20">
        <f ca="1">IF(הפחתה8[[#This Row],[יתרת
סגירה]]&gt;0,LastRow4-ROW(),0)</f>
        <v>0</v>
      </c>
    </row>
    <row r="135" spans="1:37" ht="15" customHeight="1" x14ac:dyDescent="0.25">
      <c r="A135" s="8"/>
      <c r="B135" s="11">
        <f>ROWS($B$4:B135)</f>
        <v>132</v>
      </c>
      <c r="C135" s="12">
        <f>IF(ValuesEntered,IF(הפחתה[[#This Row],[מס'']]&lt;=תקופת_ההלוואה,IF(ROW()-ROW(הפחתה[[#Headers],[תאריך]])=1,LoanStart,IF(I134&gt;0,EDATE(C134,1),"")),""),"")</f>
        <v>49369</v>
      </c>
      <c r="D135" s="13">
        <f>IF(ROW()-ROW(הפחתה[[#Headers],[יתרת פתיחה]])=1,סכום_הלוואה,IF(הפחתה[[#This Row],[תאריך]]="",0,INDEX(הפחתה[], ROW()-4,8)))</f>
        <v>479395.29349350207</v>
      </c>
      <c r="E135" s="13">
        <f>IF(ValuesEntered,IF(ROW()-ROW(הפחתה[[#Headers],[ריבית]])=1,-IPMT(שיעור_ריבית/12,1,תקופת_ההלוואה-ROWS($C$4:C135)+1,הפחתה[[#This Row],[יתרת פתיחה]]),IFERROR(-IPMT(שיעור_ריבית/12,1,הפחתה[[#This Row],[תשלומים
שנותרו]],D136),0)),0)</f>
        <v>2111.9651769982052</v>
      </c>
      <c r="F135" s="13">
        <f>IFERROR(IF(AND(ValuesEntered,הפחתה[[#This Row],[תאריך]]&lt;&gt;""),-PPMT(שיעור_ריבית/12,1,תקופת_ההלוואה-ROWS($C$4:C135)+1,הפחתה[[#This Row],[יתרת פתיחה]]),""),0)</f>
        <v>1214.4987014555848</v>
      </c>
      <c r="G135" s="13">
        <f>(הפחתה[[#This Row],[יתרת פתיחה]])*(מדד/12)</f>
        <v>0</v>
      </c>
      <c r="H135" s="13">
        <f>IF(הפחתה[[#This Row],[תאריך]]="",0,הפחתה[[#This Row],[ריבית]]+הפחתה[[#This Row],[קרן]]+הפחתה[[#This Row],[מדד]])</f>
        <v>3326.4638784537901</v>
      </c>
      <c r="I135" s="13">
        <f>IF(הפחתה[[#This Row],[תאריך]]="",0,הפחתה[[#This Row],[יתרת פתיחה]]-הפחתה[[#This Row],[קרן]]+הפחתה[[#This Row],[מדד]])</f>
        <v>478180.79479204648</v>
      </c>
      <c r="J135" s="11">
        <f>IF(הפחתה[[#This Row],[יתרת
סגירה]]&gt;0,LastRow-ROW(),0)</f>
        <v>228</v>
      </c>
      <c r="K135" s="11">
        <f>ROWS($K$4:K135)</f>
        <v>132</v>
      </c>
      <c r="L135" s="12">
        <f>IF(ValuesEntered2,IF(הפחתה5[[#This Row],[מס'']]&lt;=תקופת_ההלוואה2,IF(ROW()-ROW(הפחתה5[[#Headers],[תאריך]])=1,LoanStart2,IF(R134&gt;0,EDATE(L134,1),"")),""),"")</f>
        <v>49369</v>
      </c>
      <c r="M135" s="13">
        <f>IF(ROW()-ROW(הפחתה5[[#Headers],[יתרת פתיחה]])=1,סכום_הלוואה2,IF(הפחתה5[[#This Row],[תאריך]]="",0,INDEX(הפחתה5[], ROW()-4,8)))</f>
        <v>210061.24287456236</v>
      </c>
      <c r="N135" s="13">
        <f>IF(ValuesEntered2,IF(ROW()-ROW(הפחתה5[[#Headers],[ריבית]])=1,-IPMT(שיעור_ריבית2/12,1,תקופת_ההלוואה2-ROWS($L$4:L135)+1,הפחתה5[[#This Row],[יתרת פתיחה]]),IFERROR(-IPMT(שיעור_ריבית2/12,1,הפחתה5[[#This Row],[תשלומים
שנותרו]],M136),0)),0)</f>
        <v>819.29713378527367</v>
      </c>
      <c r="O135" s="13">
        <f>IFERROR(IF(AND(ValuesEntered2,הפחתה5[[#This Row],[תאריך]]&lt;&gt;""),-PPMT(שיעור_ריבית2/12,1,תקופת_ההלוואה2-ROWS($L$4:L135)+1,הפחתה5[[#This Row],[יתרת פתיחה]]),""),0)</f>
        <v>878.99595066268955</v>
      </c>
      <c r="P135" s="13">
        <f>(הפחתה5[[#This Row],[יתרת פתיחה]])*(מדד2/12)</f>
        <v>0</v>
      </c>
      <c r="Q135" s="13">
        <f>IF(הפחתה5[[#This Row],[תאריך]]="",0,הפחתה5[[#This Row],[ריבית]]+הפחתה5[[#This Row],[קרן]]+הפחתה5[[#This Row],[מדד]])</f>
        <v>1698.2930844479633</v>
      </c>
      <c r="R135" s="13">
        <f>IF(הפחתה5[[#This Row],[תאריך]]="",0,הפחתה5[[#This Row],[יתרת פתיחה]]-הפחתה5[[#This Row],[קרן]]+הפחתה5[[#This Row],[מדד]])</f>
        <v>209182.24692389969</v>
      </c>
      <c r="S135" s="11">
        <f>IF(הפחתה5[[#This Row],[יתרת
סגירה]]&gt;0,LastRow2-ROW(),0)</f>
        <v>168</v>
      </c>
      <c r="T135" s="11">
        <f>ROWS($T$4:T135)</f>
        <v>132</v>
      </c>
      <c r="U135" s="12">
        <f ca="1">IF(ValuesEntered3,IF(הפחתה7[[#This Row],[מס'']]&lt;=תקופת_ההלוואה3,IF(ROW()-ROW(הפחתה7[[#Headers],[תאריך]])=1,LoanStart3,IF(AA134&gt;0,EDATE(U134,1),"")),""),"")</f>
        <v>49607</v>
      </c>
      <c r="V135" s="13">
        <f ca="1">IF(ROW()-ROW(הפחתה7[[#Headers],[יתרת פתיחה]])=1,סכום_הלוואה3,IF(הפחתה7[[#This Row],[תאריך]]="",0,INDEX(הפחתה7[], ROW()-4,8)))</f>
        <v>78749.362506296296</v>
      </c>
      <c r="W135" s="13">
        <f ca="1">IF(ValuesEntered3,IF(ROW()-ROW(הפחתה7[[#Headers],[ריבית]])=1,-IPMT(שיעור_ריבית3/12,1,תקופת_ההלוואה3-ROWS($C$4:U135)+1,הפחתה7[[#This Row],[יתרת פתיחה]]),IFERROR(-IPMT(שיעור_ריבית3/12,1,הפחתה7[[#This Row],[תשלומים
שנותרו]],V136),0)),0)</f>
        <v>150.43072828061119</v>
      </c>
      <c r="X135" s="13">
        <f ca="1">IFERROR(IF(AND(ValuesEntered3,הפחתה7[[#This Row],[תאריך]]&lt;&gt;""),-PPMT(שיעור_ריבית3/12,1,תקופת_ההלוואה3-ROWS($C$4:U135)+1,הפחתה7[[#This Row],[יתרת פתיחה]]),""),0)</f>
        <v>395.01408000964403</v>
      </c>
      <c r="Y135" s="13">
        <f ca="1">(הפחתה7[[#This Row],[יתרת פתיחה]])*(מדד3/12)</f>
        <v>131.24893751049385</v>
      </c>
      <c r="Z135" s="13">
        <f ca="1">IF(הפחתה7[[#This Row],[תאריך]]="",0,הפחתה7[[#This Row],[ריבית]]+הפחתה7[[#This Row],[קרן]]+הפחתה7[[#This Row],[מדד]])</f>
        <v>676.69374580074907</v>
      </c>
      <c r="AA135" s="13">
        <f ca="1">IF(הפחתה7[[#This Row],[תאריך]]="",0,הפחתה7[[#This Row],[יתרת פתיחה]]-הפחתה7[[#This Row],[קרן]]+הפחתה7[[#This Row],[מדד]])</f>
        <v>78485.597363797147</v>
      </c>
      <c r="AB135" s="11">
        <f ca="1">IF(הפחתה7[[#This Row],[יתרת
סגירה]]&gt;0,LastRow3-ROW(),0)</f>
        <v>168</v>
      </c>
      <c r="AC135" s="17">
        <f>ROWS($AC$4:AC135)</f>
        <v>132</v>
      </c>
      <c r="AD135" s="18" t="str">
        <f ca="1">IF(ValuesEntered4,IF(הפחתה8[[#This Row],[מס'']]&lt;=תקופת_ההלוואה4,IF(ROW()-ROW(הפחתה8[[#Headers],[תאריך]])=1,LoanStart4,IF(AJ134&gt;0,EDATE(AD134,1),"")),""),"")</f>
        <v/>
      </c>
      <c r="AE135" s="19">
        <f ca="1">IF(ROW()-ROW(הפחתה8[[#Headers],[יתרת פתיחה]])=1,סכום_הלוואה4,IF(הפחתה8[[#This Row],[תאריך]]="",0,INDEX(הפחתה8[], ROW()-4,8)))</f>
        <v>0</v>
      </c>
      <c r="AF135" s="19">
        <f ca="1">IF(ValuesEntered4,IF(ROW()-ROW(הפחתה8[[#Headers],[ריבית]])=1,-IPMT(שיעור_ריבית4/12,1,תקופת_ההלוואה4-ROWS($C$4:AD135)+1,הפחתה8[[#This Row],[יתרת פתיחה]]),IFERROR(-IPMT(שיעור_ריבית4/12,1,הפחתה8[[#This Row],[תשלומים
שנותרו]],AE136),0)),0)</f>
        <v>0</v>
      </c>
      <c r="AG135" s="19" t="str">
        <f ca="1">IFERROR(IF(AND(ValuesEntered4,הפחתה8[[#This Row],[תאריך]]&lt;&gt;""),-PPMT(שיעור_ריבית4/12,1,תקופת_ההלוואה4-ROWS($C$4:AD135)+1,הפחתה8[[#This Row],[יתרת פתיחה]]),""),0)</f>
        <v/>
      </c>
      <c r="AH135" s="19">
        <f ca="1">(הפחתה8[[#This Row],[יתרת פתיחה]])*(מדד4/12)</f>
        <v>0</v>
      </c>
      <c r="AI135" s="19">
        <f ca="1">IF(הפחתה8[[#This Row],[תאריך]]="",0,הפחתה8[[#This Row],[ריבית]]+הפחתה8[[#This Row],[קרן]]+הפחתה8[[#This Row],[מדד]])</f>
        <v>0</v>
      </c>
      <c r="AJ135" s="19">
        <f ca="1">IF(הפחתה8[[#This Row],[תאריך]]="",0,הפחתה8[[#This Row],[יתרת פתיחה]]-הפחתה8[[#This Row],[קרן]])</f>
        <v>0</v>
      </c>
      <c r="AK135" s="20">
        <f ca="1">IF(הפחתה8[[#This Row],[יתרת
סגירה]]&gt;0,LastRow4-ROW(),0)</f>
        <v>0</v>
      </c>
    </row>
    <row r="136" spans="1:37" ht="15" customHeight="1" x14ac:dyDescent="0.25">
      <c r="A136" s="8"/>
      <c r="B136" s="11">
        <f>ROWS($B$4:B136)</f>
        <v>133</v>
      </c>
      <c r="C136" s="12">
        <f>IF(ValuesEntered,IF(הפחתה[[#This Row],[מס'']]&lt;=תקופת_ההלוואה,IF(ROW()-ROW(הפחתה[[#Headers],[תאריך]])=1,LoanStart,IF(I135&gt;0,EDATE(C135,1),"")),""),"")</f>
        <v>49400</v>
      </c>
      <c r="D136" s="13">
        <f>IF(ROW()-ROW(הפחתה[[#Headers],[יתרת פתיחה]])=1,סכום_הלוואה,IF(הפחתה[[#This Row],[תאריך]]="",0,INDEX(הפחתה[], ROW()-4,8)))</f>
        <v>478180.79479204648</v>
      </c>
      <c r="E136" s="13">
        <f>IF(ValuesEntered,IF(ROW()-ROW(הפחתה[[#Headers],[ריבית]])=1,-IPMT(שיעור_ריבית/12,1,תקופת_ההלוואה-ROWS($C$4:C136)+1,הפחתה[[#This Row],[יתרת פתיחה]]),IFERROR(-IPMT(שיעור_ריבית/12,1,הפחתה[[#This Row],[תשלומים
שנותרו]],D137),0)),0)</f>
        <v>2106.5774499080794</v>
      </c>
      <c r="F136" s="13">
        <f>IFERROR(IF(AND(ValuesEntered,הפחתה[[#This Row],[תאריך]]&lt;&gt;""),-PPMT(שיעור_ריבית/12,1,תקופת_ההלוואה-ROWS($C$4:C136)+1,הפחתה[[#This Row],[יתרת פתיחה]]),""),0)</f>
        <v>1219.8627373870133</v>
      </c>
      <c r="G136" s="13">
        <f>(הפחתה[[#This Row],[יתרת פתיחה]])*(מדד/12)</f>
        <v>0</v>
      </c>
      <c r="H136" s="13">
        <f>IF(הפחתה[[#This Row],[תאריך]]="",0,הפחתה[[#This Row],[ריבית]]+הפחתה[[#This Row],[קרן]]+הפחתה[[#This Row],[מדד]])</f>
        <v>3326.440187295093</v>
      </c>
      <c r="I136" s="13">
        <f>IF(הפחתה[[#This Row],[תאריך]]="",0,הפחתה[[#This Row],[יתרת פתיחה]]-הפחתה[[#This Row],[קרן]]+הפחתה[[#This Row],[מדד]])</f>
        <v>476960.93205465947</v>
      </c>
      <c r="J136" s="11">
        <f>IF(הפחתה[[#This Row],[יתרת
סגירה]]&gt;0,LastRow-ROW(),0)</f>
        <v>227</v>
      </c>
      <c r="K136" s="11">
        <f>ROWS($K$4:K136)</f>
        <v>133</v>
      </c>
      <c r="L136" s="12">
        <f>IF(ValuesEntered2,IF(הפחתה5[[#This Row],[מס'']]&lt;=תקופת_ההלוואה2,IF(ROW()-ROW(הפחתה5[[#Headers],[תאריך]])=1,LoanStart2,IF(R135&gt;0,EDATE(L135,1),"")),""),"")</f>
        <v>49400</v>
      </c>
      <c r="M136" s="13">
        <f>IF(ROW()-ROW(הפחתה5[[#Headers],[יתרת פתיחה]])=1,סכום_הלוואה2,IF(הפחתה5[[#This Row],[תאריך]]="",0,INDEX(הפחתה5[], ROW()-4,8)))</f>
        <v>209182.24692389969</v>
      </c>
      <c r="N136" s="13">
        <f>IF(ValuesEntered2,IF(ROW()-ROW(הפחתה5[[#Headers],[ריבית]])=1,-IPMT(שיעור_ריבית2/12,1,תקופת_ההלוואה2-ROWS($L$4:L136)+1,הפחתה5[[#This Row],[יתרת פתיחה]]),IFERROR(-IPMT(שיעור_ריבית2/12,1,הפחתה5[[#This Row],[תשלומים
שנותרו]],M137),0)),0)</f>
        <v>815.84091560312947</v>
      </c>
      <c r="O136" s="13">
        <f>IFERROR(IF(AND(ValuesEntered2,הפחתה5[[#This Row],[תאריך]]&lt;&gt;""),-PPMT(שיעור_ריבית2/12,1,תקופת_ההלוואה2-ROWS($L$4:L136)+1,הפחתה5[[#This Row],[יתרת פתיחה]]),""),0)</f>
        <v>882.43868480278513</v>
      </c>
      <c r="P136" s="13">
        <f>(הפחתה5[[#This Row],[יתרת פתיחה]])*(מדד2/12)</f>
        <v>0</v>
      </c>
      <c r="Q136" s="13">
        <f>IF(הפחתה5[[#This Row],[תאריך]]="",0,הפחתה5[[#This Row],[ריבית]]+הפחתה5[[#This Row],[קרן]]+הפחתה5[[#This Row],[מדד]])</f>
        <v>1698.2796004059146</v>
      </c>
      <c r="R136" s="13">
        <f>IF(הפחתה5[[#This Row],[תאריך]]="",0,הפחתה5[[#This Row],[יתרת פתיחה]]-הפחתה5[[#This Row],[קרן]]+הפחתה5[[#This Row],[מדד]])</f>
        <v>208299.80823909689</v>
      </c>
      <c r="S136" s="11">
        <f>IF(הפחתה5[[#This Row],[יתרת
סגירה]]&gt;0,LastRow2-ROW(),0)</f>
        <v>167</v>
      </c>
      <c r="T136" s="11">
        <f>ROWS($T$4:T136)</f>
        <v>133</v>
      </c>
      <c r="U136" s="12">
        <f ca="1">IF(ValuesEntered3,IF(הפחתה7[[#This Row],[מס'']]&lt;=תקופת_ההלוואה3,IF(ROW()-ROW(הפחתה7[[#Headers],[תאריך]])=1,LoanStart3,IF(AA135&gt;0,EDATE(U135,1),"")),""),"")</f>
        <v>49638</v>
      </c>
      <c r="V136" s="13">
        <f ca="1">IF(ROW()-ROW(הפחתה7[[#Headers],[יתרת פתיחה]])=1,סכום_הלוואה3,IF(הפחתה7[[#This Row],[תאריך]]="",0,INDEX(הפחתה7[], ROW()-4,8)))</f>
        <v>78485.597363797147</v>
      </c>
      <c r="W136" s="13">
        <f ca="1">IF(ValuesEntered3,IF(ROW()-ROW(הפחתה7[[#Headers],[ריבית]])=1,-IPMT(שיעור_ריבית3/12,1,תקופת_ההלוואה3-ROWS($C$4:U136)+1,הפחתה7[[#This Row],[יתרת פתיחה]]),IFERROR(-IPMT(שיעור_ריבית3/12,1,הפחתה7[[#This Row],[תשלומים
שנותרו]],V137),0)),0)</f>
        <v>149.92161407020538</v>
      </c>
      <c r="X136" s="13">
        <f ca="1">IFERROR(IF(AND(ValuesEntered3,הפחתה7[[#This Row],[תאריך]]&lt;&gt;""),-PPMT(שיעור_ריבית3/12,1,תקופת_ההלוואה3-ROWS($C$4:U136)+1,הפחתה7[[#This Row],[יתרת פתיחה]]),""),0)</f>
        <v>396.43413436877853</v>
      </c>
      <c r="Y136" s="13">
        <f ca="1">(הפחתה7[[#This Row],[יתרת פתיחה]])*(מדד3/12)</f>
        <v>130.80932893966192</v>
      </c>
      <c r="Z136" s="13">
        <f ca="1">IF(הפחתה7[[#This Row],[תאריך]]="",0,הפחתה7[[#This Row],[ריבית]]+הפחתה7[[#This Row],[קרן]]+הפחתה7[[#This Row],[מדד]])</f>
        <v>677.16507737864583</v>
      </c>
      <c r="AA136" s="13">
        <f ca="1">IF(הפחתה7[[#This Row],[תאריך]]="",0,הפחתה7[[#This Row],[יתרת פתיחה]]-הפחתה7[[#This Row],[קרן]]+הפחתה7[[#This Row],[מדד]])</f>
        <v>78219.972558368027</v>
      </c>
      <c r="AB136" s="11">
        <f ca="1">IF(הפחתה7[[#This Row],[יתרת
סגירה]]&gt;0,LastRow3-ROW(),0)</f>
        <v>167</v>
      </c>
      <c r="AC136" s="17">
        <f>ROWS($AC$4:AC136)</f>
        <v>133</v>
      </c>
      <c r="AD136" s="18" t="str">
        <f ca="1">IF(ValuesEntered4,IF(הפחתה8[[#This Row],[מס'']]&lt;=תקופת_ההלוואה4,IF(ROW()-ROW(הפחתה8[[#Headers],[תאריך]])=1,LoanStart4,IF(AJ135&gt;0,EDATE(AD135,1),"")),""),"")</f>
        <v/>
      </c>
      <c r="AE136" s="19">
        <f ca="1">IF(ROW()-ROW(הפחתה8[[#Headers],[יתרת פתיחה]])=1,סכום_הלוואה4,IF(הפחתה8[[#This Row],[תאריך]]="",0,INDEX(הפחתה8[], ROW()-4,8)))</f>
        <v>0</v>
      </c>
      <c r="AF136" s="19">
        <f ca="1">IF(ValuesEntered4,IF(ROW()-ROW(הפחתה8[[#Headers],[ריבית]])=1,-IPMT(שיעור_ריבית4/12,1,תקופת_ההלוואה4-ROWS($C$4:AD136)+1,הפחתה8[[#This Row],[יתרת פתיחה]]),IFERROR(-IPMT(שיעור_ריבית4/12,1,הפחתה8[[#This Row],[תשלומים
שנותרו]],AE137),0)),0)</f>
        <v>0</v>
      </c>
      <c r="AG136" s="19" t="str">
        <f ca="1">IFERROR(IF(AND(ValuesEntered4,הפחתה8[[#This Row],[תאריך]]&lt;&gt;""),-PPMT(שיעור_ריבית4/12,1,תקופת_ההלוואה4-ROWS($C$4:AD136)+1,הפחתה8[[#This Row],[יתרת פתיחה]]),""),0)</f>
        <v/>
      </c>
      <c r="AH136" s="19">
        <f ca="1">(הפחתה8[[#This Row],[יתרת פתיחה]])*(מדד4/12)</f>
        <v>0</v>
      </c>
      <c r="AI136" s="19">
        <f ca="1">IF(הפחתה8[[#This Row],[תאריך]]="",0,הפחתה8[[#This Row],[ריבית]]+הפחתה8[[#This Row],[קרן]]+הפחתה8[[#This Row],[מדד]])</f>
        <v>0</v>
      </c>
      <c r="AJ136" s="19">
        <f ca="1">IF(הפחתה8[[#This Row],[תאריך]]="",0,הפחתה8[[#This Row],[יתרת פתיחה]]-הפחתה8[[#This Row],[קרן]])</f>
        <v>0</v>
      </c>
      <c r="AK136" s="20">
        <f ca="1">IF(הפחתה8[[#This Row],[יתרת
סגירה]]&gt;0,LastRow4-ROW(),0)</f>
        <v>0</v>
      </c>
    </row>
    <row r="137" spans="1:37" ht="15" customHeight="1" x14ac:dyDescent="0.25">
      <c r="A137" s="8"/>
      <c r="B137" s="11">
        <f>ROWS($B$4:B137)</f>
        <v>134</v>
      </c>
      <c r="C137" s="12">
        <f>IF(ValuesEntered,IF(הפחתה[[#This Row],[מס'']]&lt;=תקופת_ההלוואה,IF(ROW()-ROW(הפחתה[[#Headers],[תאריך]])=1,LoanStart,IF(I136&gt;0,EDATE(C136,1),"")),""),"")</f>
        <v>49430</v>
      </c>
      <c r="D137" s="13">
        <f>IF(ROW()-ROW(הפחתה[[#Headers],[יתרת פתיחה]])=1,סכום_הלוואה,IF(הפחתה[[#This Row],[תאריך]]="",0,INDEX(הפחתה[], ROW()-4,8)))</f>
        <v>476960.93205465947</v>
      </c>
      <c r="E137" s="13">
        <f>IF(ValuesEntered,IF(ROW()-ROW(הפחתה[[#Headers],[ריבית]])=1,-IPMT(שיעור_ריבית/12,1,תקופת_ההלוואה-ROWS($C$4:C137)+1,הפחתה[[#This Row],[יתרת פתיחה]]),IFERROR(-IPMT(שיעור_ריבית/12,1,הפחתה[[#This Row],[תשלומים
שנותרו]],D138),0)),0)</f>
        <v>2101.1659270233054</v>
      </c>
      <c r="F137" s="13">
        <f>IFERROR(IF(AND(ValuesEntered,הפחתה[[#This Row],[תאריך]]&lt;&gt;""),-PPMT(שיעור_ריבית/12,1,תקופת_ההלוואה-ROWS($C$4:C137)+1,הפחתה[[#This Row],[יתרת פתיחה]]),""),0)</f>
        <v>1225.2504644771395</v>
      </c>
      <c r="G137" s="13">
        <f>(הפחתה[[#This Row],[יתרת פתיחה]])*(מדד/12)</f>
        <v>0</v>
      </c>
      <c r="H137" s="13">
        <f>IF(הפחתה[[#This Row],[תאריך]]="",0,הפחתה[[#This Row],[ריבית]]+הפחתה[[#This Row],[קרן]]+הפחתה[[#This Row],[מדד]])</f>
        <v>3326.4163915004447</v>
      </c>
      <c r="I137" s="13">
        <f>IF(הפחתה[[#This Row],[תאריך]]="",0,הפחתה[[#This Row],[יתרת פתיחה]]-הפחתה[[#This Row],[קרן]]+הפחתה[[#This Row],[מדד]])</f>
        <v>475735.68159018236</v>
      </c>
      <c r="J137" s="11">
        <f>IF(הפחתה[[#This Row],[יתרת
סגירה]]&gt;0,LastRow-ROW(),0)</f>
        <v>226</v>
      </c>
      <c r="K137" s="11">
        <f>ROWS($K$4:K137)</f>
        <v>134</v>
      </c>
      <c r="L137" s="12">
        <f>IF(ValuesEntered2,IF(הפחתה5[[#This Row],[מס'']]&lt;=תקופת_ההלוואה2,IF(ROW()-ROW(הפחתה5[[#Headers],[תאריך]])=1,LoanStart2,IF(R136&gt;0,EDATE(L136,1),"")),""),"")</f>
        <v>49430</v>
      </c>
      <c r="M137" s="13">
        <f>IF(ROW()-ROW(הפחתה5[[#Headers],[יתרת פתיחה]])=1,סכום_הלוואה2,IF(הפחתה5[[#This Row],[תאריך]]="",0,INDEX(הפחתה5[], ROW()-4,8)))</f>
        <v>208299.80823909689</v>
      </c>
      <c r="N137" s="13">
        <f>IF(ValuesEntered2,IF(ROW()-ROW(הפחתה5[[#Headers],[ריבית]])=1,-IPMT(שיעור_ריבית2/12,1,תקופת_ההלוואה2-ROWS($L$4:L137)+1,הפחתה5[[#This Row],[יתרת פתיחה]]),IFERROR(-IPMT(שיעור_ריבית2/12,1,הפחתה5[[#This Row],[תשלומים
שנותרו]],M138),0)),0)</f>
        <v>812.37116056643845</v>
      </c>
      <c r="O137" s="13">
        <f>IFERROR(IF(AND(ValuesEntered2,הפחתה5[[#This Row],[תאריך]]&lt;&gt;""),-PPMT(שיעור_ריבית2/12,1,תקופת_ההלוואה2-ROWS($L$4:L137)+1,הפחתה5[[#This Row],[יתרת פתיחה]]),""),0)</f>
        <v>885.89490298492933</v>
      </c>
      <c r="P137" s="13">
        <f>(הפחתה5[[#This Row],[יתרת פתיחה]])*(מדד2/12)</f>
        <v>0</v>
      </c>
      <c r="Q137" s="13">
        <f>IF(הפחתה5[[#This Row],[תאריך]]="",0,הפחתה5[[#This Row],[ריבית]]+הפחתה5[[#This Row],[קרן]]+הפחתה5[[#This Row],[מדד]])</f>
        <v>1698.2660635513678</v>
      </c>
      <c r="R137" s="13">
        <f>IF(הפחתה5[[#This Row],[תאריך]]="",0,הפחתה5[[#This Row],[יתרת פתיחה]]-הפחתה5[[#This Row],[קרן]]+הפחתה5[[#This Row],[מדד]])</f>
        <v>207413.91333611196</v>
      </c>
      <c r="S137" s="11">
        <f>IF(הפחתה5[[#This Row],[יתרת
סגירה]]&gt;0,LastRow2-ROW(),0)</f>
        <v>166</v>
      </c>
      <c r="T137" s="11">
        <f>ROWS($T$4:T137)</f>
        <v>134</v>
      </c>
      <c r="U137" s="12">
        <f ca="1">IF(ValuesEntered3,IF(הפחתה7[[#This Row],[מס'']]&lt;=תקופת_ההלוואה3,IF(ROW()-ROW(הפחתה7[[#Headers],[תאריך]])=1,LoanStart3,IF(AA136&gt;0,EDATE(U136,1),"")),""),"")</f>
        <v>49668</v>
      </c>
      <c r="V137" s="13">
        <f ca="1">IF(ROW()-ROW(הפחתה7[[#Headers],[יתרת פתיחה]])=1,סכום_הלוואה3,IF(הפחתה7[[#This Row],[תאריך]]="",0,INDEX(הפחתה7[], ROW()-4,8)))</f>
        <v>78219.972558368027</v>
      </c>
      <c r="W137" s="13">
        <f ca="1">IF(ValuesEntered3,IF(ROW()-ROW(הפחתה7[[#Headers],[ריבית]])=1,-IPMT(שיעור_ריבית3/12,1,תקופת_ההלוואה3-ROWS($C$4:U137)+1,הפחתה7[[#This Row],[יתרת פתיחה]]),IFERROR(-IPMT(שיעור_ריבית3/12,1,הפחתה7[[#This Row],[תשלומים
שנותרו]],V138),0)),0)</f>
        <v>149.40891973584505</v>
      </c>
      <c r="X137" s="13">
        <f ca="1">IFERROR(IF(AND(ValuesEntered3,הפחתה7[[#This Row],[תאריך]]&lt;&gt;""),-PPMT(שיעור_ריבית3/12,1,תקופת_ההלוואה3-ROWS($C$4:U137)+1,הפחתה7[[#This Row],[יתרת פתיחה]]),""),0)</f>
        <v>397.8593171186011</v>
      </c>
      <c r="Y137" s="13">
        <f ca="1">(הפחתה7[[#This Row],[יתרת פתיחה]])*(מדד3/12)</f>
        <v>130.36662093061338</v>
      </c>
      <c r="Z137" s="13">
        <f ca="1">IF(הפחתה7[[#This Row],[תאריך]]="",0,הפחתה7[[#This Row],[ריבית]]+הפחתה7[[#This Row],[קרן]]+הפחתה7[[#This Row],[מדד]])</f>
        <v>677.63485778505958</v>
      </c>
      <c r="AA137" s="13">
        <f ca="1">IF(הפחתה7[[#This Row],[תאריך]]="",0,הפחתה7[[#This Row],[יתרת פתיחה]]-הפחתה7[[#This Row],[קרן]]+הפחתה7[[#This Row],[מדד]])</f>
        <v>77952.479862180029</v>
      </c>
      <c r="AB137" s="11">
        <f ca="1">IF(הפחתה7[[#This Row],[יתרת
סגירה]]&gt;0,LastRow3-ROW(),0)</f>
        <v>166</v>
      </c>
      <c r="AC137" s="17">
        <f>ROWS($AC$4:AC137)</f>
        <v>134</v>
      </c>
      <c r="AD137" s="18" t="str">
        <f ca="1">IF(ValuesEntered4,IF(הפחתה8[[#This Row],[מס'']]&lt;=תקופת_ההלוואה4,IF(ROW()-ROW(הפחתה8[[#Headers],[תאריך]])=1,LoanStart4,IF(AJ136&gt;0,EDATE(AD136,1),"")),""),"")</f>
        <v/>
      </c>
      <c r="AE137" s="19">
        <f ca="1">IF(ROW()-ROW(הפחתה8[[#Headers],[יתרת פתיחה]])=1,סכום_הלוואה4,IF(הפחתה8[[#This Row],[תאריך]]="",0,INDEX(הפחתה8[], ROW()-4,8)))</f>
        <v>0</v>
      </c>
      <c r="AF137" s="19">
        <f ca="1">IF(ValuesEntered4,IF(ROW()-ROW(הפחתה8[[#Headers],[ריבית]])=1,-IPMT(שיעור_ריבית4/12,1,תקופת_ההלוואה4-ROWS($C$4:AD137)+1,הפחתה8[[#This Row],[יתרת פתיחה]]),IFERROR(-IPMT(שיעור_ריבית4/12,1,הפחתה8[[#This Row],[תשלומים
שנותרו]],AE138),0)),0)</f>
        <v>0</v>
      </c>
      <c r="AG137" s="19" t="str">
        <f ca="1">IFERROR(IF(AND(ValuesEntered4,הפחתה8[[#This Row],[תאריך]]&lt;&gt;""),-PPMT(שיעור_ריבית4/12,1,תקופת_ההלוואה4-ROWS($C$4:AD137)+1,הפחתה8[[#This Row],[יתרת פתיחה]]),""),0)</f>
        <v/>
      </c>
      <c r="AH137" s="19">
        <f ca="1">(הפחתה8[[#This Row],[יתרת פתיחה]])*(מדד4/12)</f>
        <v>0</v>
      </c>
      <c r="AI137" s="19">
        <f ca="1">IF(הפחתה8[[#This Row],[תאריך]]="",0,הפחתה8[[#This Row],[ריבית]]+הפחתה8[[#This Row],[קרן]]+הפחתה8[[#This Row],[מדד]])</f>
        <v>0</v>
      </c>
      <c r="AJ137" s="19">
        <f ca="1">IF(הפחתה8[[#This Row],[תאריך]]="",0,הפחתה8[[#This Row],[יתרת פתיחה]]-הפחתה8[[#This Row],[קרן]])</f>
        <v>0</v>
      </c>
      <c r="AK137" s="20">
        <f ca="1">IF(הפחתה8[[#This Row],[יתרת
סגירה]]&gt;0,LastRow4-ROW(),0)</f>
        <v>0</v>
      </c>
    </row>
    <row r="138" spans="1:37" ht="15" customHeight="1" x14ac:dyDescent="0.25">
      <c r="A138" s="8"/>
      <c r="B138" s="11">
        <f>ROWS($B$4:B138)</f>
        <v>135</v>
      </c>
      <c r="C138" s="12">
        <f>IF(ValuesEntered,IF(הפחתה[[#This Row],[מס'']]&lt;=תקופת_ההלוואה,IF(ROW()-ROW(הפחתה[[#Headers],[תאריך]])=1,LoanStart,IF(I137&gt;0,EDATE(C137,1),"")),""),"")</f>
        <v>49461</v>
      </c>
      <c r="D138" s="13">
        <f>IF(ROW()-ROW(הפחתה[[#Headers],[יתרת פתיחה]])=1,סכום_הלוואה,IF(הפחתה[[#This Row],[תאריך]]="",0,INDEX(הפחתה[], ROW()-4,8)))</f>
        <v>475735.68159018236</v>
      </c>
      <c r="E138" s="13">
        <f>IF(ValuesEntered,IF(ROW()-ROW(הפחתה[[#Headers],[ריבית]])=1,-IPMT(שיעור_ריבית/12,1,תקופת_ההלוואה-ROWS($C$4:C138)+1,הפחתה[[#This Row],[יתרת פתיחה]]),IFERROR(-IPMT(שיעור_ריבית/12,1,הפחתה[[#This Row],[תשלומים
שנותרו]],D139),0)),0)</f>
        <v>2095.7305032457903</v>
      </c>
      <c r="F138" s="13">
        <f>IFERROR(IF(AND(ValuesEntered,הפחתה[[#This Row],[תאריך]]&lt;&gt;""),-PPMT(שיעור_ריבית/12,1,תקופת_ההלוואה-ROWS($C$4:C138)+1,הפחתה[[#This Row],[יתרת פתיחה]]),""),0)</f>
        <v>1230.661987361914</v>
      </c>
      <c r="G138" s="13">
        <f>(הפחתה[[#This Row],[יתרת פתיחה]])*(מדד/12)</f>
        <v>0</v>
      </c>
      <c r="H138" s="13">
        <f>IF(הפחתה[[#This Row],[תאריך]]="",0,הפחתה[[#This Row],[ריבית]]+הפחתה[[#This Row],[קרן]]+הפחתה[[#This Row],[מדד]])</f>
        <v>3326.3924906077045</v>
      </c>
      <c r="I138" s="13">
        <f>IF(הפחתה[[#This Row],[תאריך]]="",0,הפחתה[[#This Row],[יתרת פתיחה]]-הפחתה[[#This Row],[קרן]]+הפחתה[[#This Row],[מדד]])</f>
        <v>474505.01960282045</v>
      </c>
      <c r="J138" s="11">
        <f>IF(הפחתה[[#This Row],[יתרת
סגירה]]&gt;0,LastRow-ROW(),0)</f>
        <v>225</v>
      </c>
      <c r="K138" s="11">
        <f>ROWS($K$4:K138)</f>
        <v>135</v>
      </c>
      <c r="L138" s="12">
        <f>IF(ValuesEntered2,IF(הפחתה5[[#This Row],[מס'']]&lt;=תקופת_ההלוואה2,IF(ROW()-ROW(הפחתה5[[#Headers],[תאריך]])=1,LoanStart2,IF(R137&gt;0,EDATE(L137,1),"")),""),"")</f>
        <v>49461</v>
      </c>
      <c r="M138" s="13">
        <f>IF(ROW()-ROW(הפחתה5[[#Headers],[יתרת פתיחה]])=1,סכום_הלוואה2,IF(הפחתה5[[#This Row],[תאריך]]="",0,INDEX(הפחתה5[], ROW()-4,8)))</f>
        <v>207413.91333611196</v>
      </c>
      <c r="N138" s="13">
        <f>IF(ValuesEntered2,IF(ROW()-ROW(הפחתה5[[#Headers],[ריבית]])=1,-IPMT(שיעור_ריבית2/12,1,תקופת_ההלוואה2-ROWS($L$4:L138)+1,הפחתה5[[#This Row],[יתרת פתיחה]]),IFERROR(-IPMT(שיעור_ריבית2/12,1,הפחתה5[[#This Row],[תשלומים
שנותרו]],M139),0)),0)</f>
        <v>808.88781565585373</v>
      </c>
      <c r="O138" s="13">
        <f>IFERROR(IF(AND(ValuesEntered2,הפחתה5[[#This Row],[תאריך]]&lt;&gt;""),-PPMT(שיעור_ריבית2/12,1,תקופת_ההלוואה2-ROWS($L$4:L138)+1,הפחתה5[[#This Row],[יתרת פתיחה]]),""),0)</f>
        <v>889.36465802162036</v>
      </c>
      <c r="P138" s="13">
        <f>(הפחתה5[[#This Row],[יתרת פתיחה]])*(מדד2/12)</f>
        <v>0</v>
      </c>
      <c r="Q138" s="13">
        <f>IF(הפחתה5[[#This Row],[תאריך]]="",0,הפחתה5[[#This Row],[ריבית]]+הפחתה5[[#This Row],[קרן]]+הפחתה5[[#This Row],[מדד]])</f>
        <v>1698.252473677474</v>
      </c>
      <c r="R138" s="13">
        <f>IF(הפחתה5[[#This Row],[תאריך]]="",0,הפחתה5[[#This Row],[יתרת פתיחה]]-הפחתה5[[#This Row],[קרן]]+הפחתה5[[#This Row],[מדד]])</f>
        <v>206524.54867809033</v>
      </c>
      <c r="S138" s="11">
        <f>IF(הפחתה5[[#This Row],[יתרת
סגירה]]&gt;0,LastRow2-ROW(),0)</f>
        <v>165</v>
      </c>
      <c r="T138" s="11">
        <f>ROWS($T$4:T138)</f>
        <v>135</v>
      </c>
      <c r="U138" s="12">
        <f ca="1">IF(ValuesEntered3,IF(הפחתה7[[#This Row],[מס'']]&lt;=תקופת_ההלוואה3,IF(ROW()-ROW(הפחתה7[[#Headers],[תאריך]])=1,LoanStart3,IF(AA137&gt;0,EDATE(U137,1),"")),""),"")</f>
        <v>49699</v>
      </c>
      <c r="V138" s="13">
        <f ca="1">IF(ROW()-ROW(הפחתה7[[#Headers],[יתרת פתיחה]])=1,סכום_הלוואה3,IF(הפחתה7[[#This Row],[תאריך]]="",0,INDEX(הפחתה7[], ROW()-4,8)))</f>
        <v>77952.479862180029</v>
      </c>
      <c r="W138" s="13">
        <f ca="1">IF(ValuesEntered3,IF(ROW()-ROW(הפחתה7[[#Headers],[ריבית]])=1,-IPMT(שיעור_ריבית3/12,1,תקופת_ההלוואה3-ROWS($C$4:U138)+1,הפחתה7[[#This Row],[יתרת פתיחה]]),IFERROR(-IPMT(שיעור_ריבית3/12,1,הפחתה7[[#This Row],[תשלומים
שנותרו]],V139),0)),0)</f>
        <v>148.89262944503693</v>
      </c>
      <c r="X138" s="13">
        <f ca="1">IFERROR(IF(AND(ValuesEntered3,הפחתה7[[#This Row],[תאריך]]&lt;&gt;""),-PPMT(שיעור_ריבית3/12,1,תקופת_ההלוואה3-ROWS($C$4:U138)+1,הפחתה7[[#This Row],[יתרת פתיחה]]),""),0)</f>
        <v>399.28964714845995</v>
      </c>
      <c r="Y138" s="13">
        <f ca="1">(הפחתה7[[#This Row],[יתרת פתיחה]])*(מדד3/12)</f>
        <v>129.92079977030005</v>
      </c>
      <c r="Z138" s="13">
        <f ca="1">IF(הפחתה7[[#This Row],[תאריך]]="",0,הפחתה7[[#This Row],[ריבית]]+הפחתה7[[#This Row],[קרן]]+הפחתה7[[#This Row],[מדד]])</f>
        <v>678.10307636379696</v>
      </c>
      <c r="AA138" s="13">
        <f ca="1">IF(הפחתה7[[#This Row],[תאריך]]="",0,הפחתה7[[#This Row],[יתרת פתיחה]]-הפחתה7[[#This Row],[קרן]]+הפחתה7[[#This Row],[מדד]])</f>
        <v>77683.111014801878</v>
      </c>
      <c r="AB138" s="11">
        <f ca="1">IF(הפחתה7[[#This Row],[יתרת
סגירה]]&gt;0,LastRow3-ROW(),0)</f>
        <v>165</v>
      </c>
      <c r="AC138" s="17">
        <f>ROWS($AC$4:AC138)</f>
        <v>135</v>
      </c>
      <c r="AD138" s="18" t="str">
        <f ca="1">IF(ValuesEntered4,IF(הפחתה8[[#This Row],[מס'']]&lt;=תקופת_ההלוואה4,IF(ROW()-ROW(הפחתה8[[#Headers],[תאריך]])=1,LoanStart4,IF(AJ137&gt;0,EDATE(AD137,1),"")),""),"")</f>
        <v/>
      </c>
      <c r="AE138" s="19">
        <f ca="1">IF(ROW()-ROW(הפחתה8[[#Headers],[יתרת פתיחה]])=1,סכום_הלוואה4,IF(הפחתה8[[#This Row],[תאריך]]="",0,INDEX(הפחתה8[], ROW()-4,8)))</f>
        <v>0</v>
      </c>
      <c r="AF138" s="19">
        <f ca="1">IF(ValuesEntered4,IF(ROW()-ROW(הפחתה8[[#Headers],[ריבית]])=1,-IPMT(שיעור_ריבית4/12,1,תקופת_ההלוואה4-ROWS($C$4:AD138)+1,הפחתה8[[#This Row],[יתרת פתיחה]]),IFERROR(-IPMT(שיעור_ריבית4/12,1,הפחתה8[[#This Row],[תשלומים
שנותרו]],AE139),0)),0)</f>
        <v>0</v>
      </c>
      <c r="AG138" s="19" t="str">
        <f ca="1">IFERROR(IF(AND(ValuesEntered4,הפחתה8[[#This Row],[תאריך]]&lt;&gt;""),-PPMT(שיעור_ריבית4/12,1,תקופת_ההלוואה4-ROWS($C$4:AD138)+1,הפחתה8[[#This Row],[יתרת פתיחה]]),""),0)</f>
        <v/>
      </c>
      <c r="AH138" s="19">
        <f ca="1">(הפחתה8[[#This Row],[יתרת פתיחה]])*(מדד4/12)</f>
        <v>0</v>
      </c>
      <c r="AI138" s="19">
        <f ca="1">IF(הפחתה8[[#This Row],[תאריך]]="",0,הפחתה8[[#This Row],[ריבית]]+הפחתה8[[#This Row],[קרן]]+הפחתה8[[#This Row],[מדד]])</f>
        <v>0</v>
      </c>
      <c r="AJ138" s="19">
        <f ca="1">IF(הפחתה8[[#This Row],[תאריך]]="",0,הפחתה8[[#This Row],[יתרת פתיחה]]-הפחתה8[[#This Row],[קרן]])</f>
        <v>0</v>
      </c>
      <c r="AK138" s="20">
        <f ca="1">IF(הפחתה8[[#This Row],[יתרת
סגירה]]&gt;0,LastRow4-ROW(),0)</f>
        <v>0</v>
      </c>
    </row>
    <row r="139" spans="1:37" ht="15" customHeight="1" x14ac:dyDescent="0.25">
      <c r="A139" s="8"/>
      <c r="B139" s="11">
        <f>ROWS($B$4:B139)</f>
        <v>136</v>
      </c>
      <c r="C139" s="12">
        <f>IF(ValuesEntered,IF(הפחתה[[#This Row],[מס'']]&lt;=תקופת_ההלוואה,IF(ROW()-ROW(הפחתה[[#Headers],[תאריך]])=1,LoanStart,IF(I138&gt;0,EDATE(C138,1),"")),""),"")</f>
        <v>49491</v>
      </c>
      <c r="D139" s="13">
        <f>IF(ROW()-ROW(הפחתה[[#Headers],[יתרת פתיחה]])=1,סכום_הלוואה,IF(הפחתה[[#This Row],[תאריך]]="",0,INDEX(הפחתה[], ROW()-4,8)))</f>
        <v>474505.01960282045</v>
      </c>
      <c r="E139" s="13">
        <f>IF(ValuesEntered,IF(ROW()-ROW(הפחתה[[#Headers],[ריבית]])=1,-IPMT(שיעור_ריבית/12,1,תקופת_ההלוואה-ROWS($C$4:C139)+1,הפחתה[[#This Row],[יתרת פתיחה]]),IFERROR(-IPMT(שיעור_ריבית/12,1,הפחתה[[#This Row],[תשלומים
שנותרו]],D140),0)),0)</f>
        <v>2090.271073013258</v>
      </c>
      <c r="F139" s="13">
        <f>IFERROR(IF(AND(ValuesEntered,הפחתה[[#This Row],[תאריך]]&lt;&gt;""),-PPMT(שיעור_ריבית/12,1,תקופת_ההלוואה-ROWS($C$4:C139)+1,הפחתה[[#This Row],[יתרת פתיחה]]),""),0)</f>
        <v>1236.0974111394289</v>
      </c>
      <c r="G139" s="13">
        <f>(הפחתה[[#This Row],[יתרת פתיחה]])*(מדד/12)</f>
        <v>0</v>
      </c>
      <c r="H139" s="13">
        <f>IF(הפחתה[[#This Row],[תאריך]]="",0,הפחתה[[#This Row],[ריבית]]+הפחתה[[#This Row],[קרן]]+הפחתה[[#This Row],[מדד]])</f>
        <v>3326.368484152687</v>
      </c>
      <c r="I139" s="13">
        <f>IF(הפחתה[[#This Row],[תאריך]]="",0,הפחתה[[#This Row],[יתרת פתיחה]]-הפחתה[[#This Row],[קרן]]+הפחתה[[#This Row],[מדד]])</f>
        <v>473268.92219168105</v>
      </c>
      <c r="J139" s="11">
        <f>IF(הפחתה[[#This Row],[יתרת
סגירה]]&gt;0,LastRow-ROW(),0)</f>
        <v>224</v>
      </c>
      <c r="K139" s="11">
        <f>ROWS($K$4:K139)</f>
        <v>136</v>
      </c>
      <c r="L139" s="12">
        <f>IF(ValuesEntered2,IF(הפחתה5[[#This Row],[מס'']]&lt;=תקופת_ההלוואה2,IF(ROW()-ROW(הפחתה5[[#Headers],[תאריך]])=1,LoanStart2,IF(R138&gt;0,EDATE(L138,1),"")),""),"")</f>
        <v>49491</v>
      </c>
      <c r="M139" s="13">
        <f>IF(ROW()-ROW(הפחתה5[[#Headers],[יתרת פתיחה]])=1,סכום_הלוואה2,IF(הפחתה5[[#This Row],[תאריך]]="",0,INDEX(הפחתה5[], ROW()-4,8)))</f>
        <v>206524.54867809033</v>
      </c>
      <c r="N139" s="13">
        <f>IF(ValuesEntered2,IF(ROW()-ROW(הפחתה5[[#Headers],[ריבית]])=1,-IPMT(שיעור_ריבית2/12,1,תקופת_ההלוואה2-ROWS($L$4:L139)+1,הפחתה5[[#This Row],[יתרת פתיחה]]),IFERROR(-IPMT(שיעור_ריבית2/12,1,הפחתה5[[#This Row],[תשלומים
שנותרו]],M140),0)),0)</f>
        <v>805.39082764436921</v>
      </c>
      <c r="O139" s="13">
        <f>IFERROR(IF(AND(ValuesEntered2,הפחתה5[[#This Row],[תאריך]]&lt;&gt;""),-PPMT(שיעור_ריבית2/12,1,תקופת_ההלוואה2-ROWS($L$4:L139)+1,הפחתה5[[#This Row],[יתרת פתיחה]]),""),0)</f>
        <v>892.84800293220474</v>
      </c>
      <c r="P139" s="13">
        <f>(הפחתה5[[#This Row],[יתרת פתיחה]])*(מדד2/12)</f>
        <v>0</v>
      </c>
      <c r="Q139" s="13">
        <f>IF(הפחתה5[[#This Row],[תאריך]]="",0,הפחתה5[[#This Row],[ריבית]]+הפחתה5[[#This Row],[קרן]]+הפחתה5[[#This Row],[מדד]])</f>
        <v>1698.2388305765739</v>
      </c>
      <c r="R139" s="13">
        <f>IF(הפחתה5[[#This Row],[תאריך]]="",0,הפחתה5[[#This Row],[יתרת פתיחה]]-הפחתה5[[#This Row],[קרן]]+הפחתה5[[#This Row],[מדד]])</f>
        <v>205631.70067515812</v>
      </c>
      <c r="S139" s="11">
        <f>IF(הפחתה5[[#This Row],[יתרת
סגירה]]&gt;0,LastRow2-ROW(),0)</f>
        <v>164</v>
      </c>
      <c r="T139" s="11">
        <f>ROWS($T$4:T139)</f>
        <v>136</v>
      </c>
      <c r="U139" s="12">
        <f ca="1">IF(ValuesEntered3,IF(הפחתה7[[#This Row],[מס'']]&lt;=תקופת_ההלוואה3,IF(ROW()-ROW(הפחתה7[[#Headers],[תאריך]])=1,LoanStart3,IF(AA138&gt;0,EDATE(U138,1),"")),""),"")</f>
        <v>49730</v>
      </c>
      <c r="V139" s="13">
        <f ca="1">IF(ROW()-ROW(הפחתה7[[#Headers],[יתרת פתיחה]])=1,סכום_הלוואה3,IF(הפחתה7[[#This Row],[תאריך]]="",0,INDEX(הפחתה7[], ROW()-4,8)))</f>
        <v>77683.111014801878</v>
      </c>
      <c r="W139" s="13">
        <f ca="1">IF(ValuesEntered3,IF(ROW()-ROW(הפחתה7[[#Headers],[ריבית]])=1,-IPMT(שיעור_ריבית3/12,1,תקופת_ההלוואה3-ROWS($C$4:U139)+1,הפחתה7[[#This Row],[יתרת פתיחה]]),IFERROR(-IPMT(שיעור_ריבית3/12,1,הפחתה7[[#This Row],[תשלומים
שנותרו]],V140),0)),0)</f>
        <v>148.37272730254779</v>
      </c>
      <c r="X139" s="13">
        <f ca="1">IFERROR(IF(AND(ValuesEntered3,הפחתה7[[#This Row],[תאריך]]&lt;&gt;""),-PPMT(שיעור_ריבית3/12,1,תקופת_ההלוואה3-ROWS($C$4:U139)+1,הפחתה7[[#This Row],[יתרת פתיחה]]),""),0)</f>
        <v>400.72514342479582</v>
      </c>
      <c r="Y139" s="13">
        <f ca="1">(הפחתה7[[#This Row],[יתרת פתיחה]])*(מדד3/12)</f>
        <v>129.47185169133647</v>
      </c>
      <c r="Z139" s="13">
        <f ca="1">IF(הפחתה7[[#This Row],[תאריך]]="",0,הפחתה7[[#This Row],[ריבית]]+הפחתה7[[#This Row],[קרן]]+הפחתה7[[#This Row],[מדד]])</f>
        <v>678.56972241868016</v>
      </c>
      <c r="AA139" s="13">
        <f ca="1">IF(הפחתה7[[#This Row],[תאריך]]="",0,הפחתה7[[#This Row],[יתרת פתיחה]]-הפחתה7[[#This Row],[קרן]]+הפחתה7[[#This Row],[מדד]])</f>
        <v>77411.857723068417</v>
      </c>
      <c r="AB139" s="11">
        <f ca="1">IF(הפחתה7[[#This Row],[יתרת
סגירה]]&gt;0,LastRow3-ROW(),0)</f>
        <v>164</v>
      </c>
      <c r="AC139" s="17">
        <f>ROWS($AC$4:AC139)</f>
        <v>136</v>
      </c>
      <c r="AD139" s="18" t="str">
        <f ca="1">IF(ValuesEntered4,IF(הפחתה8[[#This Row],[מס'']]&lt;=תקופת_ההלוואה4,IF(ROW()-ROW(הפחתה8[[#Headers],[תאריך]])=1,LoanStart4,IF(AJ138&gt;0,EDATE(AD138,1),"")),""),"")</f>
        <v/>
      </c>
      <c r="AE139" s="19">
        <f ca="1">IF(ROW()-ROW(הפחתה8[[#Headers],[יתרת פתיחה]])=1,סכום_הלוואה4,IF(הפחתה8[[#This Row],[תאריך]]="",0,INDEX(הפחתה8[], ROW()-4,8)))</f>
        <v>0</v>
      </c>
      <c r="AF139" s="19">
        <f ca="1">IF(ValuesEntered4,IF(ROW()-ROW(הפחתה8[[#Headers],[ריבית]])=1,-IPMT(שיעור_ריבית4/12,1,תקופת_ההלוואה4-ROWS($C$4:AD139)+1,הפחתה8[[#This Row],[יתרת פתיחה]]),IFERROR(-IPMT(שיעור_ריבית4/12,1,הפחתה8[[#This Row],[תשלומים
שנותרו]],AE140),0)),0)</f>
        <v>0</v>
      </c>
      <c r="AG139" s="19" t="str">
        <f ca="1">IFERROR(IF(AND(ValuesEntered4,הפחתה8[[#This Row],[תאריך]]&lt;&gt;""),-PPMT(שיעור_ריבית4/12,1,תקופת_ההלוואה4-ROWS($C$4:AD139)+1,הפחתה8[[#This Row],[יתרת פתיחה]]),""),0)</f>
        <v/>
      </c>
      <c r="AH139" s="19">
        <f ca="1">(הפחתה8[[#This Row],[יתרת פתיחה]])*(מדד4/12)</f>
        <v>0</v>
      </c>
      <c r="AI139" s="19">
        <f ca="1">IF(הפחתה8[[#This Row],[תאריך]]="",0,הפחתה8[[#This Row],[ריבית]]+הפחתה8[[#This Row],[קרן]]+הפחתה8[[#This Row],[מדד]])</f>
        <v>0</v>
      </c>
      <c r="AJ139" s="19">
        <f ca="1">IF(הפחתה8[[#This Row],[תאריך]]="",0,הפחתה8[[#This Row],[יתרת פתיחה]]-הפחתה8[[#This Row],[קרן]])</f>
        <v>0</v>
      </c>
      <c r="AK139" s="20">
        <f ca="1">IF(הפחתה8[[#This Row],[יתרת
סגירה]]&gt;0,LastRow4-ROW(),0)</f>
        <v>0</v>
      </c>
    </row>
    <row r="140" spans="1:37" ht="15" customHeight="1" x14ac:dyDescent="0.25">
      <c r="A140" s="8"/>
      <c r="B140" s="11">
        <f>ROWS($B$4:B140)</f>
        <v>137</v>
      </c>
      <c r="C140" s="12">
        <f>IF(ValuesEntered,IF(הפחתה[[#This Row],[מס'']]&lt;=תקופת_ההלוואה,IF(ROW()-ROW(הפחתה[[#Headers],[תאריך]])=1,LoanStart,IF(I139&gt;0,EDATE(C139,1),"")),""),"")</f>
        <v>49522</v>
      </c>
      <c r="D140" s="13">
        <f>IF(ROW()-ROW(הפחתה[[#Headers],[יתרת פתיחה]])=1,סכום_הלוואה,IF(הפחתה[[#This Row],[תאריך]]="",0,INDEX(הפחתה[], ROW()-4,8)))</f>
        <v>473268.92219168105</v>
      </c>
      <c r="E140" s="13">
        <f>IF(ValuesEntered,IF(ROW()-ROW(הפחתה[[#Headers],[ריבית]])=1,-IPMT(שיעור_ריבית/12,1,תקופת_ההלוואה-ROWS($C$4:C140)+1,הפחתה[[#This Row],[יתרת פתיחה]]),IFERROR(-IPMT(שיעור_ריבית/12,1,הפחתה[[#This Row],[תשלומים
שנותרו]],D141),0)),0)</f>
        <v>2084.7875302971984</v>
      </c>
      <c r="F140" s="13">
        <f>IFERROR(IF(AND(ValuesEntered,הפחתה[[#This Row],[תאריך]]&lt;&gt;""),-PPMT(שיעור_ריבית/12,1,תקופת_ההלוואה-ROWS($C$4:C140)+1,הפחתה[[#This Row],[יתרת פתיחה]]),""),0)</f>
        <v>1241.5568413719614</v>
      </c>
      <c r="G140" s="13">
        <f>(הפחתה[[#This Row],[יתרת פתיחה]])*(מדד/12)</f>
        <v>0</v>
      </c>
      <c r="H140" s="13">
        <f>IF(הפחתה[[#This Row],[תאריך]]="",0,הפחתה[[#This Row],[ריבית]]+הפחתה[[#This Row],[קרן]]+הפחתה[[#This Row],[מדד]])</f>
        <v>3326.34437166916</v>
      </c>
      <c r="I140" s="13">
        <f>IF(הפחתה[[#This Row],[תאריך]]="",0,הפחתה[[#This Row],[יתרת פתיחה]]-הפחתה[[#This Row],[קרן]]+הפחתה[[#This Row],[מדד]])</f>
        <v>472027.36535030906</v>
      </c>
      <c r="J140" s="11">
        <f>IF(הפחתה[[#This Row],[יתרת
סגירה]]&gt;0,LastRow-ROW(),0)</f>
        <v>223</v>
      </c>
      <c r="K140" s="11">
        <f>ROWS($K$4:K140)</f>
        <v>137</v>
      </c>
      <c r="L140" s="12">
        <f>IF(ValuesEntered2,IF(הפחתה5[[#This Row],[מס'']]&lt;=תקופת_ההלוואה2,IF(ROW()-ROW(הפחתה5[[#Headers],[תאריך]])=1,LoanStart2,IF(R139&gt;0,EDATE(L139,1),"")),""),"")</f>
        <v>49522</v>
      </c>
      <c r="M140" s="13">
        <f>IF(ROW()-ROW(הפחתה5[[#Headers],[יתרת פתיחה]])=1,סכום_הלוואה2,IF(הפחתה5[[#This Row],[תאריך]]="",0,INDEX(הפחתה5[], ROW()-4,8)))</f>
        <v>205631.70067515812</v>
      </c>
      <c r="N140" s="13">
        <f>IF(ValuesEntered2,IF(ROW()-ROW(הפחתה5[[#Headers],[ריבית]])=1,-IPMT(שיעור_ריבית2/12,1,תקופת_ההלוואה2-ROWS($L$4:L140)+1,הפחתה5[[#This Row],[יתרת פתיחה]]),IFERROR(-IPMT(שיעור_ריבית2/12,1,הפחתה5[[#This Row],[תשלומים
שנותרו]],M141),0)),0)</f>
        <v>801.88014309650657</v>
      </c>
      <c r="O140" s="13">
        <f>IFERROR(IF(AND(ValuesEntered2,הפחתה5[[#This Row],[תאריך]]&lt;&gt;""),-PPMT(שיעור_ריבית2/12,1,תקופת_ההלוואה2-ROWS($L$4:L140)+1,הפחתה5[[#This Row],[יתרת פתיחה]]),""),0)</f>
        <v>896.34499094368925</v>
      </c>
      <c r="P140" s="13">
        <f>(הפחתה5[[#This Row],[יתרת פתיחה]])*(מדד2/12)</f>
        <v>0</v>
      </c>
      <c r="Q140" s="13">
        <f>IF(הפחתה5[[#This Row],[תאריך]]="",0,הפחתה5[[#This Row],[ריבית]]+הפחתה5[[#This Row],[קרן]]+הפחתה5[[#This Row],[מדד]])</f>
        <v>1698.2251340401958</v>
      </c>
      <c r="R140" s="13">
        <f>IF(הפחתה5[[#This Row],[תאריך]]="",0,הפחתה5[[#This Row],[יתרת פתיחה]]-הפחתה5[[#This Row],[קרן]]+הפחתה5[[#This Row],[מדד]])</f>
        <v>204735.35568421445</v>
      </c>
      <c r="S140" s="11">
        <f>IF(הפחתה5[[#This Row],[יתרת
סגירה]]&gt;0,LastRow2-ROW(),0)</f>
        <v>163</v>
      </c>
      <c r="T140" s="11">
        <f>ROWS($T$4:T140)</f>
        <v>137</v>
      </c>
      <c r="U140" s="12">
        <f ca="1">IF(ValuesEntered3,IF(הפחתה7[[#This Row],[מס'']]&lt;=תקופת_ההלוואה3,IF(ROW()-ROW(הפחתה7[[#Headers],[תאריך]])=1,LoanStart3,IF(AA139&gt;0,EDATE(U139,1),"")),""),"")</f>
        <v>49759</v>
      </c>
      <c r="V140" s="13">
        <f ca="1">IF(ROW()-ROW(הפחתה7[[#Headers],[יתרת פתיחה]])=1,סכום_הלוואה3,IF(הפחתה7[[#This Row],[תאריך]]="",0,INDEX(הפחתה7[], ROW()-4,8)))</f>
        <v>77411.857723068417</v>
      </c>
      <c r="W140" s="13">
        <f ca="1">IF(ValuesEntered3,IF(ROW()-ROW(הפחתה7[[#Headers],[ריבית]])=1,-IPMT(שיעור_ריבית3/12,1,תקופת_ההלוואה3-ROWS($C$4:U140)+1,הפחתה7[[#This Row],[יתרת פתיחה]]),IFERROR(-IPMT(שיעור_ריבית3/12,1,הפחתה7[[#This Row],[תשלומים
שנותרו]],V141),0)),0)</f>
        <v>147.84919735015137</v>
      </c>
      <c r="X140" s="13">
        <f ca="1">IFERROR(IF(AND(ValuesEntered3,הפחתה7[[#This Row],[תאריך]]&lt;&gt;""),-PPMT(שיעור_ריבית3/12,1,תקופת_ההלוואה3-ROWS($C$4:U140)+1,הפחתה7[[#This Row],[יתרת פתיחה]]),""),0)</f>
        <v>402.16582499164639</v>
      </c>
      <c r="Y140" s="13">
        <f ca="1">(הפחתה7[[#This Row],[יתרת פתיחה]])*(מדד3/12)</f>
        <v>129.0197628717807</v>
      </c>
      <c r="Z140" s="13">
        <f ca="1">IF(הפחתה7[[#This Row],[תאריך]]="",0,הפחתה7[[#This Row],[ריבית]]+הפחתה7[[#This Row],[קרן]]+הפחתה7[[#This Row],[מדד]])</f>
        <v>679.0347852135784</v>
      </c>
      <c r="AA140" s="13">
        <f ca="1">IF(הפחתה7[[#This Row],[תאריך]]="",0,הפחתה7[[#This Row],[יתרת פתיחה]]-הפחתה7[[#This Row],[קרן]]+הפחתה7[[#This Row],[מדד]])</f>
        <v>77138.711660948553</v>
      </c>
      <c r="AB140" s="11">
        <f ca="1">IF(הפחתה7[[#This Row],[יתרת
סגירה]]&gt;0,LastRow3-ROW(),0)</f>
        <v>163</v>
      </c>
      <c r="AC140" s="17">
        <f>ROWS($AC$4:AC140)</f>
        <v>137</v>
      </c>
      <c r="AD140" s="18" t="str">
        <f ca="1">IF(ValuesEntered4,IF(הפחתה8[[#This Row],[מס'']]&lt;=תקופת_ההלוואה4,IF(ROW()-ROW(הפחתה8[[#Headers],[תאריך]])=1,LoanStart4,IF(AJ139&gt;0,EDATE(AD139,1),"")),""),"")</f>
        <v/>
      </c>
      <c r="AE140" s="19">
        <f ca="1">IF(ROW()-ROW(הפחתה8[[#Headers],[יתרת פתיחה]])=1,סכום_הלוואה4,IF(הפחתה8[[#This Row],[תאריך]]="",0,INDEX(הפחתה8[], ROW()-4,8)))</f>
        <v>0</v>
      </c>
      <c r="AF140" s="19">
        <f ca="1">IF(ValuesEntered4,IF(ROW()-ROW(הפחתה8[[#Headers],[ריבית]])=1,-IPMT(שיעור_ריבית4/12,1,תקופת_ההלוואה4-ROWS($C$4:AD140)+1,הפחתה8[[#This Row],[יתרת פתיחה]]),IFERROR(-IPMT(שיעור_ריבית4/12,1,הפחתה8[[#This Row],[תשלומים
שנותרו]],AE141),0)),0)</f>
        <v>0</v>
      </c>
      <c r="AG140" s="19" t="str">
        <f ca="1">IFERROR(IF(AND(ValuesEntered4,הפחתה8[[#This Row],[תאריך]]&lt;&gt;""),-PPMT(שיעור_ריבית4/12,1,תקופת_ההלוואה4-ROWS($C$4:AD140)+1,הפחתה8[[#This Row],[יתרת פתיחה]]),""),0)</f>
        <v/>
      </c>
      <c r="AH140" s="19">
        <f ca="1">(הפחתה8[[#This Row],[יתרת פתיחה]])*(מדד4/12)</f>
        <v>0</v>
      </c>
      <c r="AI140" s="19">
        <f ca="1">IF(הפחתה8[[#This Row],[תאריך]]="",0,הפחתה8[[#This Row],[ריבית]]+הפחתה8[[#This Row],[קרן]]+הפחתה8[[#This Row],[מדד]])</f>
        <v>0</v>
      </c>
      <c r="AJ140" s="19">
        <f ca="1">IF(הפחתה8[[#This Row],[תאריך]]="",0,הפחתה8[[#This Row],[יתרת פתיחה]]-הפחתה8[[#This Row],[קרן]])</f>
        <v>0</v>
      </c>
      <c r="AK140" s="20">
        <f ca="1">IF(הפחתה8[[#This Row],[יתרת
סגירה]]&gt;0,LastRow4-ROW(),0)</f>
        <v>0</v>
      </c>
    </row>
    <row r="141" spans="1:37" ht="15" customHeight="1" x14ac:dyDescent="0.25">
      <c r="A141" s="8"/>
      <c r="B141" s="11">
        <f>ROWS($B$4:B141)</f>
        <v>138</v>
      </c>
      <c r="C141" s="12">
        <f>IF(ValuesEntered,IF(הפחתה[[#This Row],[מס'']]&lt;=תקופת_ההלוואה,IF(ROW()-ROW(הפחתה[[#Headers],[תאריך]])=1,LoanStart,IF(I140&gt;0,EDATE(C140,1),"")),""),"")</f>
        <v>49553</v>
      </c>
      <c r="D141" s="13">
        <f>IF(ROW()-ROW(הפחתה[[#Headers],[יתרת פתיחה]])=1,סכום_הלוואה,IF(הפחתה[[#This Row],[תאריך]]="",0,INDEX(הפחתה[], ROW()-4,8)))</f>
        <v>472027.36535030906</v>
      </c>
      <c r="E141" s="13">
        <f>IF(ValuesEntered,IF(ROW()-ROW(הפחתה[[#Headers],[ריבית]])=1,-IPMT(שיעור_ריבית/12,1,תקופת_ההלוואה-ROWS($C$4:C141)+1,הפחתה[[#This Row],[יתרת פתיחה]]),IFERROR(-IPMT(שיעור_ריבית/12,1,הפחתה[[#This Row],[תשלומים
שנותרו]],D142),0)),0)</f>
        <v>2079.2797686008098</v>
      </c>
      <c r="F141" s="13">
        <f>IFERROR(IF(AND(ValuesEntered,הפחתה[[#This Row],[תאריך]]&lt;&gt;""),-PPMT(שיעור_ריבית/12,1,תקופת_ההלוואה-ROWS($C$4:C141)+1,הפחתה[[#This Row],[יתרת פתיחה]]),""),0)</f>
        <v>1247.040384088021</v>
      </c>
      <c r="G141" s="13">
        <f>(הפחתה[[#This Row],[יתרת פתיחה]])*(מדד/12)</f>
        <v>0</v>
      </c>
      <c r="H141" s="13">
        <f>IF(הפחתה[[#This Row],[תאריך]]="",0,הפחתה[[#This Row],[ריבית]]+הפחתה[[#This Row],[קרן]]+הפחתה[[#This Row],[מדד]])</f>
        <v>3326.3201526888306</v>
      </c>
      <c r="I141" s="13">
        <f>IF(הפחתה[[#This Row],[תאריך]]="",0,הפחתה[[#This Row],[יתרת פתיחה]]-הפחתה[[#This Row],[קרן]]+הפחתה[[#This Row],[מדד]])</f>
        <v>470780.32496622106</v>
      </c>
      <c r="J141" s="11">
        <f>IF(הפחתה[[#This Row],[יתרת
סגירה]]&gt;0,LastRow-ROW(),0)</f>
        <v>222</v>
      </c>
      <c r="K141" s="11">
        <f>ROWS($K$4:K141)</f>
        <v>138</v>
      </c>
      <c r="L141" s="12">
        <f>IF(ValuesEntered2,IF(הפחתה5[[#This Row],[מס'']]&lt;=תקופת_ההלוואה2,IF(ROW()-ROW(הפחתה5[[#Headers],[תאריך]])=1,LoanStart2,IF(R140&gt;0,EDATE(L140,1),"")),""),"")</f>
        <v>49553</v>
      </c>
      <c r="M141" s="13">
        <f>IF(ROW()-ROW(הפחתה5[[#Headers],[יתרת פתיחה]])=1,סכום_הלוואה2,IF(הפחתה5[[#This Row],[תאריך]]="",0,INDEX(הפחתה5[], ROW()-4,8)))</f>
        <v>204735.35568421445</v>
      </c>
      <c r="N141" s="13">
        <f>IF(ValuesEntered2,IF(ROW()-ROW(הפחתה5[[#Headers],[ריבית]])=1,-IPMT(שיעור_ריבית2/12,1,תקופת_ההלוואה2-ROWS($L$4:L141)+1,הפחתה5[[#This Row],[יתרת פתיחה]]),IFERROR(-IPMT(שיעור_ריבית2/12,1,הפחתה5[[#This Row],[תשלומים
שנותרו]],M142),0)),0)</f>
        <v>798.35570836749787</v>
      </c>
      <c r="O141" s="13">
        <f>IFERROR(IF(AND(ValuesEntered2,הפחתה5[[#This Row],[תאריך]]&lt;&gt;""),-PPMT(שיעור_ריבית2/12,1,תקופת_ההלוואה2-ROWS($L$4:L141)+1,הפחתה5[[#This Row],[יתרת פתיחה]]),""),0)</f>
        <v>899.85567549155235</v>
      </c>
      <c r="P141" s="13">
        <f>(הפחתה5[[#This Row],[יתרת פתיחה]])*(מדד2/12)</f>
        <v>0</v>
      </c>
      <c r="Q141" s="13">
        <f>IF(הפחתה5[[#This Row],[תאריך]]="",0,הפחתה5[[#This Row],[ריבית]]+הפחתה5[[#This Row],[קרן]]+הפחתה5[[#This Row],[מדד]])</f>
        <v>1698.2113838590503</v>
      </c>
      <c r="R141" s="13">
        <f>IF(הפחתה5[[#This Row],[תאריך]]="",0,הפחתה5[[#This Row],[יתרת פתיחה]]-הפחתה5[[#This Row],[קרן]]+הפחתה5[[#This Row],[מדד]])</f>
        <v>203835.50000872288</v>
      </c>
      <c r="S141" s="11">
        <f>IF(הפחתה5[[#This Row],[יתרת
סגירה]]&gt;0,LastRow2-ROW(),0)</f>
        <v>162</v>
      </c>
      <c r="T141" s="11">
        <f>ROWS($T$4:T141)</f>
        <v>138</v>
      </c>
      <c r="U141" s="12">
        <f ca="1">IF(ValuesEntered3,IF(הפחתה7[[#This Row],[מס'']]&lt;=תקופת_ההלוואה3,IF(ROW()-ROW(הפחתה7[[#Headers],[תאריך]])=1,LoanStart3,IF(AA140&gt;0,EDATE(U140,1),"")),""),"")</f>
        <v>49790</v>
      </c>
      <c r="V141" s="13">
        <f ca="1">IF(ROW()-ROW(הפחתה7[[#Headers],[יתרת פתיחה]])=1,סכום_הלוואה3,IF(הפחתה7[[#This Row],[תאריך]]="",0,INDEX(הפחתה7[], ROW()-4,8)))</f>
        <v>77138.711660948553</v>
      </c>
      <c r="W141" s="13">
        <f ca="1">IF(ValuesEntered3,IF(ROW()-ROW(הפחתה7[[#Headers],[ריבית]])=1,-IPMT(שיעור_ריבית3/12,1,תקופת_ההלוואה3-ROWS($C$4:U141)+1,הפחתה7[[#This Row],[יתרת פתיחה]]),IFERROR(-IPMT(שיעור_ריבית3/12,1,הפחתה7[[#This Row],[תשלומים
שנותרו]],V142),0)),0)</f>
        <v>147.32202356637359</v>
      </c>
      <c r="X141" s="13">
        <f ca="1">IFERROR(IF(AND(ValuesEntered3,הפחתה7[[#This Row],[תאריך]]&lt;&gt;""),-PPMT(שיעור_ריבית3/12,1,תקופת_ההלוואה3-ROWS($C$4:U141)+1,הפחתה7[[#This Row],[יתרת פתיחה]]),""),0)</f>
        <v>403.61171097116181</v>
      </c>
      <c r="Y141" s="13">
        <f ca="1">(הפחתה7[[#This Row],[יתרת פתיחה]])*(מדד3/12)</f>
        <v>128.56451943491427</v>
      </c>
      <c r="Z141" s="13">
        <f ca="1">IF(הפחתה7[[#This Row],[תאריך]]="",0,הפחתה7[[#This Row],[ריבית]]+הפחתה7[[#This Row],[קרן]]+הפחתה7[[#This Row],[מדד]])</f>
        <v>679.49825397244967</v>
      </c>
      <c r="AA141" s="13">
        <f ca="1">IF(הפחתה7[[#This Row],[תאריך]]="",0,הפחתה7[[#This Row],[יתרת פתיחה]]-הפחתה7[[#This Row],[קרן]]+הפחתה7[[#This Row],[מדד]])</f>
        <v>76863.66446941231</v>
      </c>
      <c r="AB141" s="11">
        <f ca="1">IF(הפחתה7[[#This Row],[יתרת
סגירה]]&gt;0,LastRow3-ROW(),0)</f>
        <v>162</v>
      </c>
      <c r="AC141" s="17">
        <f>ROWS($AC$4:AC141)</f>
        <v>138</v>
      </c>
      <c r="AD141" s="18" t="str">
        <f ca="1">IF(ValuesEntered4,IF(הפחתה8[[#This Row],[מס'']]&lt;=תקופת_ההלוואה4,IF(ROW()-ROW(הפחתה8[[#Headers],[תאריך]])=1,LoanStart4,IF(AJ140&gt;0,EDATE(AD140,1),"")),""),"")</f>
        <v/>
      </c>
      <c r="AE141" s="19">
        <f ca="1">IF(ROW()-ROW(הפחתה8[[#Headers],[יתרת פתיחה]])=1,סכום_הלוואה4,IF(הפחתה8[[#This Row],[תאריך]]="",0,INDEX(הפחתה8[], ROW()-4,8)))</f>
        <v>0</v>
      </c>
      <c r="AF141" s="19">
        <f ca="1">IF(ValuesEntered4,IF(ROW()-ROW(הפחתה8[[#Headers],[ריבית]])=1,-IPMT(שיעור_ריבית4/12,1,תקופת_ההלוואה4-ROWS($C$4:AD141)+1,הפחתה8[[#This Row],[יתרת פתיחה]]),IFERROR(-IPMT(שיעור_ריבית4/12,1,הפחתה8[[#This Row],[תשלומים
שנותרו]],AE142),0)),0)</f>
        <v>0</v>
      </c>
      <c r="AG141" s="19" t="str">
        <f ca="1">IFERROR(IF(AND(ValuesEntered4,הפחתה8[[#This Row],[תאריך]]&lt;&gt;""),-PPMT(שיעור_ריבית4/12,1,תקופת_ההלוואה4-ROWS($C$4:AD141)+1,הפחתה8[[#This Row],[יתרת פתיחה]]),""),0)</f>
        <v/>
      </c>
      <c r="AH141" s="19">
        <f ca="1">(הפחתה8[[#This Row],[יתרת פתיחה]])*(מדד4/12)</f>
        <v>0</v>
      </c>
      <c r="AI141" s="19">
        <f ca="1">IF(הפחתה8[[#This Row],[תאריך]]="",0,הפחתה8[[#This Row],[ריבית]]+הפחתה8[[#This Row],[קרן]]+הפחתה8[[#This Row],[מדד]])</f>
        <v>0</v>
      </c>
      <c r="AJ141" s="19">
        <f ca="1">IF(הפחתה8[[#This Row],[תאריך]]="",0,הפחתה8[[#This Row],[יתרת פתיחה]]-הפחתה8[[#This Row],[קרן]])</f>
        <v>0</v>
      </c>
      <c r="AK141" s="20">
        <f ca="1">IF(הפחתה8[[#This Row],[יתרת
סגירה]]&gt;0,LastRow4-ROW(),0)</f>
        <v>0</v>
      </c>
    </row>
    <row r="142" spans="1:37" ht="15" customHeight="1" x14ac:dyDescent="0.25">
      <c r="A142" s="8"/>
      <c r="B142" s="11">
        <f>ROWS($B$4:B142)</f>
        <v>139</v>
      </c>
      <c r="C142" s="12">
        <f>IF(ValuesEntered,IF(הפחתה[[#This Row],[מס'']]&lt;=תקופת_ההלוואה,IF(ROW()-ROW(הפחתה[[#Headers],[תאריך]])=1,LoanStart,IF(I141&gt;0,EDATE(C141,1),"")),""),"")</f>
        <v>49583</v>
      </c>
      <c r="D142" s="13">
        <f>IF(ROW()-ROW(הפחתה[[#Headers],[יתרת פתיחה]])=1,סכום_הלוואה,IF(הפחתה[[#This Row],[תאריך]]="",0,INDEX(הפחתה[], ROW()-4,8)))</f>
        <v>470780.32496622106</v>
      </c>
      <c r="E142" s="13">
        <f>IF(ValuesEntered,IF(ROW()-ROW(הפחתה[[#Headers],[ריבית]])=1,-IPMT(שיעור_ריבית/12,1,תקופת_ההלוואה-ROWS($C$4:C142)+1,הפחתה[[#This Row],[יתרת פתיחה]]),IFERROR(-IPMT(שיעור_ריבית/12,1,הפחתה[[#This Row],[תשלומים
שנותרו]],D143),0)),0)</f>
        <v>2073.7476809569284</v>
      </c>
      <c r="F142" s="13">
        <f>IFERROR(IF(AND(ValuesEntered,הפחתה[[#This Row],[תאריך]]&lt;&gt;""),-PPMT(שיעור_ריבית/12,1,תקופת_ההלוואה-ROWS($C$4:C142)+1,הפחתה[[#This Row],[יתרת פתיחה]]),""),0)</f>
        <v>1252.5481457844098</v>
      </c>
      <c r="G142" s="13">
        <f>(הפחתה[[#This Row],[יתרת פתיחה]])*(מדד/12)</f>
        <v>0</v>
      </c>
      <c r="H142" s="13">
        <f>IF(הפחתה[[#This Row],[תאריך]]="",0,הפחתה[[#This Row],[ריבית]]+הפחתה[[#This Row],[קרן]]+הפחתה[[#This Row],[מדד]])</f>
        <v>3326.2958267413383</v>
      </c>
      <c r="I142" s="13">
        <f>IF(הפחתה[[#This Row],[תאריך]]="",0,הפחתה[[#This Row],[יתרת פתיחה]]-הפחתה[[#This Row],[קרן]]+הפחתה[[#This Row],[מדד]])</f>
        <v>469527.77682043664</v>
      </c>
      <c r="J142" s="11">
        <f>IF(הפחתה[[#This Row],[יתרת
סגירה]]&gt;0,LastRow-ROW(),0)</f>
        <v>221</v>
      </c>
      <c r="K142" s="11">
        <f>ROWS($K$4:K142)</f>
        <v>139</v>
      </c>
      <c r="L142" s="12">
        <f>IF(ValuesEntered2,IF(הפחתה5[[#This Row],[מס'']]&lt;=תקופת_ההלוואה2,IF(ROW()-ROW(הפחתה5[[#Headers],[תאריך]])=1,LoanStart2,IF(R141&gt;0,EDATE(L141,1),"")),""),"")</f>
        <v>49583</v>
      </c>
      <c r="M142" s="13">
        <f>IF(ROW()-ROW(הפחתה5[[#Headers],[יתרת פתיחה]])=1,סכום_הלוואה2,IF(הפחתה5[[#This Row],[תאריך]]="",0,INDEX(הפחתה5[], ROW()-4,8)))</f>
        <v>203835.50000872288</v>
      </c>
      <c r="N142" s="13">
        <f>IF(ValuesEntered2,IF(ROW()-ROW(הפחתה5[[#Headers],[ריבית]])=1,-IPMT(שיעור_ריבית2/12,1,תקופת_ההלוואה2-ROWS($L$4:L142)+1,הפחתה5[[#This Row],[יתרת פתיחה]]),IFERROR(-IPMT(שיעור_ריבית2/12,1,הפחתה5[[#This Row],[תשלומים
שנותרו]],M143),0)),0)</f>
        <v>794.81746960246744</v>
      </c>
      <c r="O142" s="13">
        <f>IFERROR(IF(AND(ValuesEntered2,הפחתה5[[#This Row],[תאריך]]&lt;&gt;""),-PPMT(שיעור_ריבית2/12,1,תקופת_ההלוואה2-ROWS($L$4:L142)+1,הפחתה5[[#This Row],[יתרת פתיחה]]),""),0)</f>
        <v>903.3801102205606</v>
      </c>
      <c r="P142" s="13">
        <f>(הפחתה5[[#This Row],[יתרת פתיחה]])*(מדד2/12)</f>
        <v>0</v>
      </c>
      <c r="Q142" s="13">
        <f>IF(הפחתה5[[#This Row],[תאריך]]="",0,הפחתה5[[#This Row],[ריבית]]+הפחתה5[[#This Row],[קרן]]+הפחתה5[[#This Row],[מדד]])</f>
        <v>1698.197579823028</v>
      </c>
      <c r="R142" s="13">
        <f>IF(הפחתה5[[#This Row],[תאריך]]="",0,הפחתה5[[#This Row],[יתרת פתיחה]]-הפחתה5[[#This Row],[קרן]]+הפחתה5[[#This Row],[מדד]])</f>
        <v>202932.11989850234</v>
      </c>
      <c r="S142" s="11">
        <f>IF(הפחתה5[[#This Row],[יתרת
סגירה]]&gt;0,LastRow2-ROW(),0)</f>
        <v>161</v>
      </c>
      <c r="T142" s="11">
        <f>ROWS($T$4:T142)</f>
        <v>139</v>
      </c>
      <c r="U142" s="12">
        <f ca="1">IF(ValuesEntered3,IF(הפחתה7[[#This Row],[מס'']]&lt;=תקופת_ההלוואה3,IF(ROW()-ROW(הפחתה7[[#Headers],[תאריך]])=1,LoanStart3,IF(AA141&gt;0,EDATE(U141,1),"")),""),"")</f>
        <v>49820</v>
      </c>
      <c r="V142" s="13">
        <f ca="1">IF(ROW()-ROW(הפחתה7[[#Headers],[יתרת פתיחה]])=1,סכום_הלוואה3,IF(הפחתה7[[#This Row],[תאריך]]="",0,INDEX(הפחתה7[], ROW()-4,8)))</f>
        <v>76863.66446941231</v>
      </c>
      <c r="W142" s="13">
        <f ca="1">IF(ValuesEntered3,IF(ROW()-ROW(הפחתה7[[#Headers],[ריבית]])=1,-IPMT(שיעור_ריבית3/12,1,תקופת_ההלוואה3-ROWS($C$4:U142)+1,הפחתה7[[#This Row],[יתרת פתיחה]]),IFERROR(-IPMT(שיעור_ריבית3/12,1,הפחתה7[[#This Row],[תשלומים
שנותרו]],V143),0)),0)</f>
        <v>146.79118986623629</v>
      </c>
      <c r="X142" s="13">
        <f ca="1">IFERROR(IF(AND(ValuesEntered3,הפחתה7[[#This Row],[תאריך]]&lt;&gt;""),-PPMT(שיעור_ריבית3/12,1,תקופת_ההלוואה3-ROWS($C$4:U142)+1,הפחתה7[[#This Row],[יתרת פתיחה]]),""),0)</f>
        <v>405.06282056412857</v>
      </c>
      <c r="Y142" s="13">
        <f ca="1">(הפחתה7[[#This Row],[יתרת פתיחה]])*(מדד3/12)</f>
        <v>128.10610744902053</v>
      </c>
      <c r="Z142" s="13">
        <f ca="1">IF(הפחתה7[[#This Row],[תאריך]]="",0,הפחתה7[[#This Row],[ריבית]]+הפחתה7[[#This Row],[קרן]]+הפחתה7[[#This Row],[מדד]])</f>
        <v>679.96011787938539</v>
      </c>
      <c r="AA142" s="13">
        <f ca="1">IF(הפחתה7[[#This Row],[תאריך]]="",0,הפחתה7[[#This Row],[יתרת פתיחה]]-הפחתה7[[#This Row],[קרן]]+הפחתה7[[#This Row],[מדד]])</f>
        <v>76586.707756297197</v>
      </c>
      <c r="AB142" s="11">
        <f ca="1">IF(הפחתה7[[#This Row],[יתרת
סגירה]]&gt;0,LastRow3-ROW(),0)</f>
        <v>161</v>
      </c>
      <c r="AC142" s="17">
        <f>ROWS($AC$4:AC142)</f>
        <v>139</v>
      </c>
      <c r="AD142" s="18" t="str">
        <f ca="1">IF(ValuesEntered4,IF(הפחתה8[[#This Row],[מס'']]&lt;=תקופת_ההלוואה4,IF(ROW()-ROW(הפחתה8[[#Headers],[תאריך]])=1,LoanStart4,IF(AJ141&gt;0,EDATE(AD141,1),"")),""),"")</f>
        <v/>
      </c>
      <c r="AE142" s="19">
        <f ca="1">IF(ROW()-ROW(הפחתה8[[#Headers],[יתרת פתיחה]])=1,סכום_הלוואה4,IF(הפחתה8[[#This Row],[תאריך]]="",0,INDEX(הפחתה8[], ROW()-4,8)))</f>
        <v>0</v>
      </c>
      <c r="AF142" s="19">
        <f ca="1">IF(ValuesEntered4,IF(ROW()-ROW(הפחתה8[[#Headers],[ריבית]])=1,-IPMT(שיעור_ריבית4/12,1,תקופת_ההלוואה4-ROWS($C$4:AD142)+1,הפחתה8[[#This Row],[יתרת פתיחה]]),IFERROR(-IPMT(שיעור_ריבית4/12,1,הפחתה8[[#This Row],[תשלומים
שנותרו]],AE143),0)),0)</f>
        <v>0</v>
      </c>
      <c r="AG142" s="19" t="str">
        <f ca="1">IFERROR(IF(AND(ValuesEntered4,הפחתה8[[#This Row],[תאריך]]&lt;&gt;""),-PPMT(שיעור_ריבית4/12,1,תקופת_ההלוואה4-ROWS($C$4:AD142)+1,הפחתה8[[#This Row],[יתרת פתיחה]]),""),0)</f>
        <v/>
      </c>
      <c r="AH142" s="19">
        <f ca="1">(הפחתה8[[#This Row],[יתרת פתיחה]])*(מדד4/12)</f>
        <v>0</v>
      </c>
      <c r="AI142" s="19">
        <f ca="1">IF(הפחתה8[[#This Row],[תאריך]]="",0,הפחתה8[[#This Row],[ריבית]]+הפחתה8[[#This Row],[קרן]]+הפחתה8[[#This Row],[מדד]])</f>
        <v>0</v>
      </c>
      <c r="AJ142" s="19">
        <f ca="1">IF(הפחתה8[[#This Row],[תאריך]]="",0,הפחתה8[[#This Row],[יתרת פתיחה]]-הפחתה8[[#This Row],[קרן]])</f>
        <v>0</v>
      </c>
      <c r="AK142" s="20">
        <f ca="1">IF(הפחתה8[[#This Row],[יתרת
סגירה]]&gt;0,LastRow4-ROW(),0)</f>
        <v>0</v>
      </c>
    </row>
    <row r="143" spans="1:37" ht="15" customHeight="1" x14ac:dyDescent="0.25">
      <c r="A143" s="8"/>
      <c r="B143" s="11">
        <f>ROWS($B$4:B143)</f>
        <v>140</v>
      </c>
      <c r="C143" s="12">
        <f>IF(ValuesEntered,IF(הפחתה[[#This Row],[מס'']]&lt;=תקופת_ההלוואה,IF(ROW()-ROW(הפחתה[[#Headers],[תאריך]])=1,LoanStart,IF(I142&gt;0,EDATE(C142,1),"")),""),"")</f>
        <v>49614</v>
      </c>
      <c r="D143" s="13">
        <f>IF(ROW()-ROW(הפחתה[[#Headers],[יתרת פתיחה]])=1,סכום_הלוואה,IF(הפחתה[[#This Row],[תאריך]]="",0,INDEX(הפחתה[], ROW()-4,8)))</f>
        <v>469527.77682043664</v>
      </c>
      <c r="E143" s="13">
        <f>IF(ValuesEntered,IF(ROW()-ROW(הפחתה[[#Headers],[ריבית]])=1,-IPMT(שיעור_ריבית/12,1,תקופת_ההלוואה-ROWS($C$4:C143)+1,הפחתה[[#This Row],[יתרת פתיחה]]),IFERROR(-IPMT(שיעור_ריבית/12,1,הפחתה[[#This Row],[תשלומים
שנותרו]],D144),0)),0)</f>
        <v>2068.1911599259538</v>
      </c>
      <c r="F143" s="13">
        <f>IFERROR(IF(AND(ValuesEntered,הפחתה[[#This Row],[תאריך]]&lt;&gt;""),-PPMT(שיעור_ריבית/12,1,תקופת_ההלוואה-ROWS($C$4:C143)+1,הפחתה[[#This Row],[יתרת פתיחה]]),""),0)</f>
        <v>1258.0802334282907</v>
      </c>
      <c r="G143" s="13">
        <f>(הפחתה[[#This Row],[יתרת פתיחה]])*(מדד/12)</f>
        <v>0</v>
      </c>
      <c r="H143" s="13">
        <f>IF(הפחתה[[#This Row],[תאריך]]="",0,הפחתה[[#This Row],[ריבית]]+הפחתה[[#This Row],[קרן]]+הפחתה[[#This Row],[מדד]])</f>
        <v>3326.2713933542445</v>
      </c>
      <c r="I143" s="13">
        <f>IF(הפחתה[[#This Row],[תאריך]]="",0,הפחתה[[#This Row],[יתרת פתיחה]]-הפחתה[[#This Row],[קרן]]+הפחתה[[#This Row],[מדד]])</f>
        <v>468269.69658700837</v>
      </c>
      <c r="J143" s="11">
        <f>IF(הפחתה[[#This Row],[יתרת
סגירה]]&gt;0,LastRow-ROW(),0)</f>
        <v>220</v>
      </c>
      <c r="K143" s="11">
        <f>ROWS($K$4:K143)</f>
        <v>140</v>
      </c>
      <c r="L143" s="12">
        <f>IF(ValuesEntered2,IF(הפחתה5[[#This Row],[מס'']]&lt;=תקופת_ההלוואה2,IF(ROW()-ROW(הפחתה5[[#Headers],[תאריך]])=1,LoanStart2,IF(R142&gt;0,EDATE(L142,1),"")),""),"")</f>
        <v>49614</v>
      </c>
      <c r="M143" s="13">
        <f>IF(ROW()-ROW(הפחתה5[[#Headers],[יתרת פתיחה]])=1,סכום_הלוואה2,IF(הפחתה5[[#This Row],[תאריך]]="",0,INDEX(הפחתה5[], ROW()-4,8)))</f>
        <v>202932.11989850234</v>
      </c>
      <c r="N143" s="13">
        <f>IF(ValuesEntered2,IF(ROW()-ROW(הפחתה5[[#Headers],[ריבית]])=1,-IPMT(שיעור_ריבית2/12,1,תקופת_ההלוואה2-ROWS($L$4:L143)+1,הפחתה5[[#This Row],[יתרת פתיחה]]),IFERROR(-IPMT(שיעור_ריבית2/12,1,הפחתה5[[#This Row],[תשלומים
שנותרו]],M144),0)),0)</f>
        <v>791.26537273560723</v>
      </c>
      <c r="O143" s="13">
        <f>IFERROR(IF(AND(ValuesEntered2,הפחתה5[[#This Row],[תאריך]]&lt;&gt;""),-PPMT(שיעור_ריבית2/12,1,תקופת_ההלוואה2-ROWS($L$4:L143)+1,הפחתה5[[#This Row],[יתרת פתיחה]]),""),0)</f>
        <v>906.91834898559125</v>
      </c>
      <c r="P143" s="13">
        <f>(הפחתה5[[#This Row],[יתרת פתיחה]])*(מדד2/12)</f>
        <v>0</v>
      </c>
      <c r="Q143" s="13">
        <f>IF(הפחתה5[[#This Row],[תאריך]]="",0,הפחתה5[[#This Row],[ריבית]]+הפחתה5[[#This Row],[קרן]]+הפחתה5[[#This Row],[מדד]])</f>
        <v>1698.1837217211985</v>
      </c>
      <c r="R143" s="13">
        <f>IF(הפחתה5[[#This Row],[תאריך]]="",0,הפחתה5[[#This Row],[יתרת פתיחה]]-הפחתה5[[#This Row],[קרן]]+הפחתה5[[#This Row],[מדד]])</f>
        <v>202025.20154951676</v>
      </c>
      <c r="S143" s="11">
        <f>IF(הפחתה5[[#This Row],[יתרת
סגירה]]&gt;0,LastRow2-ROW(),0)</f>
        <v>160</v>
      </c>
      <c r="T143" s="11">
        <f>ROWS($T$4:T143)</f>
        <v>140</v>
      </c>
      <c r="U143" s="12">
        <f ca="1">IF(ValuesEntered3,IF(הפחתה7[[#This Row],[מס'']]&lt;=תקופת_ההלוואה3,IF(ROW()-ROW(הפחתה7[[#Headers],[תאריך]])=1,LoanStart3,IF(AA142&gt;0,EDATE(U142,1),"")),""),"")</f>
        <v>49851</v>
      </c>
      <c r="V143" s="13">
        <f ca="1">IF(ROW()-ROW(הפחתה7[[#Headers],[יתרת פתיחה]])=1,סכום_הלוואה3,IF(הפחתה7[[#This Row],[תאריך]]="",0,INDEX(הפחתה7[], ROW()-4,8)))</f>
        <v>76586.707756297197</v>
      </c>
      <c r="W143" s="13">
        <f ca="1">IF(ValuesEntered3,IF(ROW()-ROW(הפחתה7[[#Headers],[ריבית]])=1,-IPMT(שיעור_ריבית3/12,1,תקופת_ההלוואה3-ROWS($C$4:U143)+1,הפחתה7[[#This Row],[יתרת פתיחה]]),IFERROR(-IPMT(שיעור_ריבית3/12,1,הפחתה7[[#This Row],[תשלומים
שנותרו]],V144),0)),0)</f>
        <v>146.25668010099989</v>
      </c>
      <c r="X143" s="13">
        <f ca="1">IFERROR(IF(AND(ValuesEntered3,הפחתה7[[#This Row],[תאריך]]&lt;&gt;""),-PPMT(שיעור_ריבית3/12,1,תקופת_ההלוואה3-ROWS($C$4:U143)+1,הפחתה7[[#This Row],[יתרת פתיחה]]),""),0)</f>
        <v>406.51917305050262</v>
      </c>
      <c r="Y143" s="13">
        <f ca="1">(הפחתה7[[#This Row],[יתרת פתיחה]])*(מדד3/12)</f>
        <v>127.644512927162</v>
      </c>
      <c r="Z143" s="13">
        <f ca="1">IF(הפחתה7[[#This Row],[תאריך]]="",0,הפחתה7[[#This Row],[ריבית]]+הפחתה7[[#This Row],[קרן]]+הפחתה7[[#This Row],[מדד]])</f>
        <v>680.42036607866453</v>
      </c>
      <c r="AA143" s="13">
        <f ca="1">IF(הפחתה7[[#This Row],[תאריך]]="",0,הפחתה7[[#This Row],[יתרת פתיחה]]-הפחתה7[[#This Row],[קרן]]+הפחתה7[[#This Row],[מדד]])</f>
        <v>76307.833096173854</v>
      </c>
      <c r="AB143" s="11">
        <f ca="1">IF(הפחתה7[[#This Row],[יתרת
סגירה]]&gt;0,LastRow3-ROW(),0)</f>
        <v>160</v>
      </c>
      <c r="AC143" s="17">
        <f>ROWS($AC$4:AC143)</f>
        <v>140</v>
      </c>
      <c r="AD143" s="18" t="str">
        <f ca="1">IF(ValuesEntered4,IF(הפחתה8[[#This Row],[מס'']]&lt;=תקופת_ההלוואה4,IF(ROW()-ROW(הפחתה8[[#Headers],[תאריך]])=1,LoanStart4,IF(AJ142&gt;0,EDATE(AD142,1),"")),""),"")</f>
        <v/>
      </c>
      <c r="AE143" s="19">
        <f ca="1">IF(ROW()-ROW(הפחתה8[[#Headers],[יתרת פתיחה]])=1,סכום_הלוואה4,IF(הפחתה8[[#This Row],[תאריך]]="",0,INDEX(הפחתה8[], ROW()-4,8)))</f>
        <v>0</v>
      </c>
      <c r="AF143" s="19">
        <f ca="1">IF(ValuesEntered4,IF(ROW()-ROW(הפחתה8[[#Headers],[ריבית]])=1,-IPMT(שיעור_ריבית4/12,1,תקופת_ההלוואה4-ROWS($C$4:AD143)+1,הפחתה8[[#This Row],[יתרת פתיחה]]),IFERROR(-IPMT(שיעור_ריבית4/12,1,הפחתה8[[#This Row],[תשלומים
שנותרו]],AE144),0)),0)</f>
        <v>0</v>
      </c>
      <c r="AG143" s="19" t="str">
        <f ca="1">IFERROR(IF(AND(ValuesEntered4,הפחתה8[[#This Row],[תאריך]]&lt;&gt;""),-PPMT(שיעור_ריבית4/12,1,תקופת_ההלוואה4-ROWS($C$4:AD143)+1,הפחתה8[[#This Row],[יתרת פתיחה]]),""),0)</f>
        <v/>
      </c>
      <c r="AH143" s="19">
        <f ca="1">(הפחתה8[[#This Row],[יתרת פתיחה]])*(מדד4/12)</f>
        <v>0</v>
      </c>
      <c r="AI143" s="19">
        <f ca="1">IF(הפחתה8[[#This Row],[תאריך]]="",0,הפחתה8[[#This Row],[ריבית]]+הפחתה8[[#This Row],[קרן]]+הפחתה8[[#This Row],[מדד]])</f>
        <v>0</v>
      </c>
      <c r="AJ143" s="19">
        <f ca="1">IF(הפחתה8[[#This Row],[תאריך]]="",0,הפחתה8[[#This Row],[יתרת פתיחה]]-הפחתה8[[#This Row],[קרן]])</f>
        <v>0</v>
      </c>
      <c r="AK143" s="20">
        <f ca="1">IF(הפחתה8[[#This Row],[יתרת
סגירה]]&gt;0,LastRow4-ROW(),0)</f>
        <v>0</v>
      </c>
    </row>
    <row r="144" spans="1:37" ht="15" customHeight="1" x14ac:dyDescent="0.25">
      <c r="A144" s="8"/>
      <c r="B144" s="11">
        <f>ROWS($B$4:B144)</f>
        <v>141</v>
      </c>
      <c r="C144" s="12">
        <f>IF(ValuesEntered,IF(הפחתה[[#This Row],[מס'']]&lt;=תקופת_ההלוואה,IF(ROW()-ROW(הפחתה[[#Headers],[תאריך]])=1,LoanStart,IF(I143&gt;0,EDATE(C143,1),"")),""),"")</f>
        <v>49644</v>
      </c>
      <c r="D144" s="13">
        <f>IF(ROW()-ROW(הפחתה[[#Headers],[יתרת פתיחה]])=1,סכום_הלוואה,IF(הפחתה[[#This Row],[תאריך]]="",0,INDEX(הפחתה[], ROW()-4,8)))</f>
        <v>468269.69658700837</v>
      </c>
      <c r="E144" s="13">
        <f>IF(ValuesEntered,IF(ROW()-ROW(הפחתה[[#Headers],[ריבית]])=1,-IPMT(שיעור_ריבית/12,1,תקופת_ההלוואה-ROWS($C$4:C144)+1,הפחתה[[#This Row],[יתרת פתיחה]]),IFERROR(-IPMT(שיעור_ריבית/12,1,הפחתה[[#This Row],[תשלומים
שנותרו]],D145),0)),0)</f>
        <v>2062.6100975937584</v>
      </c>
      <c r="F144" s="13">
        <f>IFERROR(IF(AND(ValuesEntered,הפחתה[[#This Row],[תאריך]]&lt;&gt;""),-PPMT(שיעור_ריבית/12,1,תקופת_ההלוואה-ROWS($C$4:C144)+1,הפחתה[[#This Row],[יתרת פתיחה]]),""),0)</f>
        <v>1263.6367544592658</v>
      </c>
      <c r="G144" s="13">
        <f>(הפחתה[[#This Row],[יתרת פתיחה]])*(מדד/12)</f>
        <v>0</v>
      </c>
      <c r="H144" s="13">
        <f>IF(הפחתה[[#This Row],[תאריך]]="",0,הפחתה[[#This Row],[ריבית]]+הפחתה[[#This Row],[קרן]]+הפחתה[[#This Row],[מדד]])</f>
        <v>3326.2468520530242</v>
      </c>
      <c r="I144" s="13">
        <f>IF(הפחתה[[#This Row],[תאריך]]="",0,הפחתה[[#This Row],[יתרת פתיחה]]-הפחתה[[#This Row],[קרן]]+הפחתה[[#This Row],[מדד]])</f>
        <v>467006.05983254907</v>
      </c>
      <c r="J144" s="11">
        <f>IF(הפחתה[[#This Row],[יתרת
סגירה]]&gt;0,LastRow-ROW(),0)</f>
        <v>219</v>
      </c>
      <c r="K144" s="11">
        <f>ROWS($K$4:K144)</f>
        <v>141</v>
      </c>
      <c r="L144" s="12">
        <f>IF(ValuesEntered2,IF(הפחתה5[[#This Row],[מס'']]&lt;=תקופת_ההלוואה2,IF(ROW()-ROW(הפחתה5[[#Headers],[תאריך]])=1,LoanStart2,IF(R143&gt;0,EDATE(L143,1),"")),""),"")</f>
        <v>49644</v>
      </c>
      <c r="M144" s="13">
        <f>IF(ROW()-ROW(הפחתה5[[#Headers],[יתרת פתיחה]])=1,סכום_הלוואה2,IF(הפחתה5[[#This Row],[תאריך]]="",0,INDEX(הפחתה5[], ROW()-4,8)))</f>
        <v>202025.20154951676</v>
      </c>
      <c r="N144" s="13">
        <f>IF(ValuesEntered2,IF(ROW()-ROW(הפחתה5[[#Headers],[ריבית]])=1,-IPMT(שיעור_ריבית2/12,1,תקופת_ההלוואה2-ROWS($L$4:L144)+1,הפחתה5[[#This Row],[יתרת פתיחה]]),IFERROR(-IPMT(שיעור_ריבית2/12,1,הפחתה5[[#This Row],[תשלומים
שנותרו]],M145),0)),0)</f>
        <v>787.69936348935175</v>
      </c>
      <c r="O144" s="13">
        <f>IFERROR(IF(AND(ValuesEntered2,הפחתה5[[#This Row],[תאריך]]&lt;&gt;""),-PPMT(שיעור_ריבית2/12,1,תקופת_ההלוואה2-ROWS($L$4:L144)+1,הפחתה5[[#This Row],[יתרת פתיחה]]),""),0)</f>
        <v>910.4704458524518</v>
      </c>
      <c r="P144" s="13">
        <f>(הפחתה5[[#This Row],[יתרת פתיחה]])*(מדד2/12)</f>
        <v>0</v>
      </c>
      <c r="Q144" s="13">
        <f>IF(הפחתה5[[#This Row],[תאריך]]="",0,הפחתה5[[#This Row],[ריבית]]+הפחתה5[[#This Row],[קרן]]+הפחתה5[[#This Row],[מדד]])</f>
        <v>1698.1698093418036</v>
      </c>
      <c r="R144" s="13">
        <f>IF(הפחתה5[[#This Row],[תאריך]]="",0,הפחתה5[[#This Row],[יתרת פתיחה]]-הפחתה5[[#This Row],[קרן]]+הפחתה5[[#This Row],[מדד]])</f>
        <v>201114.73110366429</v>
      </c>
      <c r="S144" s="11">
        <f>IF(הפחתה5[[#This Row],[יתרת
סגירה]]&gt;0,LastRow2-ROW(),0)</f>
        <v>159</v>
      </c>
      <c r="T144" s="11">
        <f>ROWS($T$4:T144)</f>
        <v>141</v>
      </c>
      <c r="U144" s="12">
        <f ca="1">IF(ValuesEntered3,IF(הפחתה7[[#This Row],[מס'']]&lt;=תקופת_ההלוואה3,IF(ROW()-ROW(הפחתה7[[#Headers],[תאריך]])=1,LoanStart3,IF(AA143&gt;0,EDATE(U143,1),"")),""),"")</f>
        <v>49881</v>
      </c>
      <c r="V144" s="13">
        <f ca="1">IF(ROW()-ROW(הפחתה7[[#Headers],[יתרת פתיחה]])=1,סכום_הלוואה3,IF(הפחתה7[[#This Row],[תאריך]]="",0,INDEX(הפחתה7[], ROW()-4,8)))</f>
        <v>76307.833096173854</v>
      </c>
      <c r="W144" s="13">
        <f ca="1">IF(ValuesEntered3,IF(ROW()-ROW(הפחתה7[[#Headers],[ריבית]])=1,-IPMT(שיעור_ריבית3/12,1,תקופת_ההלוואה3-ROWS($C$4:U144)+1,הפחתה7[[#This Row],[יתרת פתיחה]]),IFERROR(-IPMT(שיעור_ריבית3/12,1,הפחתה7[[#This Row],[תשלומים
שנותרו]],V145),0)),0)</f>
        <v>145.71847805790415</v>
      </c>
      <c r="X144" s="13">
        <f ca="1">IFERROR(IF(AND(ValuesEntered3,הפחתה7[[#This Row],[תאריך]]&lt;&gt;""),-PPMT(שיעור_ריבית3/12,1,תקופת_ההלוואה3-ROWS($C$4:U144)+1,הפחתה7[[#This Row],[יתרת פתיחה]]),""),0)</f>
        <v>407.98078778995244</v>
      </c>
      <c r="Y144" s="13">
        <f ca="1">(הפחתה7[[#This Row],[יתרת פתיחה]])*(מדד3/12)</f>
        <v>127.17972182695644</v>
      </c>
      <c r="Z144" s="13">
        <f ca="1">IF(הפחתה7[[#This Row],[תאריך]]="",0,הפחתה7[[#This Row],[ריבית]]+הפחתה7[[#This Row],[קרן]]+הפחתה7[[#This Row],[מדד]])</f>
        <v>680.87898767481306</v>
      </c>
      <c r="AA144" s="13">
        <f ca="1">IF(הפחתה7[[#This Row],[תאריך]]="",0,הפחתה7[[#This Row],[יתרת פתיחה]]-הפחתה7[[#This Row],[קרן]]+הפחתה7[[#This Row],[מדד]])</f>
        <v>76027.032030210845</v>
      </c>
      <c r="AB144" s="11">
        <f ca="1">IF(הפחתה7[[#This Row],[יתרת
סגירה]]&gt;0,LastRow3-ROW(),0)</f>
        <v>159</v>
      </c>
      <c r="AC144" s="17">
        <f>ROWS($AC$4:AC144)</f>
        <v>141</v>
      </c>
      <c r="AD144" s="18" t="str">
        <f ca="1">IF(ValuesEntered4,IF(הפחתה8[[#This Row],[מס'']]&lt;=תקופת_ההלוואה4,IF(ROW()-ROW(הפחתה8[[#Headers],[תאריך]])=1,LoanStart4,IF(AJ143&gt;0,EDATE(AD143,1),"")),""),"")</f>
        <v/>
      </c>
      <c r="AE144" s="19">
        <f ca="1">IF(ROW()-ROW(הפחתה8[[#Headers],[יתרת פתיחה]])=1,סכום_הלוואה4,IF(הפחתה8[[#This Row],[תאריך]]="",0,INDEX(הפחתה8[], ROW()-4,8)))</f>
        <v>0</v>
      </c>
      <c r="AF144" s="19">
        <f ca="1">IF(ValuesEntered4,IF(ROW()-ROW(הפחתה8[[#Headers],[ריבית]])=1,-IPMT(שיעור_ריבית4/12,1,תקופת_ההלוואה4-ROWS($C$4:AD144)+1,הפחתה8[[#This Row],[יתרת פתיחה]]),IFERROR(-IPMT(שיעור_ריבית4/12,1,הפחתה8[[#This Row],[תשלומים
שנותרו]],AE145),0)),0)</f>
        <v>0</v>
      </c>
      <c r="AG144" s="19" t="str">
        <f ca="1">IFERROR(IF(AND(ValuesEntered4,הפחתה8[[#This Row],[תאריך]]&lt;&gt;""),-PPMT(שיעור_ריבית4/12,1,תקופת_ההלוואה4-ROWS($C$4:AD144)+1,הפחתה8[[#This Row],[יתרת פתיחה]]),""),0)</f>
        <v/>
      </c>
      <c r="AH144" s="19">
        <f ca="1">(הפחתה8[[#This Row],[יתרת פתיחה]])*(מדד4/12)</f>
        <v>0</v>
      </c>
      <c r="AI144" s="19">
        <f ca="1">IF(הפחתה8[[#This Row],[תאריך]]="",0,הפחתה8[[#This Row],[ריבית]]+הפחתה8[[#This Row],[קרן]]+הפחתה8[[#This Row],[מדד]])</f>
        <v>0</v>
      </c>
      <c r="AJ144" s="19">
        <f ca="1">IF(הפחתה8[[#This Row],[תאריך]]="",0,הפחתה8[[#This Row],[יתרת פתיחה]]-הפחתה8[[#This Row],[קרן]])</f>
        <v>0</v>
      </c>
      <c r="AK144" s="20">
        <f ca="1">IF(הפחתה8[[#This Row],[יתרת
סגירה]]&gt;0,LastRow4-ROW(),0)</f>
        <v>0</v>
      </c>
    </row>
    <row r="145" spans="1:37" ht="15" customHeight="1" x14ac:dyDescent="0.25">
      <c r="A145" s="8"/>
      <c r="B145" s="11">
        <f>ROWS($B$4:B145)</f>
        <v>142</v>
      </c>
      <c r="C145" s="12">
        <f>IF(ValuesEntered,IF(הפחתה[[#This Row],[מס'']]&lt;=תקופת_ההלוואה,IF(ROW()-ROW(הפחתה[[#Headers],[תאריך]])=1,LoanStart,IF(I144&gt;0,EDATE(C144,1),"")),""),"")</f>
        <v>49675</v>
      </c>
      <c r="D145" s="13">
        <f>IF(ROW()-ROW(הפחתה[[#Headers],[יתרת פתיחה]])=1,סכום_הלוואה,IF(הפחתה[[#This Row],[תאריך]]="",0,INDEX(הפחתה[], ROW()-4,8)))</f>
        <v>467006.05983254907</v>
      </c>
      <c r="E145" s="13">
        <f>IF(ValuesEntered,IF(ROW()-ROW(הפחתה[[#Headers],[ריבית]])=1,-IPMT(שיעור_ריבית/12,1,תקופת_ההלוואה-ROWS($C$4:C145)+1,הפחתה[[#This Row],[יתרת פתיחה]]),IFERROR(-IPMT(שיעור_ריבית/12,1,הפחתה[[#This Row],[תשלומים
שנותרו]],D146),0)),0)</f>
        <v>2057.0043855695963</v>
      </c>
      <c r="F145" s="13">
        <f>IFERROR(IF(AND(ValuesEntered,הפחתה[[#This Row],[תאריך]]&lt;&gt;""),-PPMT(שיעור_ריבית/12,1,תקופת_ההלוואה-ROWS($C$4:C145)+1,הפחתה[[#This Row],[יתרת פתיחה]]),""),0)</f>
        <v>1269.2178167914608</v>
      </c>
      <c r="G145" s="13">
        <f>(הפחתה[[#This Row],[יתרת פתיחה]])*(מדד/12)</f>
        <v>0</v>
      </c>
      <c r="H145" s="13">
        <f>IF(הפחתה[[#This Row],[תאריך]]="",0,הפחתה[[#This Row],[ריבית]]+הפחתה[[#This Row],[קרן]]+הפחתה[[#This Row],[מדד]])</f>
        <v>3326.222202361057</v>
      </c>
      <c r="I145" s="13">
        <f>IF(הפחתה[[#This Row],[תאריך]]="",0,הפחתה[[#This Row],[יתרת פתיחה]]-הפחתה[[#This Row],[קרן]]+הפחתה[[#This Row],[מדד]])</f>
        <v>465736.84201575763</v>
      </c>
      <c r="J145" s="11">
        <f>IF(הפחתה[[#This Row],[יתרת
סגירה]]&gt;0,LastRow-ROW(),0)</f>
        <v>218</v>
      </c>
      <c r="K145" s="11">
        <f>ROWS($K$4:K145)</f>
        <v>142</v>
      </c>
      <c r="L145" s="12">
        <f>IF(ValuesEntered2,IF(הפחתה5[[#This Row],[מס'']]&lt;=תקופת_ההלוואה2,IF(ROW()-ROW(הפחתה5[[#Headers],[תאריך]])=1,LoanStart2,IF(R144&gt;0,EDATE(L144,1),"")),""),"")</f>
        <v>49675</v>
      </c>
      <c r="M145" s="13">
        <f>IF(ROW()-ROW(הפחתה5[[#Headers],[יתרת פתיחה]])=1,סכום_הלוואה2,IF(הפחתה5[[#This Row],[תאריך]]="",0,INDEX(הפחתה5[], ROW()-4,8)))</f>
        <v>201114.73110366429</v>
      </c>
      <c r="N145" s="13">
        <f>IF(ValuesEntered2,IF(ROW()-ROW(הפחתה5[[#Headers],[ריבית]])=1,-IPMT(שיעור_ריבית2/12,1,תקופת_ההלוואה2-ROWS($L$4:L145)+1,הפחתה5[[#This Row],[יתרת פתיחה]]),IFERROR(-IPMT(שיעור_ריבית2/12,1,הפחתה5[[#This Row],[תשלומים
שנותרו]],M146),0)),0)</f>
        <v>784.11938737354842</v>
      </c>
      <c r="O145" s="13">
        <f>IFERROR(IF(AND(ValuesEntered2,הפחתה5[[#This Row],[תאריך]]&lt;&gt;""),-PPMT(שיעור_ריבית2/12,1,תקופת_ההלוואה2-ROWS($L$4:L145)+1,הפחתה5[[#This Row],[יתרת פתיחה]]),""),0)</f>
        <v>914.03645509870705</v>
      </c>
      <c r="P145" s="13">
        <f>(הפחתה5[[#This Row],[יתרת פתיחה]])*(מדד2/12)</f>
        <v>0</v>
      </c>
      <c r="Q145" s="13">
        <f>IF(הפחתה5[[#This Row],[תאריך]]="",0,הפחתה5[[#This Row],[ריבית]]+הפחתה5[[#This Row],[קרן]]+הפחתה5[[#This Row],[מדד]])</f>
        <v>1698.1558424722555</v>
      </c>
      <c r="R145" s="13">
        <f>IF(הפחתה5[[#This Row],[תאריך]]="",0,הפחתה5[[#This Row],[יתרת פתיחה]]-הפחתה5[[#This Row],[קרן]]+הפחתה5[[#This Row],[מדד]])</f>
        <v>200200.69464856558</v>
      </c>
      <c r="S145" s="11">
        <f>IF(הפחתה5[[#This Row],[יתרת
סגירה]]&gt;0,LastRow2-ROW(),0)</f>
        <v>158</v>
      </c>
      <c r="T145" s="11">
        <f>ROWS($T$4:T145)</f>
        <v>142</v>
      </c>
      <c r="U145" s="12">
        <f ca="1">IF(ValuesEntered3,IF(הפחתה7[[#This Row],[מס'']]&lt;=תקופת_ההלוואה3,IF(ROW()-ROW(הפחתה7[[#Headers],[תאריך]])=1,LoanStart3,IF(AA144&gt;0,EDATE(U144,1),"")),""),"")</f>
        <v>49912</v>
      </c>
      <c r="V145" s="13">
        <f ca="1">IF(ROW()-ROW(הפחתה7[[#Headers],[יתרת פתיחה]])=1,סכום_הלוואה3,IF(הפחתה7[[#This Row],[תאריך]]="",0,INDEX(הפחתה7[], ROW()-4,8)))</f>
        <v>76027.032030210845</v>
      </c>
      <c r="W145" s="13">
        <f ca="1">IF(ValuesEntered3,IF(ROW()-ROW(הפחתה7[[#Headers],[ריבית]])=1,-IPMT(שיעור_ריבית3/12,1,תקופת_ההלוואה3-ROWS($C$4:U145)+1,הפחתה7[[#This Row],[יתרת פתיחה]]),IFERROR(-IPMT(שיעור_ריבית3/12,1,הפחתה7[[#This Row],[תשלומים
שנותרו]],V146),0)),0)</f>
        <v>145.17656745990769</v>
      </c>
      <c r="X145" s="13">
        <f ca="1">IFERROR(IF(AND(ValuesEntered3,הפחתה7[[#This Row],[תאריך]]&lt;&gt;""),-PPMT(שיעור_ריבית3/12,1,תקופת_ההלוואה3-ROWS($C$4:U145)+1,הפחתה7[[#This Row],[יתרת פתיחה]]),""),0)</f>
        <v>409.44768422241333</v>
      </c>
      <c r="Y145" s="13">
        <f ca="1">(הפחתה7[[#This Row],[יתרת פתיחה]])*(מדד3/12)</f>
        <v>126.71172005035142</v>
      </c>
      <c r="Z145" s="13">
        <f ca="1">IF(הפחתה7[[#This Row],[תאריך]]="",0,הפחתה7[[#This Row],[ריבית]]+הפחתה7[[#This Row],[קרן]]+הפחתה7[[#This Row],[מדד]])</f>
        <v>681.33597173267253</v>
      </c>
      <c r="AA145" s="13">
        <f ca="1">IF(הפחתה7[[#This Row],[תאריך]]="",0,הפחתה7[[#This Row],[יתרת פתיחה]]-הפחתה7[[#This Row],[קרן]]+הפחתה7[[#This Row],[מדד]])</f>
        <v>75744.296066038791</v>
      </c>
      <c r="AB145" s="11">
        <f ca="1">IF(הפחתה7[[#This Row],[יתרת
סגירה]]&gt;0,LastRow3-ROW(),0)</f>
        <v>158</v>
      </c>
      <c r="AC145" s="17">
        <f>ROWS($AC$4:AC145)</f>
        <v>142</v>
      </c>
      <c r="AD145" s="18" t="str">
        <f ca="1">IF(ValuesEntered4,IF(הפחתה8[[#This Row],[מס'']]&lt;=תקופת_ההלוואה4,IF(ROW()-ROW(הפחתה8[[#Headers],[תאריך]])=1,LoanStart4,IF(AJ144&gt;0,EDATE(AD144,1),"")),""),"")</f>
        <v/>
      </c>
      <c r="AE145" s="19">
        <f ca="1">IF(ROW()-ROW(הפחתה8[[#Headers],[יתרת פתיחה]])=1,סכום_הלוואה4,IF(הפחתה8[[#This Row],[תאריך]]="",0,INDEX(הפחתה8[], ROW()-4,8)))</f>
        <v>0</v>
      </c>
      <c r="AF145" s="19">
        <f ca="1">IF(ValuesEntered4,IF(ROW()-ROW(הפחתה8[[#Headers],[ריבית]])=1,-IPMT(שיעור_ריבית4/12,1,תקופת_ההלוואה4-ROWS($C$4:AD145)+1,הפחתה8[[#This Row],[יתרת פתיחה]]),IFERROR(-IPMT(שיעור_ריבית4/12,1,הפחתה8[[#This Row],[תשלומים
שנותרו]],AE146),0)),0)</f>
        <v>0</v>
      </c>
      <c r="AG145" s="19" t="str">
        <f ca="1">IFERROR(IF(AND(ValuesEntered4,הפחתה8[[#This Row],[תאריך]]&lt;&gt;""),-PPMT(שיעור_ריבית4/12,1,תקופת_ההלוואה4-ROWS($C$4:AD145)+1,הפחתה8[[#This Row],[יתרת פתיחה]]),""),0)</f>
        <v/>
      </c>
      <c r="AH145" s="19">
        <f ca="1">(הפחתה8[[#This Row],[יתרת פתיחה]])*(מדד4/12)</f>
        <v>0</v>
      </c>
      <c r="AI145" s="19">
        <f ca="1">IF(הפחתה8[[#This Row],[תאריך]]="",0,הפחתה8[[#This Row],[ריבית]]+הפחתה8[[#This Row],[קרן]]+הפחתה8[[#This Row],[מדד]])</f>
        <v>0</v>
      </c>
      <c r="AJ145" s="19">
        <f ca="1">IF(הפחתה8[[#This Row],[תאריך]]="",0,הפחתה8[[#This Row],[יתרת פתיחה]]-הפחתה8[[#This Row],[קרן]])</f>
        <v>0</v>
      </c>
      <c r="AK145" s="20">
        <f ca="1">IF(הפחתה8[[#This Row],[יתרת
סגירה]]&gt;0,LastRow4-ROW(),0)</f>
        <v>0</v>
      </c>
    </row>
    <row r="146" spans="1:37" ht="15" customHeight="1" x14ac:dyDescent="0.25">
      <c r="A146" s="8"/>
      <c r="B146" s="11">
        <f>ROWS($B$4:B146)</f>
        <v>143</v>
      </c>
      <c r="C146" s="12">
        <f>IF(ValuesEntered,IF(הפחתה[[#This Row],[מס'']]&lt;=תקופת_ההלוואה,IF(ROW()-ROW(הפחתה[[#Headers],[תאריך]])=1,LoanStart,IF(I145&gt;0,EDATE(C145,1),"")),""),"")</f>
        <v>49706</v>
      </c>
      <c r="D146" s="13">
        <f>IF(ROW()-ROW(הפחתה[[#Headers],[יתרת פתיחה]])=1,סכום_הלוואה,IF(הפחתה[[#This Row],[תאריך]]="",0,INDEX(הפחתה[], ROW()-4,8)))</f>
        <v>465736.84201575763</v>
      </c>
      <c r="E146" s="13">
        <f>IF(ValuesEntered,IF(ROW()-ROW(הפחתה[[#Headers],[ריבית]])=1,-IPMT(שיעור_ריבית/12,1,תקופת_ההלוואה-ROWS($C$4:C146)+1,הפחתה[[#This Row],[יתרת פתיחה]]),IFERROR(-IPMT(שיעור_ריבית/12,1,הפחתה[[#This Row],[תשלומים
שנותרו]],D147),0)),0)</f>
        <v>2051.3739149839939</v>
      </c>
      <c r="F146" s="13">
        <f>IFERROR(IF(AND(ValuesEntered,הפחתה[[#This Row],[תאריך]]&lt;&gt;""),-PPMT(שיעור_ריבית/12,1,תקופת_ההלוואה-ROWS($C$4:C146)+1,הפחתה[[#This Row],[יתרת פתיחה]]),""),0)</f>
        <v>1274.8235288156229</v>
      </c>
      <c r="G146" s="13">
        <f>(הפחתה[[#This Row],[יתרת פתיחה]])*(מדד/12)</f>
        <v>0</v>
      </c>
      <c r="H146" s="13">
        <f>IF(הפחתה[[#This Row],[תאריך]]="",0,הפחתה[[#This Row],[ריבית]]+הפחתה[[#This Row],[קרן]]+הפחתה[[#This Row],[מדד]])</f>
        <v>3326.1974437996168</v>
      </c>
      <c r="I146" s="13">
        <f>IF(הפחתה[[#This Row],[תאריך]]="",0,הפחתה[[#This Row],[יתרת פתיחה]]-הפחתה[[#This Row],[קרן]]+הפחתה[[#This Row],[מדד]])</f>
        <v>464462.01848694199</v>
      </c>
      <c r="J146" s="11">
        <f>IF(הפחתה[[#This Row],[יתרת
סגירה]]&gt;0,LastRow-ROW(),0)</f>
        <v>217</v>
      </c>
      <c r="K146" s="11">
        <f>ROWS($K$4:K146)</f>
        <v>143</v>
      </c>
      <c r="L146" s="12">
        <f>IF(ValuesEntered2,IF(הפחתה5[[#This Row],[מס'']]&lt;=תקופת_ההלוואה2,IF(ROW()-ROW(הפחתה5[[#Headers],[תאריך]])=1,LoanStart2,IF(R145&gt;0,EDATE(L145,1),"")),""),"")</f>
        <v>49706</v>
      </c>
      <c r="M146" s="13">
        <f>IF(ROW()-ROW(הפחתה5[[#Headers],[יתרת פתיחה]])=1,סכום_הלוואה2,IF(הפחתה5[[#This Row],[תאריך]]="",0,INDEX(הפחתה5[], ROW()-4,8)))</f>
        <v>200200.69464856558</v>
      </c>
      <c r="N146" s="13">
        <f>IF(ValuesEntered2,IF(ROW()-ROW(הפחתה5[[#Headers],[ריבית]])=1,-IPMT(שיעור_ריבית2/12,1,תקופת_ההלוואה2-ROWS($L$4:L146)+1,הפחתה5[[#This Row],[יתרת פתיחה]]),IFERROR(-IPMT(שיעור_ריבית2/12,1,הפחתה5[[#This Row],[תשלומים
שנותרו]],M147),0)),0)</f>
        <v>780.525389684625</v>
      </c>
      <c r="O146" s="13">
        <f>IFERROR(IF(AND(ValuesEntered2,הפחתה5[[#This Row],[תאריך]]&lt;&gt;""),-PPMT(שיעור_ריבית2/12,1,תקופת_ההלוואה2-ROWS($L$4:L146)+1,הפחתה5[[#This Row],[יתרת פתיחה]]),""),0)</f>
        <v>917.61643121451027</v>
      </c>
      <c r="P146" s="13">
        <f>(הפחתה5[[#This Row],[יתרת פתיחה]])*(מדד2/12)</f>
        <v>0</v>
      </c>
      <c r="Q146" s="13">
        <f>IF(הפחתה5[[#This Row],[תאריך]]="",0,הפחתה5[[#This Row],[ריבית]]+הפחתה5[[#This Row],[קרן]]+הפחתה5[[#This Row],[מדד]])</f>
        <v>1698.1418208991354</v>
      </c>
      <c r="R146" s="13">
        <f>IF(הפחתה5[[#This Row],[תאריך]]="",0,הפחתה5[[#This Row],[יתרת פתיחה]]-הפחתה5[[#This Row],[קרן]]+הפחתה5[[#This Row],[מדד]])</f>
        <v>199283.07821735108</v>
      </c>
      <c r="S146" s="11">
        <f>IF(הפחתה5[[#This Row],[יתרת
סגירה]]&gt;0,LastRow2-ROW(),0)</f>
        <v>157</v>
      </c>
      <c r="T146" s="11">
        <f>ROWS($T$4:T146)</f>
        <v>143</v>
      </c>
      <c r="U146" s="12">
        <f ca="1">IF(ValuesEntered3,IF(הפחתה7[[#This Row],[מס'']]&lt;=תקופת_ההלוואה3,IF(ROW()-ROW(הפחתה7[[#Headers],[תאריך]])=1,LoanStart3,IF(AA145&gt;0,EDATE(U145,1),"")),""),"")</f>
        <v>49943</v>
      </c>
      <c r="V146" s="13">
        <f ca="1">IF(ROW()-ROW(הפחתה7[[#Headers],[יתרת פתיחה]])=1,סכום_הלוואה3,IF(הפחתה7[[#This Row],[תאריך]]="",0,INDEX(הפחתה7[], ROW()-4,8)))</f>
        <v>75744.296066038791</v>
      </c>
      <c r="W146" s="13">
        <f ca="1">IF(ValuesEntered3,IF(ROW()-ROW(הפחתה7[[#Headers],[ריבית]])=1,-IPMT(שיעור_ריבית3/12,1,תקופת_ההלוואה3-ROWS($C$4:U146)+1,הפחתה7[[#This Row],[יתרת פתיחה]]),IFERROR(-IPMT(שיעור_ריבית3/12,1,הפחתה7[[#This Row],[תשלומים
שנותרו]],V147),0)),0)</f>
        <v>144.63093196542593</v>
      </c>
      <c r="X146" s="13">
        <f ca="1">IFERROR(IF(AND(ValuesEntered3,הפחתה7[[#This Row],[תאריך]]&lt;&gt;""),-PPMT(שיעור_ריבית3/12,1,תקופת_ההלוואה3-ROWS($C$4:U146)+1,הפחתה7[[#This Row],[יתרת פתיחה]]),""),0)</f>
        <v>410.91988186865012</v>
      </c>
      <c r="Y146" s="13">
        <f ca="1">(הפחתה7[[#This Row],[יתרת פתיחה]])*(מדד3/12)</f>
        <v>126.24049344339799</v>
      </c>
      <c r="Z146" s="13">
        <f ca="1">IF(הפחתה7[[#This Row],[תאריך]]="",0,הפחתה7[[#This Row],[ריבית]]+הפחתה7[[#This Row],[קרן]]+הפחתה7[[#This Row],[מדד]])</f>
        <v>681.79130727747406</v>
      </c>
      <c r="AA146" s="13">
        <f ca="1">IF(הפחתה7[[#This Row],[תאריך]]="",0,הפחתה7[[#This Row],[יתרת פתיחה]]-הפחתה7[[#This Row],[קרן]]+הפחתה7[[#This Row],[מדד]])</f>
        <v>75459.616677613536</v>
      </c>
      <c r="AB146" s="11">
        <f ca="1">IF(הפחתה7[[#This Row],[יתרת
סגירה]]&gt;0,LastRow3-ROW(),0)</f>
        <v>157</v>
      </c>
      <c r="AC146" s="17">
        <f>ROWS($AC$4:AC146)</f>
        <v>143</v>
      </c>
      <c r="AD146" s="18" t="str">
        <f ca="1">IF(ValuesEntered4,IF(הפחתה8[[#This Row],[מס'']]&lt;=תקופת_ההלוואה4,IF(ROW()-ROW(הפחתה8[[#Headers],[תאריך]])=1,LoanStart4,IF(AJ145&gt;0,EDATE(AD145,1),"")),""),"")</f>
        <v/>
      </c>
      <c r="AE146" s="19">
        <f ca="1">IF(ROW()-ROW(הפחתה8[[#Headers],[יתרת פתיחה]])=1,סכום_הלוואה4,IF(הפחתה8[[#This Row],[תאריך]]="",0,INDEX(הפחתה8[], ROW()-4,8)))</f>
        <v>0</v>
      </c>
      <c r="AF146" s="19">
        <f ca="1">IF(ValuesEntered4,IF(ROW()-ROW(הפחתה8[[#Headers],[ריבית]])=1,-IPMT(שיעור_ריבית4/12,1,תקופת_ההלוואה4-ROWS($C$4:AD146)+1,הפחתה8[[#This Row],[יתרת פתיחה]]),IFERROR(-IPMT(שיעור_ריבית4/12,1,הפחתה8[[#This Row],[תשלומים
שנותרו]],AE147),0)),0)</f>
        <v>0</v>
      </c>
      <c r="AG146" s="19" t="str">
        <f ca="1">IFERROR(IF(AND(ValuesEntered4,הפחתה8[[#This Row],[תאריך]]&lt;&gt;""),-PPMT(שיעור_ריבית4/12,1,תקופת_ההלוואה4-ROWS($C$4:AD146)+1,הפחתה8[[#This Row],[יתרת פתיחה]]),""),0)</f>
        <v/>
      </c>
      <c r="AH146" s="19">
        <f ca="1">(הפחתה8[[#This Row],[יתרת פתיחה]])*(מדד4/12)</f>
        <v>0</v>
      </c>
      <c r="AI146" s="19">
        <f ca="1">IF(הפחתה8[[#This Row],[תאריך]]="",0,הפחתה8[[#This Row],[ריבית]]+הפחתה8[[#This Row],[קרן]]+הפחתה8[[#This Row],[מדד]])</f>
        <v>0</v>
      </c>
      <c r="AJ146" s="19">
        <f ca="1">IF(הפחתה8[[#This Row],[תאריך]]="",0,הפחתה8[[#This Row],[יתרת פתיחה]]-הפחתה8[[#This Row],[קרן]])</f>
        <v>0</v>
      </c>
      <c r="AK146" s="20">
        <f ca="1">IF(הפחתה8[[#This Row],[יתרת
סגירה]]&gt;0,LastRow4-ROW(),0)</f>
        <v>0</v>
      </c>
    </row>
    <row r="147" spans="1:37" ht="15" customHeight="1" x14ac:dyDescent="0.25">
      <c r="A147" s="8"/>
      <c r="B147" s="11">
        <f>ROWS($B$4:B147)</f>
        <v>144</v>
      </c>
      <c r="C147" s="12">
        <f>IF(ValuesEntered,IF(הפחתה[[#This Row],[מס'']]&lt;=תקופת_ההלוואה,IF(ROW()-ROW(הפחתה[[#Headers],[תאריך]])=1,LoanStart,IF(I146&gt;0,EDATE(C146,1),"")),""),"")</f>
        <v>49735</v>
      </c>
      <c r="D147" s="13">
        <f>IF(ROW()-ROW(הפחתה[[#Headers],[יתרת פתיחה]])=1,סכום_הלוואה,IF(הפחתה[[#This Row],[תאריך]]="",0,INDEX(הפחתה[], ROW()-4,8)))</f>
        <v>464462.01848694199</v>
      </c>
      <c r="E147" s="13">
        <f>IF(ValuesEntered,IF(ROW()-ROW(הפחתה[[#Headers],[ריבית]])=1,-IPMT(שיעור_ריבית/12,1,תקופת_ההלוואה-ROWS($C$4:C147)+1,הפחתה[[#This Row],[יתרת פתיחה]]),IFERROR(-IPMT(שיעור_ריבית/12,1,הפחתה[[#This Row],[תשלומים
שנותרו]],D148),0)),0)</f>
        <v>2045.7185764866383</v>
      </c>
      <c r="F147" s="13">
        <f>IFERROR(IF(AND(ValuesEntered,הפחתה[[#This Row],[תאריך]]&lt;&gt;""),-PPMT(שיעור_ריבית/12,1,תקופת_ההלוואה-ROWS($C$4:C147)+1,הפחתה[[#This Row],[יתרת פתיחה]]),""),0)</f>
        <v>1280.4539994012255</v>
      </c>
      <c r="G147" s="13">
        <f>(הפחתה[[#This Row],[יתרת פתיחה]])*(מדד/12)</f>
        <v>0</v>
      </c>
      <c r="H147" s="13">
        <f>IF(הפחתה[[#This Row],[תאריך]]="",0,הפחתה[[#This Row],[ריבית]]+הפחתה[[#This Row],[קרן]]+הפחתה[[#This Row],[מדד]])</f>
        <v>3326.1725758878638</v>
      </c>
      <c r="I147" s="13">
        <f>IF(הפחתה[[#This Row],[תאריך]]="",0,הפחתה[[#This Row],[יתרת פתיחה]]-הפחתה[[#This Row],[קרן]]+הפחתה[[#This Row],[מדד]])</f>
        <v>463181.56448754075</v>
      </c>
      <c r="J147" s="11">
        <f>IF(הפחתה[[#This Row],[יתרת
סגירה]]&gt;0,LastRow-ROW(),0)</f>
        <v>216</v>
      </c>
      <c r="K147" s="11">
        <f>ROWS($K$4:K147)</f>
        <v>144</v>
      </c>
      <c r="L147" s="12">
        <f>IF(ValuesEntered2,IF(הפחתה5[[#This Row],[מס'']]&lt;=תקופת_ההלוואה2,IF(ROW()-ROW(הפחתה5[[#Headers],[תאריך]])=1,LoanStart2,IF(R146&gt;0,EDATE(L146,1),"")),""),"")</f>
        <v>49735</v>
      </c>
      <c r="M147" s="13">
        <f>IF(ROW()-ROW(הפחתה5[[#Headers],[יתרת פתיחה]])=1,סכום_הלוואה2,IF(הפחתה5[[#This Row],[תאריך]]="",0,INDEX(הפחתה5[], ROW()-4,8)))</f>
        <v>199283.07821735108</v>
      </c>
      <c r="N147" s="13">
        <f>IF(ValuesEntered2,IF(ROW()-ROW(הפחתה5[[#Headers],[ריבית]])=1,-IPMT(שיעור_ריבית2/12,1,תקופת_ההלוואה2-ROWS($L$4:L147)+1,הפחתה5[[#This Row],[יתרת פתיחה]]),IFERROR(-IPMT(שיעור_ריבית2/12,1,הפחתה5[[#This Row],[תשלומים
שנותרו]],M148),0)),0)</f>
        <v>776.91731550475322</v>
      </c>
      <c r="O147" s="13">
        <f>IFERROR(IF(AND(ValuesEntered2,הפחתה5[[#This Row],[תאריך]]&lt;&gt;""),-PPMT(שיעור_ריבית2/12,1,תקופת_ההלוואה2-ROWS($L$4:L147)+1,הפחתה5[[#This Row],[יתרת פתיחה]]),""),0)</f>
        <v>921.21042890343392</v>
      </c>
      <c r="P147" s="13">
        <f>(הפחתה5[[#This Row],[יתרת פתיחה]])*(מדד2/12)</f>
        <v>0</v>
      </c>
      <c r="Q147" s="13">
        <f>IF(הפחתה5[[#This Row],[תאריך]]="",0,הפחתה5[[#This Row],[ריבית]]+הפחתה5[[#This Row],[קרן]]+הפחתה5[[#This Row],[מדד]])</f>
        <v>1698.127744408187</v>
      </c>
      <c r="R147" s="13">
        <f>IF(הפחתה5[[#This Row],[תאריך]]="",0,הפחתה5[[#This Row],[יתרת פתיחה]]-הפחתה5[[#This Row],[קרן]]+הפחתה5[[#This Row],[מדד]])</f>
        <v>198361.86778844765</v>
      </c>
      <c r="S147" s="11">
        <f>IF(הפחתה5[[#This Row],[יתרת
סגירה]]&gt;0,LastRow2-ROW(),0)</f>
        <v>156</v>
      </c>
      <c r="T147" s="11">
        <f>ROWS($T$4:T147)</f>
        <v>144</v>
      </c>
      <c r="U147" s="12">
        <f ca="1">IF(ValuesEntered3,IF(הפחתה7[[#This Row],[מס'']]&lt;=תקופת_ההלוואה3,IF(ROW()-ROW(הפחתה7[[#Headers],[תאריך]])=1,LoanStart3,IF(AA146&gt;0,EDATE(U146,1),"")),""),"")</f>
        <v>49973</v>
      </c>
      <c r="V147" s="13">
        <f ca="1">IF(ROW()-ROW(הפחתה7[[#Headers],[יתרת פתיחה]])=1,סכום_הלוואה3,IF(הפחתה7[[#This Row],[תאריך]]="",0,INDEX(הפחתה7[], ROW()-4,8)))</f>
        <v>75459.616677613536</v>
      </c>
      <c r="W147" s="13">
        <f ca="1">IF(ValuesEntered3,IF(ROW()-ROW(הפחתה7[[#Headers],[ריבית]])=1,-IPMT(שיעור_ריבית3/12,1,תקופת_ההלוואה3-ROWS($C$4:U147)+1,הפחתה7[[#This Row],[יתרת פתיחה]]),IFERROR(-IPMT(שיעור_ריבית3/12,1,הפחתה7[[#This Row],[תשלומים
שנותרו]],V148),0)),0)</f>
        <v>144.08155516806758</v>
      </c>
      <c r="X147" s="13">
        <f ca="1">IFERROR(IF(AND(ValuesEntered3,הפחתה7[[#This Row],[תאריך]]&lt;&gt;""),-PPMT(שיעור_ריבית3/12,1,תקופת_ההלוואה3-ROWS($C$4:U147)+1,הפחתה7[[#This Row],[יתרת פתיחה]]),""),0)</f>
        <v>412.39740033083183</v>
      </c>
      <c r="Y147" s="13">
        <f ca="1">(הפחתה7[[#This Row],[יתרת פתיחה]])*(מדד3/12)</f>
        <v>125.76602779602257</v>
      </c>
      <c r="Z147" s="13">
        <f ca="1">IF(הפחתה7[[#This Row],[תאריך]]="",0,הפחתה7[[#This Row],[ריבית]]+הפחתה7[[#This Row],[קרן]]+הפחתה7[[#This Row],[מדד]])</f>
        <v>682.24498329492189</v>
      </c>
      <c r="AA147" s="13">
        <f ca="1">IF(הפחתה7[[#This Row],[תאריך]]="",0,הפחתה7[[#This Row],[יתרת פתיחה]]-הפחתה7[[#This Row],[קרן]]+הפחתה7[[#This Row],[מדד]])</f>
        <v>75172.985305078735</v>
      </c>
      <c r="AB147" s="11">
        <f ca="1">IF(הפחתה7[[#This Row],[יתרת
סגירה]]&gt;0,LastRow3-ROW(),0)</f>
        <v>156</v>
      </c>
      <c r="AC147" s="17">
        <f>ROWS($AC$4:AC147)</f>
        <v>144</v>
      </c>
      <c r="AD147" s="18" t="str">
        <f ca="1">IF(ValuesEntered4,IF(הפחתה8[[#This Row],[מס'']]&lt;=תקופת_ההלוואה4,IF(ROW()-ROW(הפחתה8[[#Headers],[תאריך]])=1,LoanStart4,IF(AJ146&gt;0,EDATE(AD146,1),"")),""),"")</f>
        <v/>
      </c>
      <c r="AE147" s="19">
        <f ca="1">IF(ROW()-ROW(הפחתה8[[#Headers],[יתרת פתיחה]])=1,סכום_הלוואה4,IF(הפחתה8[[#This Row],[תאריך]]="",0,INDEX(הפחתה8[], ROW()-4,8)))</f>
        <v>0</v>
      </c>
      <c r="AF147" s="19">
        <f ca="1">IF(ValuesEntered4,IF(ROW()-ROW(הפחתה8[[#Headers],[ריבית]])=1,-IPMT(שיעור_ריבית4/12,1,תקופת_ההלוואה4-ROWS($C$4:AD147)+1,הפחתה8[[#This Row],[יתרת פתיחה]]),IFERROR(-IPMT(שיעור_ריבית4/12,1,הפחתה8[[#This Row],[תשלומים
שנותרו]],AE148),0)),0)</f>
        <v>0</v>
      </c>
      <c r="AG147" s="19" t="str">
        <f ca="1">IFERROR(IF(AND(ValuesEntered4,הפחתה8[[#This Row],[תאריך]]&lt;&gt;""),-PPMT(שיעור_ריבית4/12,1,תקופת_ההלוואה4-ROWS($C$4:AD147)+1,הפחתה8[[#This Row],[יתרת פתיחה]]),""),0)</f>
        <v/>
      </c>
      <c r="AH147" s="19">
        <f ca="1">(הפחתה8[[#This Row],[יתרת פתיחה]])*(מדד4/12)</f>
        <v>0</v>
      </c>
      <c r="AI147" s="19">
        <f ca="1">IF(הפחתה8[[#This Row],[תאריך]]="",0,הפחתה8[[#This Row],[ריבית]]+הפחתה8[[#This Row],[קרן]]+הפחתה8[[#This Row],[מדד]])</f>
        <v>0</v>
      </c>
      <c r="AJ147" s="19">
        <f ca="1">IF(הפחתה8[[#This Row],[תאריך]]="",0,הפחתה8[[#This Row],[יתרת פתיחה]]-הפחתה8[[#This Row],[קרן]])</f>
        <v>0</v>
      </c>
      <c r="AK147" s="20">
        <f ca="1">IF(הפחתה8[[#This Row],[יתרת
סגירה]]&gt;0,LastRow4-ROW(),0)</f>
        <v>0</v>
      </c>
    </row>
    <row r="148" spans="1:37" ht="15" customHeight="1" x14ac:dyDescent="0.25">
      <c r="A148" s="8"/>
      <c r="B148" s="11">
        <f>ROWS($B$4:B148)</f>
        <v>145</v>
      </c>
      <c r="C148" s="12">
        <f>IF(ValuesEntered,IF(הפחתה[[#This Row],[מס'']]&lt;=תקופת_ההלוואה,IF(ROW()-ROW(הפחתה[[#Headers],[תאריך]])=1,LoanStart,IF(I147&gt;0,EDATE(C147,1),"")),""),"")</f>
        <v>49766</v>
      </c>
      <c r="D148" s="13">
        <f>IF(ROW()-ROW(הפחתה[[#Headers],[יתרת פתיחה]])=1,סכום_הלוואה,IF(הפחתה[[#This Row],[תאריך]]="",0,INDEX(הפחתה[], ROW()-4,8)))</f>
        <v>463181.56448754075</v>
      </c>
      <c r="E148" s="13">
        <f>IF(ValuesEntered,IF(ROW()-ROW(הפחתה[[#Headers],[ריבית]])=1,-IPMT(שיעור_ריבית/12,1,תקופת_ההלוואה-ROWS($C$4:C148)+1,הפחתה[[#This Row],[יתרת פתיחה]]),IFERROR(-IPMT(שיעור_ריבית/12,1,הפחתה[[#This Row],[תשלומים
שנותרו]],D149),0)),0)</f>
        <v>2040.0382602442533</v>
      </c>
      <c r="F148" s="13">
        <f>IFERROR(IF(AND(ValuesEntered,הפחתה[[#This Row],[תאריך]]&lt;&gt;""),-PPMT(שיעור_ריבית/12,1,תקופת_ההלוואה-ROWS($C$4:C148)+1,הפחתה[[#This Row],[יתרת פתיחה]]),""),0)</f>
        <v>1286.1093378985809</v>
      </c>
      <c r="G148" s="13">
        <f>(הפחתה[[#This Row],[יתרת פתיחה]])*(מדד/12)</f>
        <v>0</v>
      </c>
      <c r="H148" s="13">
        <f>IF(הפחתה[[#This Row],[תאריך]]="",0,הפחתה[[#This Row],[ריבית]]+הפחתה[[#This Row],[קרן]]+הפחתה[[#This Row],[מדד]])</f>
        <v>3326.1475981428339</v>
      </c>
      <c r="I148" s="13">
        <f>IF(הפחתה[[#This Row],[תאריך]]="",0,הפחתה[[#This Row],[יתרת פתיחה]]-הפחתה[[#This Row],[קרן]]+הפחתה[[#This Row],[מדד]])</f>
        <v>461895.45514964219</v>
      </c>
      <c r="J148" s="11">
        <f>IF(הפחתה[[#This Row],[יתרת
סגירה]]&gt;0,LastRow-ROW(),0)</f>
        <v>215</v>
      </c>
      <c r="K148" s="11">
        <f>ROWS($K$4:K148)</f>
        <v>145</v>
      </c>
      <c r="L148" s="12">
        <f>IF(ValuesEntered2,IF(הפחתה5[[#This Row],[מס'']]&lt;=תקופת_ההלוואה2,IF(ROW()-ROW(הפחתה5[[#Headers],[תאריך]])=1,LoanStart2,IF(R147&gt;0,EDATE(L147,1),"")),""),"")</f>
        <v>49766</v>
      </c>
      <c r="M148" s="13">
        <f>IF(ROW()-ROW(הפחתה5[[#Headers],[יתרת פתיחה]])=1,סכום_הלוואה2,IF(הפחתה5[[#This Row],[תאריך]]="",0,INDEX(הפחתה5[], ROW()-4,8)))</f>
        <v>198361.86778844765</v>
      </c>
      <c r="N148" s="13">
        <f>IF(ValuesEntered2,IF(ROW()-ROW(הפחתה5[[#Headers],[ריבית]])=1,-IPMT(שיעור_ריבית2/12,1,תקופת_ההלוואה2-ROWS($L$4:L148)+1,הפחתה5[[#This Row],[יתרת פתיחה]]),IFERROR(-IPMT(שיעור_ריבית2/12,1,הפחתה5[[#This Row],[תשלומים
שנותרו]],M149),0)),0)</f>
        <v>773.29510970101023</v>
      </c>
      <c r="O148" s="13">
        <f>IFERROR(IF(AND(ValuesEntered2,הפחתה5[[#This Row],[תאריך]]&lt;&gt;""),-PPMT(שיעור_ריבית2/12,1,תקופת_ההלוואה2-ROWS($L$4:L148)+1,הפחתה5[[#This Row],[יתרת פתיחה]]),""),0)</f>
        <v>924.81850308330547</v>
      </c>
      <c r="P148" s="13">
        <f>(הפחתה5[[#This Row],[יתרת פתיחה]])*(מדד2/12)</f>
        <v>0</v>
      </c>
      <c r="Q148" s="13">
        <f>IF(הפחתה5[[#This Row],[תאריך]]="",0,הפחתה5[[#This Row],[ריבית]]+הפחתה5[[#This Row],[קרן]]+הפחתה5[[#This Row],[מדד]])</f>
        <v>1698.1136127843156</v>
      </c>
      <c r="R148" s="13">
        <f>IF(הפחתה5[[#This Row],[תאריך]]="",0,הפחתה5[[#This Row],[יתרת פתיחה]]-הפחתה5[[#This Row],[קרן]]+הפחתה5[[#This Row],[מדד]])</f>
        <v>197437.04928536434</v>
      </c>
      <c r="S148" s="11">
        <f>IF(הפחתה5[[#This Row],[יתרת
סגירה]]&gt;0,LastRow2-ROW(),0)</f>
        <v>155</v>
      </c>
      <c r="T148" s="11">
        <f>ROWS($T$4:T148)</f>
        <v>145</v>
      </c>
      <c r="U148" s="12">
        <f ca="1">IF(ValuesEntered3,IF(הפחתה7[[#This Row],[מס'']]&lt;=תקופת_ההלוואה3,IF(ROW()-ROW(הפחתה7[[#Headers],[תאריך]])=1,LoanStart3,IF(AA147&gt;0,EDATE(U147,1),"")),""),"")</f>
        <v>50004</v>
      </c>
      <c r="V148" s="13">
        <f ca="1">IF(ROW()-ROW(הפחתה7[[#Headers],[יתרת פתיחה]])=1,סכום_הלוואה3,IF(הפחתה7[[#This Row],[תאריך]]="",0,INDEX(הפחתה7[], ROW()-4,8)))</f>
        <v>75172.985305078735</v>
      </c>
      <c r="W148" s="13">
        <f ca="1">IF(ValuesEntered3,IF(ROW()-ROW(הפחתה7[[#Headers],[ריבית]])=1,-IPMT(שיעור_ריבית3/12,1,תקופת_ההלוואה3-ROWS($C$4:U148)+1,הפחתה7[[#This Row],[יתרת פתיחה]]),IFERROR(-IPMT(שיעור_ריבית3/12,1,הפחתה7[[#This Row],[תשלומים
שנותרו]],V149),0)),0)</f>
        <v>143.52842059636922</v>
      </c>
      <c r="X148" s="13">
        <f ca="1">IFERROR(IF(AND(ValuesEntered3,הפחתה7[[#This Row],[תאריך]]&lt;&gt;""),-PPMT(שיעור_ריבית3/12,1,תקופת_ההלוואה3-ROWS($C$4:U148)+1,הפחתה7[[#This Row],[יתרת פתיחה]]),""),0)</f>
        <v>413.88025929311772</v>
      </c>
      <c r="Y148" s="13">
        <f ca="1">(הפחתה7[[#This Row],[יתרת פתיחה]])*(מדד3/12)</f>
        <v>125.2883088417979</v>
      </c>
      <c r="Z148" s="13">
        <f ca="1">IF(הפחתה7[[#This Row],[תאריך]]="",0,הפחתה7[[#This Row],[ריבית]]+הפחתה7[[#This Row],[קרן]]+הפחתה7[[#This Row],[מדד]])</f>
        <v>682.69698873128482</v>
      </c>
      <c r="AA148" s="13">
        <f ca="1">IF(הפחתה7[[#This Row],[תאריך]]="",0,הפחתה7[[#This Row],[יתרת פתיחה]]-הפחתה7[[#This Row],[קרן]]+הפחתה7[[#This Row],[מדד]])</f>
        <v>74884.39335462742</v>
      </c>
      <c r="AB148" s="11">
        <f ca="1">IF(הפחתה7[[#This Row],[יתרת
סגירה]]&gt;0,LastRow3-ROW(),0)</f>
        <v>155</v>
      </c>
      <c r="AC148" s="17">
        <f>ROWS($AC$4:AC148)</f>
        <v>145</v>
      </c>
      <c r="AD148" s="18" t="str">
        <f ca="1">IF(ValuesEntered4,IF(הפחתה8[[#This Row],[מס'']]&lt;=תקופת_ההלוואה4,IF(ROW()-ROW(הפחתה8[[#Headers],[תאריך]])=1,LoanStart4,IF(AJ147&gt;0,EDATE(AD147,1),"")),""),"")</f>
        <v/>
      </c>
      <c r="AE148" s="19">
        <f ca="1">IF(ROW()-ROW(הפחתה8[[#Headers],[יתרת פתיחה]])=1,סכום_הלוואה4,IF(הפחתה8[[#This Row],[תאריך]]="",0,INDEX(הפחתה8[], ROW()-4,8)))</f>
        <v>0</v>
      </c>
      <c r="AF148" s="19">
        <f ca="1">IF(ValuesEntered4,IF(ROW()-ROW(הפחתה8[[#Headers],[ריבית]])=1,-IPMT(שיעור_ריבית4/12,1,תקופת_ההלוואה4-ROWS($C$4:AD148)+1,הפחתה8[[#This Row],[יתרת פתיחה]]),IFERROR(-IPMT(שיעור_ריבית4/12,1,הפחתה8[[#This Row],[תשלומים
שנותרו]],AE149),0)),0)</f>
        <v>0</v>
      </c>
      <c r="AG148" s="19" t="str">
        <f ca="1">IFERROR(IF(AND(ValuesEntered4,הפחתה8[[#This Row],[תאריך]]&lt;&gt;""),-PPMT(שיעור_ריבית4/12,1,תקופת_ההלוואה4-ROWS($C$4:AD148)+1,הפחתה8[[#This Row],[יתרת פתיחה]]),""),0)</f>
        <v/>
      </c>
      <c r="AH148" s="19">
        <f ca="1">(הפחתה8[[#This Row],[יתרת פתיחה]])*(מדד4/12)</f>
        <v>0</v>
      </c>
      <c r="AI148" s="19">
        <f ca="1">IF(הפחתה8[[#This Row],[תאריך]]="",0,הפחתה8[[#This Row],[ריבית]]+הפחתה8[[#This Row],[קרן]]+הפחתה8[[#This Row],[מדד]])</f>
        <v>0</v>
      </c>
      <c r="AJ148" s="19">
        <f ca="1">IF(הפחתה8[[#This Row],[תאריך]]="",0,הפחתה8[[#This Row],[יתרת פתיחה]]-הפחתה8[[#This Row],[קרן]])</f>
        <v>0</v>
      </c>
      <c r="AK148" s="20">
        <f ca="1">IF(הפחתה8[[#This Row],[יתרת
סגירה]]&gt;0,LastRow4-ROW(),0)</f>
        <v>0</v>
      </c>
    </row>
    <row r="149" spans="1:37" ht="15" customHeight="1" x14ac:dyDescent="0.25">
      <c r="A149" s="8"/>
      <c r="B149" s="11">
        <f>ROWS($B$4:B149)</f>
        <v>146</v>
      </c>
      <c r="C149" s="12">
        <f>IF(ValuesEntered,IF(הפחתה[[#This Row],[מס'']]&lt;=תקופת_ההלוואה,IF(ROW()-ROW(הפחתה[[#Headers],[תאריך]])=1,LoanStart,IF(I148&gt;0,EDATE(C148,1),"")),""),"")</f>
        <v>49796</v>
      </c>
      <c r="D149" s="13">
        <f>IF(ROW()-ROW(הפחתה[[#Headers],[יתרת פתיחה]])=1,סכום_הלוואה,IF(הפחתה[[#This Row],[תאריך]]="",0,INDEX(הפחתה[], ROW()-4,8)))</f>
        <v>461895.45514964219</v>
      </c>
      <c r="E149" s="13">
        <f>IF(ValuesEntered,IF(ROW()-ROW(הפחתה[[#Headers],[ריבית]])=1,-IPMT(שיעור_ריבית/12,1,תקופת_ההלוואה-ROWS($C$4:C149)+1,הפחתה[[#This Row],[יתרת פתיחה]]),IFERROR(-IPMT(שיעור_ריבית/12,1,הפחתה[[#This Row],[תשלומים
שנותרו]],D150),0)),0)</f>
        <v>2034.332855938464</v>
      </c>
      <c r="F149" s="13">
        <f>IFERROR(IF(AND(ValuesEntered,הפחתה[[#This Row],[תאריך]]&lt;&gt;""),-PPMT(שיעור_ריבית/12,1,תקופת_ההלוואה-ROWS($C$4:C149)+1,הפחתה[[#This Row],[יתרת פתיחה]]),""),0)</f>
        <v>1291.7896541409666</v>
      </c>
      <c r="G149" s="13">
        <f>(הפחתה[[#This Row],[יתרת פתיחה]])*(מדד/12)</f>
        <v>0</v>
      </c>
      <c r="H149" s="13">
        <f>IF(הפחתה[[#This Row],[תאריך]]="",0,הפחתה[[#This Row],[ריבית]]+הפחתה[[#This Row],[קרן]]+הפחתה[[#This Row],[מדד]])</f>
        <v>3326.1225100794309</v>
      </c>
      <c r="I149" s="13">
        <f>IF(הפחתה[[#This Row],[תאריך]]="",0,הפחתה[[#This Row],[יתרת פתיחה]]-הפחתה[[#This Row],[קרן]]+הפחתה[[#This Row],[מדד]])</f>
        <v>460603.66549550125</v>
      </c>
      <c r="J149" s="11">
        <f>IF(הפחתה[[#This Row],[יתרת
סגירה]]&gt;0,LastRow-ROW(),0)</f>
        <v>214</v>
      </c>
      <c r="K149" s="11">
        <f>ROWS($K$4:K149)</f>
        <v>146</v>
      </c>
      <c r="L149" s="12">
        <f>IF(ValuesEntered2,IF(הפחתה5[[#This Row],[מס'']]&lt;=תקופת_ההלוואה2,IF(ROW()-ROW(הפחתה5[[#Headers],[תאריך]])=1,LoanStart2,IF(R148&gt;0,EDATE(L148,1),"")),""),"")</f>
        <v>49796</v>
      </c>
      <c r="M149" s="13">
        <f>IF(ROW()-ROW(הפחתה5[[#Headers],[יתרת פתיחה]])=1,סכום_הלוואה2,IF(הפחתה5[[#This Row],[תאריך]]="",0,INDEX(הפחתה5[], ROW()-4,8)))</f>
        <v>197437.04928536434</v>
      </c>
      <c r="N149" s="13">
        <f>IF(ValuesEntered2,IF(ROW()-ROW(הפחתה5[[#Headers],[ריבית]])=1,-IPMT(שיעור_ריבית2/12,1,תקופת_ההלוואה2-ROWS($L$4:L149)+1,הפחתה5[[#This Row],[יתרת פתיחה]]),IFERROR(-IPMT(שיעור_ריבית2/12,1,הפחתה5[[#This Row],[תשלומים
שנותרו]],M150),0)),0)</f>
        <v>769.65871692453607</v>
      </c>
      <c r="O149" s="13">
        <f>IFERROR(IF(AND(ValuesEntered2,הפחתה5[[#This Row],[תאריך]]&lt;&gt;""),-PPMT(שיעור_ריבית2/12,1,תקופת_ההלוואה2-ROWS($L$4:L149)+1,הפחתה5[[#This Row],[יתרת פתיחה]]),""),0)</f>
        <v>928.44070888704857</v>
      </c>
      <c r="P149" s="13">
        <f>(הפחתה5[[#This Row],[יתרת פתיחה]])*(מדד2/12)</f>
        <v>0</v>
      </c>
      <c r="Q149" s="13">
        <f>IF(הפחתה5[[#This Row],[תאריך]]="",0,הפחתה5[[#This Row],[ריבית]]+הפחתה5[[#This Row],[קרן]]+הפחתה5[[#This Row],[מדד]])</f>
        <v>1698.0994258115848</v>
      </c>
      <c r="R149" s="13">
        <f>IF(הפחתה5[[#This Row],[תאריך]]="",0,הפחתה5[[#This Row],[יתרת פתיחה]]-הפחתה5[[#This Row],[קרן]]+הפחתה5[[#This Row],[מדד]])</f>
        <v>196508.6085764773</v>
      </c>
      <c r="S149" s="11">
        <f>IF(הפחתה5[[#This Row],[יתרת
סגירה]]&gt;0,LastRow2-ROW(),0)</f>
        <v>154</v>
      </c>
      <c r="T149" s="11">
        <f>ROWS($T$4:T149)</f>
        <v>146</v>
      </c>
      <c r="U149" s="12">
        <f ca="1">IF(ValuesEntered3,IF(הפחתה7[[#This Row],[מס'']]&lt;=תקופת_ההלוואה3,IF(ROW()-ROW(הפחתה7[[#Headers],[תאריך]])=1,LoanStart3,IF(AA148&gt;0,EDATE(U148,1),"")),""),"")</f>
        <v>50034</v>
      </c>
      <c r="V149" s="13">
        <f ca="1">IF(ROW()-ROW(הפחתה7[[#Headers],[יתרת פתיחה]])=1,סכום_הלוואה3,IF(הפחתה7[[#This Row],[תאריך]]="",0,INDEX(הפחתה7[], ROW()-4,8)))</f>
        <v>74884.39335462742</v>
      </c>
      <c r="W149" s="13">
        <f ca="1">IF(ValuesEntered3,IF(ROW()-ROW(הפחתה7[[#Headers],[ריבית]])=1,-IPMT(שיעור_ריבית3/12,1,תקופת_ההלוואה3-ROWS($C$4:U149)+1,הפחתה7[[#This Row],[יתרת פתיחה]]),IFERROR(-IPMT(שיעור_ריבית3/12,1,הפחתה7[[#This Row],[תשלומים
שנותרו]],V150),0)),0)</f>
        <v>142.97151171352883</v>
      </c>
      <c r="X149" s="13">
        <f ca="1">IFERROR(IF(AND(ValuesEntered3,הפחתה7[[#This Row],[תאריך]]&lt;&gt;""),-PPMT(שיעור_ריבית3/12,1,תקופת_ההלוואה3-ROWS($C$4:U149)+1,הפחתה7[[#This Row],[יתרת פתיחה]]),""),0)</f>
        <v>415.36847852225452</v>
      </c>
      <c r="Y149" s="13">
        <f ca="1">(הפחתה7[[#This Row],[יתרת פתיחה]])*(מדד3/12)</f>
        <v>124.80732225771237</v>
      </c>
      <c r="Z149" s="13">
        <f ca="1">IF(הפחתה7[[#This Row],[תאריך]]="",0,הפחתה7[[#This Row],[ריבית]]+הפחתה7[[#This Row],[קרן]]+הפחתה7[[#This Row],[מדד]])</f>
        <v>683.14731249349575</v>
      </c>
      <c r="AA149" s="13">
        <f ca="1">IF(הפחתה7[[#This Row],[תאריך]]="",0,הפחתה7[[#This Row],[יתרת פתיחה]]-הפחתה7[[#This Row],[קרן]]+הפחתה7[[#This Row],[מדד]])</f>
        <v>74593.83219836287</v>
      </c>
      <c r="AB149" s="11">
        <f ca="1">IF(הפחתה7[[#This Row],[יתרת
סגירה]]&gt;0,LastRow3-ROW(),0)</f>
        <v>154</v>
      </c>
      <c r="AC149" s="17">
        <f>ROWS($AC$4:AC149)</f>
        <v>146</v>
      </c>
      <c r="AD149" s="18" t="str">
        <f ca="1">IF(ValuesEntered4,IF(הפחתה8[[#This Row],[מס'']]&lt;=תקופת_ההלוואה4,IF(ROW()-ROW(הפחתה8[[#Headers],[תאריך]])=1,LoanStart4,IF(AJ148&gt;0,EDATE(AD148,1),"")),""),"")</f>
        <v/>
      </c>
      <c r="AE149" s="19">
        <f ca="1">IF(ROW()-ROW(הפחתה8[[#Headers],[יתרת פתיחה]])=1,סכום_הלוואה4,IF(הפחתה8[[#This Row],[תאריך]]="",0,INDEX(הפחתה8[], ROW()-4,8)))</f>
        <v>0</v>
      </c>
      <c r="AF149" s="19">
        <f ca="1">IF(ValuesEntered4,IF(ROW()-ROW(הפחתה8[[#Headers],[ריבית]])=1,-IPMT(שיעור_ריבית4/12,1,תקופת_ההלוואה4-ROWS($C$4:AD149)+1,הפחתה8[[#This Row],[יתרת פתיחה]]),IFERROR(-IPMT(שיעור_ריבית4/12,1,הפחתה8[[#This Row],[תשלומים
שנותרו]],AE150),0)),0)</f>
        <v>0</v>
      </c>
      <c r="AG149" s="19" t="str">
        <f ca="1">IFERROR(IF(AND(ValuesEntered4,הפחתה8[[#This Row],[תאריך]]&lt;&gt;""),-PPMT(שיעור_ריבית4/12,1,תקופת_ההלוואה4-ROWS($C$4:AD149)+1,הפחתה8[[#This Row],[יתרת פתיחה]]),""),0)</f>
        <v/>
      </c>
      <c r="AH149" s="19">
        <f ca="1">(הפחתה8[[#This Row],[יתרת פתיחה]])*(מדד4/12)</f>
        <v>0</v>
      </c>
      <c r="AI149" s="19">
        <f ca="1">IF(הפחתה8[[#This Row],[תאריך]]="",0,הפחתה8[[#This Row],[ריבית]]+הפחתה8[[#This Row],[קרן]]+הפחתה8[[#This Row],[מדד]])</f>
        <v>0</v>
      </c>
      <c r="AJ149" s="19">
        <f ca="1">IF(הפחתה8[[#This Row],[תאריך]]="",0,הפחתה8[[#This Row],[יתרת פתיחה]]-הפחתה8[[#This Row],[קרן]])</f>
        <v>0</v>
      </c>
      <c r="AK149" s="20">
        <f ca="1">IF(הפחתה8[[#This Row],[יתרת
סגירה]]&gt;0,LastRow4-ROW(),0)</f>
        <v>0</v>
      </c>
    </row>
    <row r="150" spans="1:37" ht="15" customHeight="1" x14ac:dyDescent="0.25">
      <c r="A150" s="8"/>
      <c r="B150" s="11">
        <f>ROWS($B$4:B150)</f>
        <v>147</v>
      </c>
      <c r="C150" s="12">
        <f>IF(ValuesEntered,IF(הפחתה[[#This Row],[מס'']]&lt;=תקופת_ההלוואה,IF(ROW()-ROW(הפחתה[[#Headers],[תאריך]])=1,LoanStart,IF(I149&gt;0,EDATE(C149,1),"")),""),"")</f>
        <v>49827</v>
      </c>
      <c r="D150" s="13">
        <f>IF(ROW()-ROW(הפחתה[[#Headers],[יתרת פתיחה]])=1,סכום_הלוואה,IF(הפחתה[[#This Row],[תאריך]]="",0,INDEX(הפחתה[], ROW()-4,8)))</f>
        <v>460603.66549550125</v>
      </c>
      <c r="E150" s="13">
        <f>IF(ValuesEntered,IF(ROW()-ROW(הפחתה[[#Headers],[ריבית]])=1,-IPMT(שיעור_ריבית/12,1,תקופת_ההלוואה-ROWS($C$4:C150)+1,הפחתה[[#This Row],[יתרת פתיחה]]),IFERROR(-IPMT(שיעור_ריבית/12,1,הפחתה[[#This Row],[תשלומים
שנותרו]],D151),0)),0)</f>
        <v>2028.6022527636574</v>
      </c>
      <c r="F150" s="13">
        <f>IFERROR(IF(AND(ValuesEntered,הפחתה[[#This Row],[תאריך]]&lt;&gt;""),-PPMT(שיעור_ריבית/12,1,תקופת_ההלוואה-ROWS($C$4:C150)+1,הפחתה[[#This Row],[יתרת פתיחה]]),""),0)</f>
        <v>1297.4950584467556</v>
      </c>
      <c r="G150" s="13">
        <f>(הפחתה[[#This Row],[יתרת פתיחה]])*(מדד/12)</f>
        <v>0</v>
      </c>
      <c r="H150" s="13">
        <f>IF(הפחתה[[#This Row],[תאריך]]="",0,הפחתה[[#This Row],[ריבית]]+הפחתה[[#This Row],[קרן]]+הפחתה[[#This Row],[מדד]])</f>
        <v>3326.097311210413</v>
      </c>
      <c r="I150" s="13">
        <f>IF(הפחתה[[#This Row],[תאריך]]="",0,הפחתה[[#This Row],[יתרת פתיחה]]-הפחתה[[#This Row],[קרן]]+הפחתה[[#This Row],[מדד]])</f>
        <v>459306.17043705448</v>
      </c>
      <c r="J150" s="11">
        <f>IF(הפחתה[[#This Row],[יתרת
סגירה]]&gt;0,LastRow-ROW(),0)</f>
        <v>213</v>
      </c>
      <c r="K150" s="11">
        <f>ROWS($K$4:K150)</f>
        <v>147</v>
      </c>
      <c r="L150" s="12">
        <f>IF(ValuesEntered2,IF(הפחתה5[[#This Row],[מס'']]&lt;=תקופת_ההלוואה2,IF(ROW()-ROW(הפחתה5[[#Headers],[תאריך]])=1,LoanStart2,IF(R149&gt;0,EDATE(L149,1),"")),""),"")</f>
        <v>49827</v>
      </c>
      <c r="M150" s="13">
        <f>IF(ROW()-ROW(הפחתה5[[#Headers],[יתרת פתיחה]])=1,סכום_הלוואה2,IF(הפחתה5[[#This Row],[תאריך]]="",0,INDEX(הפחתה5[], ROW()-4,8)))</f>
        <v>196508.6085764773</v>
      </c>
      <c r="N150" s="13">
        <f>IF(ValuesEntered2,IF(ROW()-ROW(הפחתה5[[#Headers],[ריבית]])=1,-IPMT(שיעור_ריבית2/12,1,תקופת_ההלוואה2-ROWS($L$4:L150)+1,הפחתה5[[#This Row],[יתרת פתיחה]]),IFERROR(-IPMT(שיעור_ריבית2/12,1,הפחתה5[[#This Row],[תשלומים
שנותרו]],M151),0)),0)</f>
        <v>766.00808160968734</v>
      </c>
      <c r="O150" s="13">
        <f>IFERROR(IF(AND(ValuesEntered2,הפחתה5[[#This Row],[תאריך]]&lt;&gt;""),-PPMT(שיעור_ריבית2/12,1,תקופת_ההלוואה2-ROWS($L$4:L150)+1,הפחתה5[[#This Row],[יתרת פתיחה]]),""),0)</f>
        <v>932.07710166352285</v>
      </c>
      <c r="P150" s="13">
        <f>(הפחתה5[[#This Row],[יתרת פתיחה]])*(מדד2/12)</f>
        <v>0</v>
      </c>
      <c r="Q150" s="13">
        <f>IF(הפחתה5[[#This Row],[תאריך]]="",0,הפחתה5[[#This Row],[ריבית]]+הפחתה5[[#This Row],[קרן]]+הפחתה5[[#This Row],[מדד]])</f>
        <v>1698.0851832732101</v>
      </c>
      <c r="R150" s="13">
        <f>IF(הפחתה5[[#This Row],[תאריך]]="",0,הפחתה5[[#This Row],[יתרת פתיחה]]-הפחתה5[[#This Row],[קרן]]+הפחתה5[[#This Row],[מדד]])</f>
        <v>195576.53147481379</v>
      </c>
      <c r="S150" s="11">
        <f>IF(הפחתה5[[#This Row],[יתרת
סגירה]]&gt;0,LastRow2-ROW(),0)</f>
        <v>153</v>
      </c>
      <c r="T150" s="11">
        <f>ROWS($T$4:T150)</f>
        <v>147</v>
      </c>
      <c r="U150" s="12">
        <f ca="1">IF(ValuesEntered3,IF(הפחתה7[[#This Row],[מס'']]&lt;=תקופת_ההלוואה3,IF(ROW()-ROW(הפחתה7[[#Headers],[תאריך]])=1,LoanStart3,IF(AA149&gt;0,EDATE(U149,1),"")),""),"")</f>
        <v>50065</v>
      </c>
      <c r="V150" s="13">
        <f ca="1">IF(ROW()-ROW(הפחתה7[[#Headers],[יתרת פתיחה]])=1,סכום_הלוואה3,IF(הפחתה7[[#This Row],[תאריך]]="",0,INDEX(הפחתה7[], ROW()-4,8)))</f>
        <v>74593.83219836287</v>
      </c>
      <c r="W150" s="13">
        <f ca="1">IF(ValuesEntered3,IF(ROW()-ROW(הפחתה7[[#Headers],[ריבית]])=1,-IPMT(שיעור_ריבית3/12,1,תקופת_ההלוואה3-ROWS($C$4:U150)+1,הפחתה7[[#This Row],[יתרת פתיחה]]),IFERROR(-IPMT(שיעור_ריבית3/12,1,הפחתה7[[#This Row],[תשלומים
שנותרו]],V151),0)),0)</f>
        <v>142.41081191713735</v>
      </c>
      <c r="X150" s="13">
        <f ca="1">IFERROR(IF(AND(ValuesEntered3,הפחתה7[[#This Row],[תאריך]]&lt;&gt;""),-PPMT(שיעור_ריבית3/12,1,תקופת_ההלוואה3-ROWS($C$4:U150)+1,הפחתה7[[#This Row],[יתרת פתיחה]]),""),0)</f>
        <v>416.86207786818585</v>
      </c>
      <c r="Y150" s="13">
        <f ca="1">(הפחתה7[[#This Row],[יתרת פתיחה]])*(מדד3/12)</f>
        <v>124.32305366393813</v>
      </c>
      <c r="Z150" s="13">
        <f ca="1">IF(הפחתה7[[#This Row],[תאריך]]="",0,הפחתה7[[#This Row],[ריבית]]+הפחתה7[[#This Row],[קרן]]+הפחתה7[[#This Row],[מדד]])</f>
        <v>683.59594344926131</v>
      </c>
      <c r="AA150" s="13">
        <f ca="1">IF(הפחתה7[[#This Row],[תאריך]]="",0,הפחתה7[[#This Row],[יתרת פתיחה]]-הפחתה7[[#This Row],[קרן]]+הפחתה7[[#This Row],[מדד]])</f>
        <v>74301.293174158622</v>
      </c>
      <c r="AB150" s="11">
        <f ca="1">IF(הפחתה7[[#This Row],[יתרת
סגירה]]&gt;0,LastRow3-ROW(),0)</f>
        <v>153</v>
      </c>
      <c r="AC150" s="17">
        <f>ROWS($AC$4:AC150)</f>
        <v>147</v>
      </c>
      <c r="AD150" s="18" t="str">
        <f ca="1">IF(ValuesEntered4,IF(הפחתה8[[#This Row],[מס'']]&lt;=תקופת_ההלוואה4,IF(ROW()-ROW(הפחתה8[[#Headers],[תאריך]])=1,LoanStart4,IF(AJ149&gt;0,EDATE(AD149,1),"")),""),"")</f>
        <v/>
      </c>
      <c r="AE150" s="19">
        <f ca="1">IF(ROW()-ROW(הפחתה8[[#Headers],[יתרת פתיחה]])=1,סכום_הלוואה4,IF(הפחתה8[[#This Row],[תאריך]]="",0,INDEX(הפחתה8[], ROW()-4,8)))</f>
        <v>0</v>
      </c>
      <c r="AF150" s="19">
        <f ca="1">IF(ValuesEntered4,IF(ROW()-ROW(הפחתה8[[#Headers],[ריבית]])=1,-IPMT(שיעור_ריבית4/12,1,תקופת_ההלוואה4-ROWS($C$4:AD150)+1,הפחתה8[[#This Row],[יתרת פתיחה]]),IFERROR(-IPMT(שיעור_ריבית4/12,1,הפחתה8[[#This Row],[תשלומים
שנותרו]],AE151),0)),0)</f>
        <v>0</v>
      </c>
      <c r="AG150" s="19" t="str">
        <f ca="1">IFERROR(IF(AND(ValuesEntered4,הפחתה8[[#This Row],[תאריך]]&lt;&gt;""),-PPMT(שיעור_ריבית4/12,1,תקופת_ההלוואה4-ROWS($C$4:AD150)+1,הפחתה8[[#This Row],[יתרת פתיחה]]),""),0)</f>
        <v/>
      </c>
      <c r="AH150" s="19">
        <f ca="1">(הפחתה8[[#This Row],[יתרת פתיחה]])*(מדד4/12)</f>
        <v>0</v>
      </c>
      <c r="AI150" s="19">
        <f ca="1">IF(הפחתה8[[#This Row],[תאריך]]="",0,הפחתה8[[#This Row],[ריבית]]+הפחתה8[[#This Row],[קרן]]+הפחתה8[[#This Row],[מדד]])</f>
        <v>0</v>
      </c>
      <c r="AJ150" s="19">
        <f ca="1">IF(הפחתה8[[#This Row],[תאריך]]="",0,הפחתה8[[#This Row],[יתרת פתיחה]]-הפחתה8[[#This Row],[קרן]])</f>
        <v>0</v>
      </c>
      <c r="AK150" s="20">
        <f ca="1">IF(הפחתה8[[#This Row],[יתרת
סגירה]]&gt;0,LastRow4-ROW(),0)</f>
        <v>0</v>
      </c>
    </row>
    <row r="151" spans="1:37" ht="15" customHeight="1" x14ac:dyDescent="0.25">
      <c r="A151" s="8"/>
      <c r="B151" s="11">
        <f>ROWS($B$4:B151)</f>
        <v>148</v>
      </c>
      <c r="C151" s="12">
        <f>IF(ValuesEntered,IF(הפחתה[[#This Row],[מס'']]&lt;=תקופת_ההלוואה,IF(ROW()-ROW(הפחתה[[#Headers],[תאריך]])=1,LoanStart,IF(I150&gt;0,EDATE(C150,1),"")),""),"")</f>
        <v>49857</v>
      </c>
      <c r="D151" s="13">
        <f>IF(ROW()-ROW(הפחתה[[#Headers],[יתרת פתיחה]])=1,סכום_הלוואה,IF(הפחתה[[#This Row],[תאריך]]="",0,INDEX(הפחתה[], ROW()-4,8)))</f>
        <v>459306.17043705448</v>
      </c>
      <c r="E151" s="13">
        <f>IF(ValuesEntered,IF(ROW()-ROW(הפחתה[[#Headers],[ריבית]])=1,-IPMT(שיעור_ריבית/12,1,תקופת_ההלוואה-ROWS($C$4:C151)+1,הפחתה[[#This Row],[יתרת פתיחה]]),IFERROR(-IPMT(שיעור_ריבית/12,1,הפחתה[[#This Row],[תשלומים
שנותרו]],D152),0)),0)</f>
        <v>2022.8463394248288</v>
      </c>
      <c r="F151" s="13">
        <f>IFERROR(IF(AND(ValuesEntered,הפחתה[[#This Row],[תאריך]]&lt;&gt;""),-PPMT(שיעור_ריבית/12,1,תקופת_ההלוואה-ROWS($C$4:C151)+1,הפחתה[[#This Row],[יתרת פתיחה]]),""),0)</f>
        <v>1303.225661621562</v>
      </c>
      <c r="G151" s="13">
        <f>(הפחתה[[#This Row],[יתרת פתיחה]])*(מדד/12)</f>
        <v>0</v>
      </c>
      <c r="H151" s="13">
        <f>IF(הפחתה[[#This Row],[תאריך]]="",0,הפחתה[[#This Row],[ריבית]]+הפחתה[[#This Row],[קרן]]+הפחתה[[#This Row],[מדד]])</f>
        <v>3326.0720010463911</v>
      </c>
      <c r="I151" s="13">
        <f>IF(הפחתה[[#This Row],[תאריך]]="",0,הפחתה[[#This Row],[יתרת פתיחה]]-הפחתה[[#This Row],[קרן]]+הפחתה[[#This Row],[מדד]])</f>
        <v>458002.94477543293</v>
      </c>
      <c r="J151" s="11">
        <f>IF(הפחתה[[#This Row],[יתרת
סגירה]]&gt;0,LastRow-ROW(),0)</f>
        <v>212</v>
      </c>
      <c r="K151" s="11">
        <f>ROWS($K$4:K151)</f>
        <v>148</v>
      </c>
      <c r="L151" s="12">
        <f>IF(ValuesEntered2,IF(הפחתה5[[#This Row],[מס'']]&lt;=תקופת_ההלוואה2,IF(ROW()-ROW(הפחתה5[[#Headers],[תאריך]])=1,LoanStart2,IF(R150&gt;0,EDATE(L150,1),"")),""),"")</f>
        <v>49857</v>
      </c>
      <c r="M151" s="13">
        <f>IF(ROW()-ROW(הפחתה5[[#Headers],[יתרת פתיחה]])=1,סכום_הלוואה2,IF(הפחתה5[[#This Row],[תאריך]]="",0,INDEX(הפחתה5[], ROW()-4,8)))</f>
        <v>195576.53147481379</v>
      </c>
      <c r="N151" s="13">
        <f>IF(ValuesEntered2,IF(ROW()-ROW(הפחתה5[[#Headers],[ריבית]])=1,-IPMT(שיעור_ריבית2/12,1,תקופת_ההלוואה2-ROWS($L$4:L151)+1,הפחתה5[[#This Row],[יתרת פתיחה]]),IFERROR(-IPMT(שיעור_ריבית2/12,1,הפחתה5[[#This Row],[תשלומים
שנותרו]],M152),0)),0)</f>
        <v>762.34314797318859</v>
      </c>
      <c r="O151" s="13">
        <f>IFERROR(IF(AND(ValuesEntered2,הפחתה5[[#This Row],[תאריך]]&lt;&gt;""),-PPMT(שיעור_ריבית2/12,1,תקופת_ההלוואה2-ROWS($L$4:L151)+1,הפחתה5[[#This Row],[יתרת פתיחה]]),""),0)</f>
        <v>935.72773697837181</v>
      </c>
      <c r="P151" s="13">
        <f>(הפחתה5[[#This Row],[יתרת פתיחה]])*(מדד2/12)</f>
        <v>0</v>
      </c>
      <c r="Q151" s="13">
        <f>IF(הפחתה5[[#This Row],[תאריך]]="",0,הפחתה5[[#This Row],[ריבית]]+הפחתה5[[#This Row],[קרן]]+הפחתה5[[#This Row],[מדד]])</f>
        <v>1698.0708849515604</v>
      </c>
      <c r="R151" s="13">
        <f>IF(הפחתה5[[#This Row],[תאריך]]="",0,הפחתה5[[#This Row],[יתרת פתיחה]]-הפחתה5[[#This Row],[קרן]]+הפחתה5[[#This Row],[מדד]])</f>
        <v>194640.80373783541</v>
      </c>
      <c r="S151" s="11">
        <f>IF(הפחתה5[[#This Row],[יתרת
סגירה]]&gt;0,LastRow2-ROW(),0)</f>
        <v>152</v>
      </c>
      <c r="T151" s="11">
        <f>ROWS($T$4:T151)</f>
        <v>148</v>
      </c>
      <c r="U151" s="12">
        <f ca="1">IF(ValuesEntered3,IF(הפחתה7[[#This Row],[מס'']]&lt;=תקופת_ההלוואה3,IF(ROW()-ROW(הפחתה7[[#Headers],[תאריך]])=1,LoanStart3,IF(AA150&gt;0,EDATE(U150,1),"")),""),"")</f>
        <v>50096</v>
      </c>
      <c r="V151" s="13">
        <f ca="1">IF(ROW()-ROW(הפחתה7[[#Headers],[יתרת פתיחה]])=1,סכום_הלוואה3,IF(הפחתה7[[#This Row],[תאריך]]="",0,INDEX(הפחתה7[], ROW()-4,8)))</f>
        <v>74301.293174158622</v>
      </c>
      <c r="W151" s="13">
        <f ca="1">IF(ValuesEntered3,IF(ROW()-ROW(הפחתה7[[#Headers],[ריבית]])=1,-IPMT(שיעור_ריבית3/12,1,תקופת_ההלוואה3-ROWS($C$4:U151)+1,הפחתה7[[#This Row],[יתרת פתיחה]]),IFERROR(-IPMT(שיעור_ריבית3/12,1,הפחתה7[[#This Row],[תשלומים
שנותרו]],V152),0)),0)</f>
        <v>141.84630453890861</v>
      </c>
      <c r="X151" s="13">
        <f ca="1">IFERROR(IF(AND(ValuesEntered3,הפחתה7[[#This Row],[תאריך]]&lt;&gt;""),-PPMT(שיעור_ריבית3/12,1,תקופת_ההלוואה3-ROWS($C$4:U151)+1,הפחתה7[[#This Row],[יתרת פתיחה]]),""),0)</f>
        <v>418.36107726467401</v>
      </c>
      <c r="Y151" s="13">
        <f ca="1">(הפחתה7[[#This Row],[יתרת פתיחה]])*(מדד3/12)</f>
        <v>123.83548862359771</v>
      </c>
      <c r="Z151" s="13">
        <f ca="1">IF(הפחתה7[[#This Row],[תאריך]]="",0,הפחתה7[[#This Row],[ריבית]]+הפחתה7[[#This Row],[קרן]]+הפחתה7[[#This Row],[מדד]])</f>
        <v>684.04287042718033</v>
      </c>
      <c r="AA151" s="13">
        <f ca="1">IF(הפחתה7[[#This Row],[תאריך]]="",0,הפחתה7[[#This Row],[יתרת פתיחה]]-הפחתה7[[#This Row],[קרן]]+הפחתה7[[#This Row],[מדד]])</f>
        <v>74006.767585517548</v>
      </c>
      <c r="AB151" s="11">
        <f ca="1">IF(הפחתה7[[#This Row],[יתרת
סגירה]]&gt;0,LastRow3-ROW(),0)</f>
        <v>152</v>
      </c>
      <c r="AC151" s="17">
        <f>ROWS($AC$4:AC151)</f>
        <v>148</v>
      </c>
      <c r="AD151" s="18" t="str">
        <f ca="1">IF(ValuesEntered4,IF(הפחתה8[[#This Row],[מס'']]&lt;=תקופת_ההלוואה4,IF(ROW()-ROW(הפחתה8[[#Headers],[תאריך]])=1,LoanStart4,IF(AJ150&gt;0,EDATE(AD150,1),"")),""),"")</f>
        <v/>
      </c>
      <c r="AE151" s="19">
        <f ca="1">IF(ROW()-ROW(הפחתה8[[#Headers],[יתרת פתיחה]])=1,סכום_הלוואה4,IF(הפחתה8[[#This Row],[תאריך]]="",0,INDEX(הפחתה8[], ROW()-4,8)))</f>
        <v>0</v>
      </c>
      <c r="AF151" s="19">
        <f ca="1">IF(ValuesEntered4,IF(ROW()-ROW(הפחתה8[[#Headers],[ריבית]])=1,-IPMT(שיעור_ריבית4/12,1,תקופת_ההלוואה4-ROWS($C$4:AD151)+1,הפחתה8[[#This Row],[יתרת פתיחה]]),IFERROR(-IPMT(שיעור_ריבית4/12,1,הפחתה8[[#This Row],[תשלומים
שנותרו]],AE152),0)),0)</f>
        <v>0</v>
      </c>
      <c r="AG151" s="19" t="str">
        <f ca="1">IFERROR(IF(AND(ValuesEntered4,הפחתה8[[#This Row],[תאריך]]&lt;&gt;""),-PPMT(שיעור_ריבית4/12,1,תקופת_ההלוואה4-ROWS($C$4:AD151)+1,הפחתה8[[#This Row],[יתרת פתיחה]]),""),0)</f>
        <v/>
      </c>
      <c r="AH151" s="19">
        <f ca="1">(הפחתה8[[#This Row],[יתרת פתיחה]])*(מדד4/12)</f>
        <v>0</v>
      </c>
      <c r="AI151" s="19">
        <f ca="1">IF(הפחתה8[[#This Row],[תאריך]]="",0,הפחתה8[[#This Row],[ריבית]]+הפחתה8[[#This Row],[קרן]]+הפחתה8[[#This Row],[מדד]])</f>
        <v>0</v>
      </c>
      <c r="AJ151" s="19">
        <f ca="1">IF(הפחתה8[[#This Row],[תאריך]]="",0,הפחתה8[[#This Row],[יתרת פתיחה]]-הפחתה8[[#This Row],[קרן]])</f>
        <v>0</v>
      </c>
      <c r="AK151" s="20">
        <f ca="1">IF(הפחתה8[[#This Row],[יתרת
סגירה]]&gt;0,LastRow4-ROW(),0)</f>
        <v>0</v>
      </c>
    </row>
    <row r="152" spans="1:37" ht="15" customHeight="1" x14ac:dyDescent="0.25">
      <c r="A152" s="8"/>
      <c r="B152" s="11">
        <f>ROWS($B$4:B152)</f>
        <v>149</v>
      </c>
      <c r="C152" s="12">
        <f>IF(ValuesEntered,IF(הפחתה[[#This Row],[מס'']]&lt;=תקופת_ההלוואה,IF(ROW()-ROW(הפחתה[[#Headers],[תאריך]])=1,LoanStart,IF(I151&gt;0,EDATE(C151,1),"")),""),"")</f>
        <v>49888</v>
      </c>
      <c r="D152" s="13">
        <f>IF(ROW()-ROW(הפחתה[[#Headers],[יתרת פתיחה]])=1,סכום_הלוואה,IF(הפחתה[[#This Row],[תאריך]]="",0,INDEX(הפחתה[], ROW()-4,8)))</f>
        <v>458002.94477543293</v>
      </c>
      <c r="E152" s="13">
        <f>IF(ValuesEntered,IF(ROW()-ROW(הפחתה[[#Headers],[ריבית]])=1,-IPMT(שיעור_ריבית/12,1,תקופת_ההלוואה-ROWS($C$4:C152)+1,הפחתה[[#This Row],[יתרת פתיחה]]),IFERROR(-IPMT(שיעור_ריבית/12,1,הפחתה[[#This Row],[תשלומים
שנותרו]],D153),0)),0)</f>
        <v>2017.0650041354204</v>
      </c>
      <c r="F152" s="13">
        <f>IFERROR(IF(AND(ValuesEntered,הפחתה[[#This Row],[תאריך]]&lt;&gt;""),-PPMT(שיעור_ריבית/12,1,תקופת_ההלוואה-ROWS($C$4:C152)+1,הפחתה[[#This Row],[יתרת פתיחה]]),""),0)</f>
        <v>1308.9815749603906</v>
      </c>
      <c r="G152" s="13">
        <f>(הפחתה[[#This Row],[יתרת פתיחה]])*(מדד/12)</f>
        <v>0</v>
      </c>
      <c r="H152" s="13">
        <f>IF(הפחתה[[#This Row],[תאריך]]="",0,הפחתה[[#This Row],[ריבית]]+הפחתה[[#This Row],[קרן]]+הפחתה[[#This Row],[מדד]])</f>
        <v>3326.046579095811</v>
      </c>
      <c r="I152" s="13">
        <f>IF(הפחתה[[#This Row],[תאריך]]="",0,הפחתה[[#This Row],[יתרת פתיחה]]-הפחתה[[#This Row],[קרן]]+הפחתה[[#This Row],[מדד]])</f>
        <v>456693.96320047253</v>
      </c>
      <c r="J152" s="11">
        <f>IF(הפחתה[[#This Row],[יתרת
סגירה]]&gt;0,LastRow-ROW(),0)</f>
        <v>211</v>
      </c>
      <c r="K152" s="11">
        <f>ROWS($K$4:K152)</f>
        <v>149</v>
      </c>
      <c r="L152" s="12">
        <f>IF(ValuesEntered2,IF(הפחתה5[[#This Row],[מס'']]&lt;=תקופת_ההלוואה2,IF(ROW()-ROW(הפחתה5[[#Headers],[תאריך]])=1,LoanStart2,IF(R151&gt;0,EDATE(L151,1),"")),""),"")</f>
        <v>49888</v>
      </c>
      <c r="M152" s="13">
        <f>IF(ROW()-ROW(הפחתה5[[#Headers],[יתרת פתיחה]])=1,סכום_הלוואה2,IF(הפחתה5[[#This Row],[תאריך]]="",0,INDEX(הפחתה5[], ROW()-4,8)))</f>
        <v>194640.80373783541</v>
      </c>
      <c r="N152" s="13">
        <f>IF(ValuesEntered2,IF(ROW()-ROW(הפחתה5[[#Headers],[ריבית]])=1,-IPMT(שיעור_ריבית2/12,1,תקופת_ההלוואה2-ROWS($L$4:L152)+1,הפחתה5[[#This Row],[יתרת פתיחה]]),IFERROR(-IPMT(שיעור_ריבית2/12,1,הפחתה5[[#This Row],[תשלומים
שנותרו]],M153),0)),0)</f>
        <v>758.66386001328033</v>
      </c>
      <c r="O152" s="13">
        <f>IFERROR(IF(AND(ValuesEntered2,הפחתה5[[#This Row],[תאריך]]&lt;&gt;""),-PPMT(שיעור_ריבית2/12,1,תקופת_ההלוואה2-ROWS($L$4:L152)+1,הפחתה5[[#This Row],[יתרת פתיחה]]),""),0)</f>
        <v>939.39267061487044</v>
      </c>
      <c r="P152" s="13">
        <f>(הפחתה5[[#This Row],[יתרת פתיחה]])*(מדד2/12)</f>
        <v>0</v>
      </c>
      <c r="Q152" s="13">
        <f>IF(הפחתה5[[#This Row],[תאריך]]="",0,הפחתה5[[#This Row],[ריבית]]+הפחתה5[[#This Row],[קרן]]+הפחתה5[[#This Row],[מדד]])</f>
        <v>1698.0565306281508</v>
      </c>
      <c r="R152" s="13">
        <f>IF(הפחתה5[[#This Row],[תאריך]]="",0,הפחתה5[[#This Row],[יתרת פתיחה]]-הפחתה5[[#This Row],[קרן]]+הפחתה5[[#This Row],[מדד]])</f>
        <v>193701.41106722053</v>
      </c>
      <c r="S152" s="11">
        <f>IF(הפחתה5[[#This Row],[יתרת
סגירה]]&gt;0,LastRow2-ROW(),0)</f>
        <v>151</v>
      </c>
      <c r="T152" s="11">
        <f>ROWS($T$4:T152)</f>
        <v>149</v>
      </c>
      <c r="U152" s="12">
        <f ca="1">IF(ValuesEntered3,IF(הפחתה7[[#This Row],[מס'']]&lt;=תקופת_ההלוואה3,IF(ROW()-ROW(הפחתה7[[#Headers],[תאריך]])=1,LoanStart3,IF(AA151&gt;0,EDATE(U151,1),"")),""),"")</f>
        <v>50124</v>
      </c>
      <c r="V152" s="13">
        <f ca="1">IF(ROW()-ROW(הפחתה7[[#Headers],[יתרת פתיחה]])=1,סכום_הלוואה3,IF(הפחתה7[[#This Row],[תאריך]]="",0,INDEX(הפחתה7[], ROW()-4,8)))</f>
        <v>74006.767585517548</v>
      </c>
      <c r="W152" s="13">
        <f ca="1">IF(ValuesEntered3,IF(ROW()-ROW(הפחתה7[[#Headers],[ריבית]])=1,-IPMT(שיעור_ריבית3/12,1,תקופת_ההלוואה3-ROWS($C$4:U152)+1,הפחתה7[[#This Row],[יתרת פתיחה]]),IFERROR(-IPMT(שיעור_ריבית3/12,1,הפחתה7[[#This Row],[תשלומים
שנותרו]],V153),0)),0)</f>
        <v>141.27797284440774</v>
      </c>
      <c r="X152" s="13">
        <f ca="1">IFERROR(IF(AND(ValuesEntered3,הפחתה7[[#This Row],[תאריך]]&lt;&gt;""),-PPMT(שיעור_ריבית3/12,1,תקופת_ההלוואה3-ROWS($C$4:U152)+1,הפחתה7[[#This Row],[יתרת פתיחה]]),""),0)</f>
        <v>419.86549672993436</v>
      </c>
      <c r="Y152" s="13">
        <f ca="1">(הפחתה7[[#This Row],[יתרת פתיחה]])*(מדד3/12)</f>
        <v>123.34461264252926</v>
      </c>
      <c r="Z152" s="13">
        <f ca="1">IF(הפחתה7[[#This Row],[תאריך]]="",0,הפחתה7[[#This Row],[ריבית]]+הפחתה7[[#This Row],[קרן]]+הפחתה7[[#This Row],[מדד]])</f>
        <v>684.48808221687136</v>
      </c>
      <c r="AA152" s="13">
        <f ca="1">IF(הפחתה7[[#This Row],[תאריך]]="",0,הפחתה7[[#This Row],[יתרת פתיחה]]-הפחתה7[[#This Row],[קרן]]+הפחתה7[[#This Row],[מדד]])</f>
        <v>73710.246701430136</v>
      </c>
      <c r="AB152" s="11">
        <f ca="1">IF(הפחתה7[[#This Row],[יתרת
סגירה]]&gt;0,LastRow3-ROW(),0)</f>
        <v>151</v>
      </c>
      <c r="AC152" s="17">
        <f>ROWS($AC$4:AC152)</f>
        <v>149</v>
      </c>
      <c r="AD152" s="18" t="str">
        <f ca="1">IF(ValuesEntered4,IF(הפחתה8[[#This Row],[מס'']]&lt;=תקופת_ההלוואה4,IF(ROW()-ROW(הפחתה8[[#Headers],[תאריך]])=1,LoanStart4,IF(AJ151&gt;0,EDATE(AD151,1),"")),""),"")</f>
        <v/>
      </c>
      <c r="AE152" s="19">
        <f ca="1">IF(ROW()-ROW(הפחתה8[[#Headers],[יתרת פתיחה]])=1,סכום_הלוואה4,IF(הפחתה8[[#This Row],[תאריך]]="",0,INDEX(הפחתה8[], ROW()-4,8)))</f>
        <v>0</v>
      </c>
      <c r="AF152" s="19">
        <f ca="1">IF(ValuesEntered4,IF(ROW()-ROW(הפחתה8[[#Headers],[ריבית]])=1,-IPMT(שיעור_ריבית4/12,1,תקופת_ההלוואה4-ROWS($C$4:AD152)+1,הפחתה8[[#This Row],[יתרת פתיחה]]),IFERROR(-IPMT(שיעור_ריבית4/12,1,הפחתה8[[#This Row],[תשלומים
שנותרו]],AE153),0)),0)</f>
        <v>0</v>
      </c>
      <c r="AG152" s="19" t="str">
        <f ca="1">IFERROR(IF(AND(ValuesEntered4,הפחתה8[[#This Row],[תאריך]]&lt;&gt;""),-PPMT(שיעור_ריבית4/12,1,תקופת_ההלוואה4-ROWS($C$4:AD152)+1,הפחתה8[[#This Row],[יתרת פתיחה]]),""),0)</f>
        <v/>
      </c>
      <c r="AH152" s="19">
        <f ca="1">(הפחתה8[[#This Row],[יתרת פתיחה]])*(מדד4/12)</f>
        <v>0</v>
      </c>
      <c r="AI152" s="19">
        <f ca="1">IF(הפחתה8[[#This Row],[תאריך]]="",0,הפחתה8[[#This Row],[ריבית]]+הפחתה8[[#This Row],[קרן]]+הפחתה8[[#This Row],[מדד]])</f>
        <v>0</v>
      </c>
      <c r="AJ152" s="19">
        <f ca="1">IF(הפחתה8[[#This Row],[תאריך]]="",0,הפחתה8[[#This Row],[יתרת פתיחה]]-הפחתה8[[#This Row],[קרן]])</f>
        <v>0</v>
      </c>
      <c r="AK152" s="20">
        <f ca="1">IF(הפחתה8[[#This Row],[יתרת
סגירה]]&gt;0,LastRow4-ROW(),0)</f>
        <v>0</v>
      </c>
    </row>
    <row r="153" spans="1:37" ht="15" customHeight="1" x14ac:dyDescent="0.25">
      <c r="A153" s="8"/>
      <c r="B153" s="11">
        <f>ROWS($B$4:B153)</f>
        <v>150</v>
      </c>
      <c r="C153" s="12">
        <f>IF(ValuesEntered,IF(הפחתה[[#This Row],[מס'']]&lt;=תקופת_ההלוואה,IF(ROW()-ROW(הפחתה[[#Headers],[תאריך]])=1,LoanStart,IF(I152&gt;0,EDATE(C152,1),"")),""),"")</f>
        <v>49919</v>
      </c>
      <c r="D153" s="13">
        <f>IF(ROW()-ROW(הפחתה[[#Headers],[יתרת פתיחה]])=1,סכום_הלוואה,IF(הפחתה[[#This Row],[תאריך]]="",0,INDEX(הפחתה[], ROW()-4,8)))</f>
        <v>456693.96320047253</v>
      </c>
      <c r="E153" s="13">
        <f>IF(ValuesEntered,IF(ROW()-ROW(הפחתה[[#Headers],[ריבית]])=1,-IPMT(שיעור_ריבית/12,1,תקופת_ההלוואה-ROWS($C$4:C153)+1,הפחתה[[#This Row],[יתרת פתיחה]]),IFERROR(-IPMT(שיעור_ריבית/12,1,הפחתה[[#This Row],[תשלומים
שנותרו]],D154),0)),0)</f>
        <v>2011.2581346151503</v>
      </c>
      <c r="F153" s="13">
        <f>IFERROR(IF(AND(ValuesEntered,הפחתה[[#This Row],[תאריך]]&lt;&gt;""),-PPMT(שיעור_ריבית/12,1,תקופת_ההלוואה-ROWS($C$4:C153)+1,הפחתה[[#This Row],[יתרת פתיחה]]),""),0)</f>
        <v>1314.762910249799</v>
      </c>
      <c r="G153" s="13">
        <f>(הפחתה[[#This Row],[יתרת פתיחה]])*(מדד/12)</f>
        <v>0</v>
      </c>
      <c r="H153" s="13">
        <f>IF(הפחתה[[#This Row],[תאריך]]="",0,הפחתה[[#This Row],[ריבית]]+הפחתה[[#This Row],[קרן]]+הפחתה[[#This Row],[מדד]])</f>
        <v>3326.0210448649495</v>
      </c>
      <c r="I153" s="13">
        <f>IF(הפחתה[[#This Row],[תאריך]]="",0,הפחתה[[#This Row],[יתרת פתיחה]]-הפחתה[[#This Row],[קרן]]+הפחתה[[#This Row],[מדד]])</f>
        <v>455379.20029022271</v>
      </c>
      <c r="J153" s="11">
        <f>IF(הפחתה[[#This Row],[יתרת
סגירה]]&gt;0,LastRow-ROW(),0)</f>
        <v>210</v>
      </c>
      <c r="K153" s="11">
        <f>ROWS($K$4:K153)</f>
        <v>150</v>
      </c>
      <c r="L153" s="12">
        <f>IF(ValuesEntered2,IF(הפחתה5[[#This Row],[מס'']]&lt;=תקופת_ההלוואה2,IF(ROW()-ROW(הפחתה5[[#Headers],[תאריך]])=1,LoanStart2,IF(R152&gt;0,EDATE(L152,1),"")),""),"")</f>
        <v>49919</v>
      </c>
      <c r="M153" s="13">
        <f>IF(ROW()-ROW(הפחתה5[[#Headers],[יתרת פתיחה]])=1,סכום_הלוואה2,IF(הפחתה5[[#This Row],[תאריך]]="",0,INDEX(הפחתה5[], ROW()-4,8)))</f>
        <v>193701.41106722053</v>
      </c>
      <c r="N153" s="13">
        <f>IF(ValuesEntered2,IF(ROW()-ROW(הפחתה5[[#Headers],[ריבית]])=1,-IPMT(שיעור_ריבית2/12,1,תקופת_ההלוואה2-ROWS($L$4:L153)+1,הפחתה5[[#This Row],[יתרת פתיחה]]),IFERROR(-IPMT(שיעור_ריבית2/12,1,הפחתה5[[#This Row],[תשלומים
שנותרו]],M154),0)),0)</f>
        <v>754.97016150886247</v>
      </c>
      <c r="O153" s="13">
        <f>IFERROR(IF(AND(ValuesEntered2,הפחתה5[[#This Row],[תאריך]]&lt;&gt;""),-PPMT(שיעור_ריבית2/12,1,תקופת_ההלוואה2-ROWS($L$4:L153)+1,הפחתה5[[#This Row],[יתרת פתיחה]]),""),0)</f>
        <v>943.07195857477859</v>
      </c>
      <c r="P153" s="13">
        <f>(הפחתה5[[#This Row],[יתרת פתיחה]])*(מדד2/12)</f>
        <v>0</v>
      </c>
      <c r="Q153" s="13">
        <f>IF(הפחתה5[[#This Row],[תאריך]]="",0,הפחתה5[[#This Row],[ריבית]]+הפחתה5[[#This Row],[קרן]]+הפחתה5[[#This Row],[מדד]])</f>
        <v>1698.0421200836411</v>
      </c>
      <c r="R153" s="13">
        <f>IF(הפחתה5[[#This Row],[תאריך]]="",0,הפחתה5[[#This Row],[יתרת פתיחה]]-הפחתה5[[#This Row],[קרן]]+הפחתה5[[#This Row],[מדד]])</f>
        <v>192758.33910864574</v>
      </c>
      <c r="S153" s="11">
        <f>IF(הפחתה5[[#This Row],[יתרת
סגירה]]&gt;0,LastRow2-ROW(),0)</f>
        <v>150</v>
      </c>
      <c r="T153" s="11">
        <f>ROWS($T$4:T153)</f>
        <v>150</v>
      </c>
      <c r="U153" s="12">
        <f ca="1">IF(ValuesEntered3,IF(הפחתה7[[#This Row],[מס'']]&lt;=תקופת_ההלוואה3,IF(ROW()-ROW(הפחתה7[[#Headers],[תאריך]])=1,LoanStart3,IF(AA152&gt;0,EDATE(U152,1),"")),""),"")</f>
        <v>50155</v>
      </c>
      <c r="V153" s="13">
        <f ca="1">IF(ROW()-ROW(הפחתה7[[#Headers],[יתרת פתיחה]])=1,סכום_הלוואה3,IF(הפחתה7[[#This Row],[תאריך]]="",0,INDEX(הפחתה7[], ROW()-4,8)))</f>
        <v>73710.246701430136</v>
      </c>
      <c r="W153" s="13">
        <f ca="1">IF(ValuesEntered3,IF(ROW()-ROW(הפחתה7[[#Headers],[ריבית]])=1,-IPMT(שיעור_ריבית3/12,1,תקופת_ההלוואה3-ROWS($C$4:U153)+1,הפחתה7[[#This Row],[יתרת פתיחה]]),IFERROR(-IPMT(שיעור_ריבית3/12,1,הפחתה7[[#This Row],[תשלומים
שנותרו]],V154),0)),0)</f>
        <v>140.70580003277783</v>
      </c>
      <c r="X153" s="13">
        <f ca="1">IFERROR(IF(AND(ValuesEntered3,הפחתה7[[#This Row],[תאריך]]&lt;&gt;""),-PPMT(שיעור_ריבית3/12,1,תקופת_ההלוואה3-ROWS($C$4:U153)+1,הפחתה7[[#This Row],[יתרת פתיחה]]),""),0)</f>
        <v>421.37535636728353</v>
      </c>
      <c r="Y153" s="13">
        <f ca="1">(הפחתה7[[#This Row],[יתרת פתיחה]])*(מדד3/12)</f>
        <v>122.85041116905023</v>
      </c>
      <c r="Z153" s="13">
        <f ca="1">IF(הפחתה7[[#This Row],[תאריך]]="",0,הפחתה7[[#This Row],[ריבית]]+הפחתה7[[#This Row],[קרן]]+הפחתה7[[#This Row],[מדד]])</f>
        <v>684.93156756911162</v>
      </c>
      <c r="AA153" s="13">
        <f ca="1">IF(הפחתה7[[#This Row],[תאריך]]="",0,הפחתה7[[#This Row],[יתרת פתיחה]]-הפחתה7[[#This Row],[קרן]]+הפחתה7[[#This Row],[מדד]])</f>
        <v>73411.721756231913</v>
      </c>
      <c r="AB153" s="11">
        <f ca="1">IF(הפחתה7[[#This Row],[יתרת
סגירה]]&gt;0,LastRow3-ROW(),0)</f>
        <v>150</v>
      </c>
      <c r="AC153" s="17">
        <f>ROWS($AC$4:AC153)</f>
        <v>150</v>
      </c>
      <c r="AD153" s="18" t="str">
        <f ca="1">IF(ValuesEntered4,IF(הפחתה8[[#This Row],[מס'']]&lt;=תקופת_ההלוואה4,IF(ROW()-ROW(הפחתה8[[#Headers],[תאריך]])=1,LoanStart4,IF(AJ152&gt;0,EDATE(AD152,1),"")),""),"")</f>
        <v/>
      </c>
      <c r="AE153" s="19">
        <f ca="1">IF(ROW()-ROW(הפחתה8[[#Headers],[יתרת פתיחה]])=1,סכום_הלוואה4,IF(הפחתה8[[#This Row],[תאריך]]="",0,INDEX(הפחתה8[], ROW()-4,8)))</f>
        <v>0</v>
      </c>
      <c r="AF153" s="19">
        <f ca="1">IF(ValuesEntered4,IF(ROW()-ROW(הפחתה8[[#Headers],[ריבית]])=1,-IPMT(שיעור_ריבית4/12,1,תקופת_ההלוואה4-ROWS($C$4:AD153)+1,הפחתה8[[#This Row],[יתרת פתיחה]]),IFERROR(-IPMT(שיעור_ריבית4/12,1,הפחתה8[[#This Row],[תשלומים
שנותרו]],AE154),0)),0)</f>
        <v>0</v>
      </c>
      <c r="AG153" s="19" t="str">
        <f ca="1">IFERROR(IF(AND(ValuesEntered4,הפחתה8[[#This Row],[תאריך]]&lt;&gt;""),-PPMT(שיעור_ריבית4/12,1,תקופת_ההלוואה4-ROWS($C$4:AD153)+1,הפחתה8[[#This Row],[יתרת פתיחה]]),""),0)</f>
        <v/>
      </c>
      <c r="AH153" s="19">
        <f ca="1">(הפחתה8[[#This Row],[יתרת פתיחה]])*(מדד4/12)</f>
        <v>0</v>
      </c>
      <c r="AI153" s="19">
        <f ca="1">IF(הפחתה8[[#This Row],[תאריך]]="",0,הפחתה8[[#This Row],[ריבית]]+הפחתה8[[#This Row],[קרן]]+הפחתה8[[#This Row],[מדד]])</f>
        <v>0</v>
      </c>
      <c r="AJ153" s="19">
        <f ca="1">IF(הפחתה8[[#This Row],[תאריך]]="",0,הפחתה8[[#This Row],[יתרת פתיחה]]-הפחתה8[[#This Row],[קרן]])</f>
        <v>0</v>
      </c>
      <c r="AK153" s="20">
        <f ca="1">IF(הפחתה8[[#This Row],[יתרת
סגירה]]&gt;0,LastRow4-ROW(),0)</f>
        <v>0</v>
      </c>
    </row>
    <row r="154" spans="1:37" ht="15" customHeight="1" x14ac:dyDescent="0.25">
      <c r="A154" s="8"/>
      <c r="B154" s="11">
        <f>ROWS($B$4:B154)</f>
        <v>151</v>
      </c>
      <c r="C154" s="12">
        <f>IF(ValuesEntered,IF(הפחתה[[#This Row],[מס'']]&lt;=תקופת_ההלוואה,IF(ROW()-ROW(הפחתה[[#Headers],[תאריך]])=1,LoanStart,IF(I153&gt;0,EDATE(C153,1),"")),""),"")</f>
        <v>49949</v>
      </c>
      <c r="D154" s="13">
        <f>IF(ROW()-ROW(הפחתה[[#Headers],[יתרת פתיחה]])=1,סכום_הלוואה,IF(הפחתה[[#This Row],[תאריך]]="",0,INDEX(הפחתה[], ROW()-4,8)))</f>
        <v>455379.20029022271</v>
      </c>
      <c r="E154" s="13">
        <f>IF(ValuesEntered,IF(ROW()-ROW(הפחתה[[#Headers],[ריבית]])=1,-IPMT(שיעור_ריבית/12,1,תקופת_ההלוואה-ROWS($C$4:C154)+1,הפחתה[[#This Row],[יתרת פתיחה]]),IFERROR(-IPMT(שיעור_ריבית/12,1,הפחתה[[#This Row],[תשלומים
שנותרו]],D155),0)),0)</f>
        <v>2005.4256180878324</v>
      </c>
      <c r="F154" s="13">
        <f>IFERROR(IF(AND(ValuesEntered,הפחתה[[#This Row],[תאריך]]&lt;&gt;""),-PPMT(שיעור_ריבית/12,1,תקופת_ההלוואה-ROWS($C$4:C154)+1,הפחתה[[#This Row],[יתרת פתיחה]]),""),0)</f>
        <v>1320.5697797700693</v>
      </c>
      <c r="G154" s="13">
        <f>(הפחתה[[#This Row],[יתרת פתיחה]])*(מדד/12)</f>
        <v>0</v>
      </c>
      <c r="H154" s="13">
        <f>IF(הפחתה[[#This Row],[תאריך]]="",0,הפחתה[[#This Row],[ריבית]]+הפחתה[[#This Row],[קרן]]+הפחתה[[#This Row],[מדד]])</f>
        <v>3325.9953978579015</v>
      </c>
      <c r="I154" s="13">
        <f>IF(הפחתה[[#This Row],[תאריך]]="",0,הפחתה[[#This Row],[יתרת פתיחה]]-הפחתה[[#This Row],[קרן]]+הפחתה[[#This Row],[מדד]])</f>
        <v>454058.63051045267</v>
      </c>
      <c r="J154" s="11">
        <f>IF(הפחתה[[#This Row],[יתרת
סגירה]]&gt;0,LastRow-ROW(),0)</f>
        <v>209</v>
      </c>
      <c r="K154" s="11">
        <f>ROWS($K$4:K154)</f>
        <v>151</v>
      </c>
      <c r="L154" s="12">
        <f>IF(ValuesEntered2,IF(הפחתה5[[#This Row],[מס'']]&lt;=תקופת_ההלוואה2,IF(ROW()-ROW(הפחתה5[[#Headers],[תאריך]])=1,LoanStart2,IF(R153&gt;0,EDATE(L153,1),"")),""),"")</f>
        <v>49949</v>
      </c>
      <c r="M154" s="13">
        <f>IF(ROW()-ROW(הפחתה5[[#Headers],[יתרת פתיחה]])=1,סכום_הלוואה2,IF(הפחתה5[[#This Row],[תאריך]]="",0,INDEX(הפחתה5[], ROW()-4,8)))</f>
        <v>192758.33910864574</v>
      </c>
      <c r="N154" s="13">
        <f>IF(ValuesEntered2,IF(ROW()-ROW(הפחתה5[[#Headers],[ריבית]])=1,-IPMT(שיעור_ריבית2/12,1,תקופת_ההלוואה2-ROWS($L$4:L154)+1,הפחתה5[[#This Row],[יתרת פתיחה]]),IFERROR(-IPMT(שיעור_ריבית2/12,1,הפחתה5[[#This Row],[תשלומים
שנותרו]],M155),0)),0)</f>
        <v>751.26199601863561</v>
      </c>
      <c r="O154" s="13">
        <f>IFERROR(IF(AND(ValuesEntered2,הפחתה5[[#This Row],[תאריך]]&lt;&gt;""),-PPMT(שיעור_ריבית2/12,1,תקופת_ההלוואה2-ROWS($L$4:L154)+1,הפחתה5[[#This Row],[יתרת פתיחה]]),""),0)</f>
        <v>946.76565707919633</v>
      </c>
      <c r="P154" s="13">
        <f>(הפחתה5[[#This Row],[יתרת פתיחה]])*(מדד2/12)</f>
        <v>0</v>
      </c>
      <c r="Q154" s="13">
        <f>IF(הפחתה5[[#This Row],[תאריך]]="",0,הפחתה5[[#This Row],[ריבית]]+הפחתה5[[#This Row],[קרן]]+הפחתה5[[#This Row],[מדד]])</f>
        <v>1698.0276530978319</v>
      </c>
      <c r="R154" s="13">
        <f>IF(הפחתה5[[#This Row],[תאריך]]="",0,הפחתה5[[#This Row],[יתרת פתיחה]]-הפחתה5[[#This Row],[קרן]]+הפחתה5[[#This Row],[מדד]])</f>
        <v>191811.57345156654</v>
      </c>
      <c r="S154" s="11">
        <f>IF(הפחתה5[[#This Row],[יתרת
סגירה]]&gt;0,LastRow2-ROW(),0)</f>
        <v>149</v>
      </c>
      <c r="T154" s="11">
        <f>ROWS($T$4:T154)</f>
        <v>151</v>
      </c>
      <c r="U154" s="12">
        <f ca="1">IF(ValuesEntered3,IF(הפחתה7[[#This Row],[מס'']]&lt;=תקופת_ההלוואה3,IF(ROW()-ROW(הפחתה7[[#Headers],[תאריך]])=1,LoanStart3,IF(AA153&gt;0,EDATE(U153,1),"")),""),"")</f>
        <v>50185</v>
      </c>
      <c r="V154" s="13">
        <f ca="1">IF(ROW()-ROW(הפחתה7[[#Headers],[יתרת פתיחה]])=1,סכום_הלוואה3,IF(הפחתה7[[#This Row],[תאריך]]="",0,INDEX(הפחתה7[], ROW()-4,8)))</f>
        <v>73411.721756231913</v>
      </c>
      <c r="W154" s="13">
        <f ca="1">IF(ValuesEntered3,IF(ROW()-ROW(הפחתה7[[#Headers],[ריבית]])=1,-IPMT(שיעור_ריבית3/12,1,תקופת_ההלוואה3-ROWS($C$4:U154)+1,הפחתה7[[#This Row],[יתרת פתיחה]]),IFERROR(-IPMT(שיעור_ריבית3/12,1,הפחתה7[[#This Row],[תשלומים
שנותרו]],V155),0)),0)</f>
        <v>140.12976923646465</v>
      </c>
      <c r="X154" s="13">
        <f ca="1">IFERROR(IF(AND(ValuesEntered3,הפחתה7[[#This Row],[תאריך]]&lt;&gt;""),-PPMT(שיעור_ריבית3/12,1,תקופת_ההלוואה3-ROWS($C$4:U154)+1,הפחתה7[[#This Row],[יתרת פתיחה]]),""),0)</f>
        <v>422.89067636580154</v>
      </c>
      <c r="Y154" s="13">
        <f ca="1">(הפחתה7[[#This Row],[יתרת פתיחה]])*(מדד3/12)</f>
        <v>122.35286959371986</v>
      </c>
      <c r="Z154" s="13">
        <f ca="1">IF(הפחתה7[[#This Row],[תאריך]]="",0,הפחתה7[[#This Row],[ריבית]]+הפחתה7[[#This Row],[קרן]]+הפחתה7[[#This Row],[מדד]])</f>
        <v>685.37331519598604</v>
      </c>
      <c r="AA154" s="13">
        <f ca="1">IF(הפחתה7[[#This Row],[תאריך]]="",0,הפחתה7[[#This Row],[יתרת פתיחה]]-הפחתה7[[#This Row],[קרן]]+הפחתה7[[#This Row],[מדד]])</f>
        <v>73111.183949459824</v>
      </c>
      <c r="AB154" s="11">
        <f ca="1">IF(הפחתה7[[#This Row],[יתרת
סגירה]]&gt;0,LastRow3-ROW(),0)</f>
        <v>149</v>
      </c>
      <c r="AC154" s="17">
        <f>ROWS($AC$4:AC154)</f>
        <v>151</v>
      </c>
      <c r="AD154" s="18" t="str">
        <f ca="1">IF(ValuesEntered4,IF(הפחתה8[[#This Row],[מס'']]&lt;=תקופת_ההלוואה4,IF(ROW()-ROW(הפחתה8[[#Headers],[תאריך]])=1,LoanStart4,IF(AJ153&gt;0,EDATE(AD153,1),"")),""),"")</f>
        <v/>
      </c>
      <c r="AE154" s="19">
        <f ca="1">IF(ROW()-ROW(הפחתה8[[#Headers],[יתרת פתיחה]])=1,סכום_הלוואה4,IF(הפחתה8[[#This Row],[תאריך]]="",0,INDEX(הפחתה8[], ROW()-4,8)))</f>
        <v>0</v>
      </c>
      <c r="AF154" s="19">
        <f ca="1">IF(ValuesEntered4,IF(ROW()-ROW(הפחתה8[[#Headers],[ריבית]])=1,-IPMT(שיעור_ריבית4/12,1,תקופת_ההלוואה4-ROWS($C$4:AD154)+1,הפחתה8[[#This Row],[יתרת פתיחה]]),IFERROR(-IPMT(שיעור_ריבית4/12,1,הפחתה8[[#This Row],[תשלומים
שנותרו]],AE155),0)),0)</f>
        <v>0</v>
      </c>
      <c r="AG154" s="19" t="str">
        <f ca="1">IFERROR(IF(AND(ValuesEntered4,הפחתה8[[#This Row],[תאריך]]&lt;&gt;""),-PPMT(שיעור_ריבית4/12,1,תקופת_ההלוואה4-ROWS($C$4:AD154)+1,הפחתה8[[#This Row],[יתרת פתיחה]]),""),0)</f>
        <v/>
      </c>
      <c r="AH154" s="19">
        <f ca="1">(הפחתה8[[#This Row],[יתרת פתיחה]])*(מדד4/12)</f>
        <v>0</v>
      </c>
      <c r="AI154" s="19">
        <f ca="1">IF(הפחתה8[[#This Row],[תאריך]]="",0,הפחתה8[[#This Row],[ריבית]]+הפחתה8[[#This Row],[קרן]]+הפחתה8[[#This Row],[מדד]])</f>
        <v>0</v>
      </c>
      <c r="AJ154" s="19">
        <f ca="1">IF(הפחתה8[[#This Row],[תאריך]]="",0,הפחתה8[[#This Row],[יתרת פתיחה]]-הפחתה8[[#This Row],[קרן]])</f>
        <v>0</v>
      </c>
      <c r="AK154" s="20">
        <f ca="1">IF(הפחתה8[[#This Row],[יתרת
סגירה]]&gt;0,LastRow4-ROW(),0)</f>
        <v>0</v>
      </c>
    </row>
    <row r="155" spans="1:37" ht="15" customHeight="1" x14ac:dyDescent="0.25">
      <c r="A155" s="8"/>
      <c r="B155" s="11">
        <f>ROWS($B$4:B155)</f>
        <v>152</v>
      </c>
      <c r="C155" s="12">
        <f>IF(ValuesEntered,IF(הפחתה[[#This Row],[מס'']]&lt;=תקופת_ההלוואה,IF(ROW()-ROW(הפחתה[[#Headers],[תאריך]])=1,LoanStart,IF(I154&gt;0,EDATE(C154,1),"")),""),"")</f>
        <v>49980</v>
      </c>
      <c r="D155" s="13">
        <f>IF(ROW()-ROW(הפחתה[[#Headers],[יתרת פתיחה]])=1,סכום_הלוואה,IF(הפחתה[[#This Row],[תאריך]]="",0,INDEX(הפחתה[], ROW()-4,8)))</f>
        <v>454058.63051045267</v>
      </c>
      <c r="E155" s="13">
        <f>IF(ValuesEntered,IF(ROW()-ROW(הפחתה[[#Headers],[ריבית]])=1,-IPMT(שיעור_ריבית/12,1,תקופת_ההלוואה-ROWS($C$4:C155)+1,הפחתה[[#This Row],[יתרת פתיחה]]),IFERROR(-IPMT(שיעור_ריבית/12,1,הפחתה[[#This Row],[תשלומים
שנותרו]],D156),0)),0)</f>
        <v>1999.5673412791859</v>
      </c>
      <c r="F155" s="13">
        <f>IFERROR(IF(AND(ValuesEntered,הפחתה[[#This Row],[תאריך]]&lt;&gt;""),-PPMT(שיעור_ריבית/12,1,תקופת_ההלוואה-ROWS($C$4:C155)+1,הפחתה[[#This Row],[יתרת פתיחה]]),""),0)</f>
        <v>1326.4022962973868</v>
      </c>
      <c r="G155" s="13">
        <f>(הפחתה[[#This Row],[יתרת פתיחה]])*(מדד/12)</f>
        <v>0</v>
      </c>
      <c r="H155" s="13">
        <f>IF(הפחתה[[#This Row],[תאריך]]="",0,הפחתה[[#This Row],[ריבית]]+הפחתה[[#This Row],[קרן]]+הפחתה[[#This Row],[מדד]])</f>
        <v>3325.9696375765725</v>
      </c>
      <c r="I155" s="13">
        <f>IF(הפחתה[[#This Row],[תאריך]]="",0,הפחתה[[#This Row],[יתרת פתיחה]]-הפחתה[[#This Row],[קרן]]+הפחתה[[#This Row],[מדד]])</f>
        <v>452732.2282141553</v>
      </c>
      <c r="J155" s="11">
        <f>IF(הפחתה[[#This Row],[יתרת
סגירה]]&gt;0,LastRow-ROW(),0)</f>
        <v>208</v>
      </c>
      <c r="K155" s="11">
        <f>ROWS($K$4:K155)</f>
        <v>152</v>
      </c>
      <c r="L155" s="12">
        <f>IF(ValuesEntered2,IF(הפחתה5[[#This Row],[מס'']]&lt;=תקופת_ההלוואה2,IF(ROW()-ROW(הפחתה5[[#Headers],[תאריך]])=1,LoanStart2,IF(R154&gt;0,EDATE(L154,1),"")),""),"")</f>
        <v>49980</v>
      </c>
      <c r="M155" s="13">
        <f>IF(ROW()-ROW(הפחתה5[[#Headers],[יתרת פתיחה]])=1,סכום_הלוואה2,IF(הפחתה5[[#This Row],[תאריך]]="",0,INDEX(הפחתה5[], ROW()-4,8)))</f>
        <v>191811.57345156654</v>
      </c>
      <c r="N155" s="13">
        <f>IF(ValuesEntered2,IF(ROW()-ROW(הפחתה5[[#Headers],[ריבית]])=1,-IPMT(שיעור_ריבית2/12,1,תקופת_ההלוואה2-ROWS($L$4:L155)+1,הפחתה5[[#This Row],[יתרת פתיחה]]),IFERROR(-IPMT(שיעור_ריבית2/12,1,הפחתה5[[#This Row],[תשלומים
שנותרו]],M156),0)),0)</f>
        <v>747.53930688023866</v>
      </c>
      <c r="O155" s="13">
        <f>IFERROR(IF(AND(ValuesEntered2,הפחתה5[[#This Row],[תאריך]]&lt;&gt;""),-PPMT(שיעור_ריבית2/12,1,תקופת_ההלוואה2-ROWS($L$4:L155)+1,הפחתה5[[#This Row],[יתרת פתיחה]]),""),0)</f>
        <v>950.47382256942342</v>
      </c>
      <c r="P155" s="13">
        <f>(הפחתה5[[#This Row],[יתרת פתיחה]])*(מדד2/12)</f>
        <v>0</v>
      </c>
      <c r="Q155" s="13">
        <f>IF(הפחתה5[[#This Row],[תאריך]]="",0,הפחתה5[[#This Row],[ריבית]]+הפחתה5[[#This Row],[קרן]]+הפחתה5[[#This Row],[מדד]])</f>
        <v>1698.0131294496621</v>
      </c>
      <c r="R155" s="13">
        <f>IF(הפחתה5[[#This Row],[תאריך]]="",0,הפחתה5[[#This Row],[יתרת פתיחה]]-הפחתה5[[#This Row],[קרן]]+הפחתה5[[#This Row],[מדד]])</f>
        <v>190861.09962899712</v>
      </c>
      <c r="S155" s="11">
        <f>IF(הפחתה5[[#This Row],[יתרת
סגירה]]&gt;0,LastRow2-ROW(),0)</f>
        <v>148</v>
      </c>
      <c r="T155" s="11">
        <f>ROWS($T$4:T155)</f>
        <v>152</v>
      </c>
      <c r="U155" s="12">
        <f ca="1">IF(ValuesEntered3,IF(הפחתה7[[#This Row],[מס'']]&lt;=תקופת_ההלוואה3,IF(ROW()-ROW(הפחתה7[[#Headers],[תאריך]])=1,LoanStart3,IF(AA154&gt;0,EDATE(U154,1),"")),""),"")</f>
        <v>50216</v>
      </c>
      <c r="V155" s="13">
        <f ca="1">IF(ROW()-ROW(הפחתה7[[#Headers],[יתרת פתיחה]])=1,סכום_הלוואה3,IF(הפחתה7[[#This Row],[תאריך]]="",0,INDEX(הפחתה7[], ROW()-4,8)))</f>
        <v>73111.183949459824</v>
      </c>
      <c r="W155" s="13">
        <f ca="1">IF(ValuesEntered3,IF(ROW()-ROW(הפחתה7[[#Headers],[ריבית]])=1,-IPMT(שיעור_ריבית3/12,1,תקופת_ההלוואה3-ROWS($C$4:U155)+1,הפחתה7[[#This Row],[יתרת פתיחה]]),IFERROR(-IPMT(שיעור_ריבית3/12,1,הפחתה7[[#This Row],[תשלומים
שנותרו]],V156),0)),0)</f>
        <v>139.54986352094016</v>
      </c>
      <c r="X155" s="13">
        <f ca="1">IFERROR(IF(AND(ValuesEntered3,הפחתה7[[#This Row],[תאריך]]&lt;&gt;""),-PPMT(שיעור_ריבית3/12,1,תקופת_ההלוואה3-ROWS($C$4:U155)+1,הפחתה7[[#This Row],[יתרת פתיחה]]),""),0)</f>
        <v>424.41147700100726</v>
      </c>
      <c r="Y155" s="13">
        <f ca="1">(הפחתה7[[#This Row],[יתרת פתיחה]])*(מדד3/12)</f>
        <v>121.85197324909971</v>
      </c>
      <c r="Z155" s="13">
        <f ca="1">IF(הפחתה7[[#This Row],[תאריך]]="",0,הפחתה7[[#This Row],[ריבית]]+הפחתה7[[#This Row],[קרן]]+הפחתה7[[#This Row],[מדד]])</f>
        <v>685.81331377104721</v>
      </c>
      <c r="AA155" s="13">
        <f ca="1">IF(הפחתה7[[#This Row],[תאריך]]="",0,הפחתה7[[#This Row],[יתרת פתיחה]]-הפחתה7[[#This Row],[קרן]]+הפחתה7[[#This Row],[מדד]])</f>
        <v>72808.624445707916</v>
      </c>
      <c r="AB155" s="11">
        <f ca="1">IF(הפחתה7[[#This Row],[יתרת
סגירה]]&gt;0,LastRow3-ROW(),0)</f>
        <v>148</v>
      </c>
      <c r="AC155" s="17">
        <f>ROWS($AC$4:AC155)</f>
        <v>152</v>
      </c>
      <c r="AD155" s="18" t="str">
        <f ca="1">IF(ValuesEntered4,IF(הפחתה8[[#This Row],[מס'']]&lt;=תקופת_ההלוואה4,IF(ROW()-ROW(הפחתה8[[#Headers],[תאריך]])=1,LoanStart4,IF(AJ154&gt;0,EDATE(AD154,1),"")),""),"")</f>
        <v/>
      </c>
      <c r="AE155" s="19">
        <f ca="1">IF(ROW()-ROW(הפחתה8[[#Headers],[יתרת פתיחה]])=1,סכום_הלוואה4,IF(הפחתה8[[#This Row],[תאריך]]="",0,INDEX(הפחתה8[], ROW()-4,8)))</f>
        <v>0</v>
      </c>
      <c r="AF155" s="19">
        <f ca="1">IF(ValuesEntered4,IF(ROW()-ROW(הפחתה8[[#Headers],[ריבית]])=1,-IPMT(שיעור_ריבית4/12,1,תקופת_ההלוואה4-ROWS($C$4:AD155)+1,הפחתה8[[#This Row],[יתרת פתיחה]]),IFERROR(-IPMT(שיעור_ריבית4/12,1,הפחתה8[[#This Row],[תשלומים
שנותרו]],AE156),0)),0)</f>
        <v>0</v>
      </c>
      <c r="AG155" s="19" t="str">
        <f ca="1">IFERROR(IF(AND(ValuesEntered4,הפחתה8[[#This Row],[תאריך]]&lt;&gt;""),-PPMT(שיעור_ריבית4/12,1,תקופת_ההלוואה4-ROWS($C$4:AD155)+1,הפחתה8[[#This Row],[יתרת פתיחה]]),""),0)</f>
        <v/>
      </c>
      <c r="AH155" s="19">
        <f ca="1">(הפחתה8[[#This Row],[יתרת פתיחה]])*(מדד4/12)</f>
        <v>0</v>
      </c>
      <c r="AI155" s="19">
        <f ca="1">IF(הפחתה8[[#This Row],[תאריך]]="",0,הפחתה8[[#This Row],[ריבית]]+הפחתה8[[#This Row],[קרן]]+הפחתה8[[#This Row],[מדד]])</f>
        <v>0</v>
      </c>
      <c r="AJ155" s="19">
        <f ca="1">IF(הפחתה8[[#This Row],[תאריך]]="",0,הפחתה8[[#This Row],[יתרת פתיחה]]-הפחתה8[[#This Row],[קרן]])</f>
        <v>0</v>
      </c>
      <c r="AK155" s="20">
        <f ca="1">IF(הפחתה8[[#This Row],[יתרת
סגירה]]&gt;0,LastRow4-ROW(),0)</f>
        <v>0</v>
      </c>
    </row>
    <row r="156" spans="1:37" ht="15" customHeight="1" x14ac:dyDescent="0.25">
      <c r="A156" s="8"/>
      <c r="B156" s="11">
        <f>ROWS($B$4:B156)</f>
        <v>153</v>
      </c>
      <c r="C156" s="12">
        <f>IF(ValuesEntered,IF(הפחתה[[#This Row],[מס'']]&lt;=תקופת_ההלוואה,IF(ROW()-ROW(הפחתה[[#Headers],[תאריך]])=1,LoanStart,IF(I155&gt;0,EDATE(C155,1),"")),""),"")</f>
        <v>50010</v>
      </c>
      <c r="D156" s="13">
        <f>IF(ROW()-ROW(הפחתה[[#Headers],[יתרת פתיחה]])=1,סכום_הלוואה,IF(הפחתה[[#This Row],[תאריך]]="",0,INDEX(הפחתה[], ROW()-4,8)))</f>
        <v>452732.2282141553</v>
      </c>
      <c r="E156" s="13">
        <f>IF(ValuesEntered,IF(ROW()-ROW(הפחתה[[#Headers],[ריבית]])=1,-IPMT(שיעור_ריבית/12,1,תקופת_ההלוואה-ROWS($C$4:C156)+1,הפחתה[[#This Row],[יתרת פתיחה]]),IFERROR(-IPMT(שיעור_ריבית/12,1,הפחתה[[#This Row],[תשלומים
שנותרו]],D157),0)),0)</f>
        <v>1993.6831904146343</v>
      </c>
      <c r="F156" s="13">
        <f>IFERROR(IF(AND(ValuesEntered,הפחתה[[#This Row],[תאריך]]&lt;&gt;""),-PPMT(שיעור_ריבית/12,1,תקופת_ההלוואה-ROWS($C$4:C156)+1,הפחתה[[#This Row],[יתרת פתיחה]]),""),0)</f>
        <v>1332.2605731060339</v>
      </c>
      <c r="G156" s="13">
        <f>(הפחתה[[#This Row],[יתרת פתיחה]])*(מדד/12)</f>
        <v>0</v>
      </c>
      <c r="H156" s="13">
        <f>IF(הפחתה[[#This Row],[תאריך]]="",0,הפחתה[[#This Row],[ריבית]]+הפחתה[[#This Row],[קרן]]+הפחתה[[#This Row],[מדד]])</f>
        <v>3325.9437635206682</v>
      </c>
      <c r="I156" s="13">
        <f>IF(הפחתה[[#This Row],[תאריך]]="",0,הפחתה[[#This Row],[יתרת פתיחה]]-הפחתה[[#This Row],[קרן]]+הפחתה[[#This Row],[מדד]])</f>
        <v>451399.96764104924</v>
      </c>
      <c r="J156" s="11">
        <f>IF(הפחתה[[#This Row],[יתרת
סגירה]]&gt;0,LastRow-ROW(),0)</f>
        <v>207</v>
      </c>
      <c r="K156" s="11">
        <f>ROWS($K$4:K156)</f>
        <v>153</v>
      </c>
      <c r="L156" s="12">
        <f>IF(ValuesEntered2,IF(הפחתה5[[#This Row],[מס'']]&lt;=תקופת_ההלוואה2,IF(ROW()-ROW(הפחתה5[[#Headers],[תאריך]])=1,LoanStart2,IF(R155&gt;0,EDATE(L155,1),"")),""),"")</f>
        <v>50010</v>
      </c>
      <c r="M156" s="13">
        <f>IF(ROW()-ROW(הפחתה5[[#Headers],[יתרת פתיחה]])=1,סכום_הלוואה2,IF(הפחתה5[[#This Row],[תאריך]]="",0,INDEX(הפחתה5[], ROW()-4,8)))</f>
        <v>190861.09962899712</v>
      </c>
      <c r="N156" s="13">
        <f>IF(ValuesEntered2,IF(ROW()-ROW(הפחתה5[[#Headers],[ריבית]])=1,-IPMT(שיעור_ריבית2/12,1,תקופת_ההלוואה2-ROWS($L$4:L156)+1,הפחתה5[[#This Row],[יתרת פתיחה]]),IFERROR(-IPMT(שיעור_ריבית2/12,1,הפחתה5[[#This Row],[תשלומים
שנותרו]],M157),0)),0)</f>
        <v>743.802037209383</v>
      </c>
      <c r="O156" s="13">
        <f>IFERROR(IF(AND(ValuesEntered2,הפחתה5[[#This Row],[תאריך]]&lt;&gt;""),-PPMT(שיעור_ריבית2/12,1,תקופת_ההלוואה2-ROWS($L$4:L156)+1,הפחתה5[[#This Row],[יתרת פתיחה]]),""),0)</f>
        <v>954.19651170782026</v>
      </c>
      <c r="P156" s="13">
        <f>(הפחתה5[[#This Row],[יתרת פתיחה]])*(מדד2/12)</f>
        <v>0</v>
      </c>
      <c r="Q156" s="13">
        <f>IF(הפחתה5[[#This Row],[תאריך]]="",0,הפחתה5[[#This Row],[ריבית]]+הפחתה5[[#This Row],[קרן]]+הפחתה5[[#This Row],[מדד]])</f>
        <v>1697.9985489172032</v>
      </c>
      <c r="R156" s="13">
        <f>IF(הפחתה5[[#This Row],[תאריך]]="",0,הפחתה5[[#This Row],[יתרת פתיחה]]-הפחתה5[[#This Row],[קרן]]+הפחתה5[[#This Row],[מדד]])</f>
        <v>189906.9031172893</v>
      </c>
      <c r="S156" s="11">
        <f>IF(הפחתה5[[#This Row],[יתרת
סגירה]]&gt;0,LastRow2-ROW(),0)</f>
        <v>147</v>
      </c>
      <c r="T156" s="11">
        <f>ROWS($T$4:T156)</f>
        <v>153</v>
      </c>
      <c r="U156" s="12">
        <f ca="1">IF(ValuesEntered3,IF(הפחתה7[[#This Row],[מס'']]&lt;=תקופת_ההלוואה3,IF(ROW()-ROW(הפחתה7[[#Headers],[תאריך]])=1,LoanStart3,IF(AA155&gt;0,EDATE(U155,1),"")),""),"")</f>
        <v>50246</v>
      </c>
      <c r="V156" s="13">
        <f ca="1">IF(ROW()-ROW(הפחתה7[[#Headers],[יתרת פתיחה]])=1,סכום_הלוואה3,IF(הפחתה7[[#This Row],[תאריך]]="",0,INDEX(הפחתה7[], ROW()-4,8)))</f>
        <v>72808.624445707916</v>
      </c>
      <c r="W156" s="13">
        <f ca="1">IF(ValuesEntered3,IF(ROW()-ROW(הפחתה7[[#Headers],[ריבית]])=1,-IPMT(שיעור_ריבית3/12,1,תקופת_ההלוואה3-ROWS($C$4:U156)+1,הפחתה7[[#This Row],[יתרת פתיחה]]),IFERROR(-IPMT(שיעור_ריבית3/12,1,הפחתה7[[#This Row],[תשלומים
שנותרו]],V157),0)),0)</f>
        <v>138.96606588442359</v>
      </c>
      <c r="X156" s="13">
        <f ca="1">IFERROR(IF(AND(ValuesEntered3,הפחתה7[[#This Row],[תאריך]]&lt;&gt;""),-PPMT(שיעור_ריבית3/12,1,תקופת_ההלוואה3-ROWS($C$4:U156)+1,הפחתה7[[#This Row],[יתרת פתיחה]]),""),0)</f>
        <v>425.93777863554999</v>
      </c>
      <c r="Y156" s="13">
        <f ca="1">(הפחתה7[[#This Row],[יתרת פתיחה]])*(מדד3/12)</f>
        <v>121.34770740951321</v>
      </c>
      <c r="Z156" s="13">
        <f ca="1">IF(הפחתה7[[#This Row],[תאריך]]="",0,הפחתה7[[#This Row],[ריבית]]+הפחתה7[[#This Row],[קרן]]+הפחתה7[[#This Row],[מדד]])</f>
        <v>686.25155192948671</v>
      </c>
      <c r="AA156" s="13">
        <f ca="1">IF(הפחתה7[[#This Row],[תאריך]]="",0,הפחתה7[[#This Row],[יתרת פתיחה]]-הפחתה7[[#This Row],[קרן]]+הפחתה7[[#This Row],[מדד]])</f>
        <v>72504.034374481882</v>
      </c>
      <c r="AB156" s="11">
        <f ca="1">IF(הפחתה7[[#This Row],[יתרת
סגירה]]&gt;0,LastRow3-ROW(),0)</f>
        <v>147</v>
      </c>
      <c r="AC156" s="17">
        <f>ROWS($AC$4:AC156)</f>
        <v>153</v>
      </c>
      <c r="AD156" s="18" t="str">
        <f ca="1">IF(ValuesEntered4,IF(הפחתה8[[#This Row],[מס'']]&lt;=תקופת_ההלוואה4,IF(ROW()-ROW(הפחתה8[[#Headers],[תאריך]])=1,LoanStart4,IF(AJ155&gt;0,EDATE(AD155,1),"")),""),"")</f>
        <v/>
      </c>
      <c r="AE156" s="19">
        <f ca="1">IF(ROW()-ROW(הפחתה8[[#Headers],[יתרת פתיחה]])=1,סכום_הלוואה4,IF(הפחתה8[[#This Row],[תאריך]]="",0,INDEX(הפחתה8[], ROW()-4,8)))</f>
        <v>0</v>
      </c>
      <c r="AF156" s="19">
        <f ca="1">IF(ValuesEntered4,IF(ROW()-ROW(הפחתה8[[#Headers],[ריבית]])=1,-IPMT(שיעור_ריבית4/12,1,תקופת_ההלוואה4-ROWS($C$4:AD156)+1,הפחתה8[[#This Row],[יתרת פתיחה]]),IFERROR(-IPMT(שיעור_ריבית4/12,1,הפחתה8[[#This Row],[תשלומים
שנותרו]],AE157),0)),0)</f>
        <v>0</v>
      </c>
      <c r="AG156" s="19" t="str">
        <f ca="1">IFERROR(IF(AND(ValuesEntered4,הפחתה8[[#This Row],[תאריך]]&lt;&gt;""),-PPMT(שיעור_ריבית4/12,1,תקופת_ההלוואה4-ROWS($C$4:AD156)+1,הפחתה8[[#This Row],[יתרת פתיחה]]),""),0)</f>
        <v/>
      </c>
      <c r="AH156" s="19">
        <f ca="1">(הפחתה8[[#This Row],[יתרת פתיחה]])*(מדד4/12)</f>
        <v>0</v>
      </c>
      <c r="AI156" s="19">
        <f ca="1">IF(הפחתה8[[#This Row],[תאריך]]="",0,הפחתה8[[#This Row],[ריבית]]+הפחתה8[[#This Row],[קרן]]+הפחתה8[[#This Row],[מדד]])</f>
        <v>0</v>
      </c>
      <c r="AJ156" s="19">
        <f ca="1">IF(הפחתה8[[#This Row],[תאריך]]="",0,הפחתה8[[#This Row],[יתרת פתיחה]]-הפחתה8[[#This Row],[קרן]])</f>
        <v>0</v>
      </c>
      <c r="AK156" s="20">
        <f ca="1">IF(הפחתה8[[#This Row],[יתרת
סגירה]]&gt;0,LastRow4-ROW(),0)</f>
        <v>0</v>
      </c>
    </row>
    <row r="157" spans="1:37" ht="15" customHeight="1" x14ac:dyDescent="0.25">
      <c r="A157" s="8"/>
      <c r="B157" s="11">
        <f>ROWS($B$4:B157)</f>
        <v>154</v>
      </c>
      <c r="C157" s="12">
        <f>IF(ValuesEntered,IF(הפחתה[[#This Row],[מס'']]&lt;=תקופת_ההלוואה,IF(ROW()-ROW(הפחתה[[#Headers],[תאריך]])=1,LoanStart,IF(I156&gt;0,EDATE(C156,1),"")),""),"")</f>
        <v>50041</v>
      </c>
      <c r="D157" s="13">
        <f>IF(ROW()-ROW(הפחתה[[#Headers],[יתרת פתיחה]])=1,סכום_הלוואה,IF(הפחתה[[#This Row],[תאריך]]="",0,INDEX(הפחתה[], ROW()-4,8)))</f>
        <v>451399.96764104924</v>
      </c>
      <c r="E157" s="13">
        <f>IF(ValuesEntered,IF(ROW()-ROW(הפחתה[[#Headers],[ריבית]])=1,-IPMT(שיעור_ריבית/12,1,תקופת_ההלוואה-ROWS($C$4:C157)+1,הפחתה[[#This Row],[יתרת פתיחה]]),IFERROR(-IPMT(שיעור_ריבית/12,1,הפחתה[[#This Row],[תשלומים
שנותרו]],D158),0)),0)</f>
        <v>1987.7730512170976</v>
      </c>
      <c r="F157" s="13">
        <f>IFERROR(IF(AND(ValuesEntered,הפחתה[[#This Row],[תאריך]]&lt;&gt;""),-PPMT(שיעור_ריבית/12,1,תקופת_ההלוואה-ROWS($C$4:C157)+1,הפחתה[[#This Row],[יתרת פתיחה]]),""),0)</f>
        <v>1338.1447239705851</v>
      </c>
      <c r="G157" s="13">
        <f>(הפחתה[[#This Row],[יתרת פתיחה]])*(מדד/12)</f>
        <v>0</v>
      </c>
      <c r="H157" s="13">
        <f>IF(הפחתה[[#This Row],[תאריך]]="",0,הפחתה[[#This Row],[ריבית]]+הפחתה[[#This Row],[קרן]]+הפחתה[[#This Row],[מדד]])</f>
        <v>3325.9177751876828</v>
      </c>
      <c r="I157" s="13">
        <f>IF(הפחתה[[#This Row],[תאריך]]="",0,הפחתה[[#This Row],[יתרת פתיחה]]-הפחתה[[#This Row],[קרן]]+הפחתה[[#This Row],[מדד]])</f>
        <v>450061.82291707868</v>
      </c>
      <c r="J157" s="11">
        <f>IF(הפחתה[[#This Row],[יתרת
סגירה]]&gt;0,LastRow-ROW(),0)</f>
        <v>206</v>
      </c>
      <c r="K157" s="11">
        <f>ROWS($K$4:K157)</f>
        <v>154</v>
      </c>
      <c r="L157" s="12">
        <f>IF(ValuesEntered2,IF(הפחתה5[[#This Row],[מס'']]&lt;=תקופת_ההלוואה2,IF(ROW()-ROW(הפחתה5[[#Headers],[תאריך]])=1,LoanStart2,IF(R156&gt;0,EDATE(L156,1),"")),""),"")</f>
        <v>50041</v>
      </c>
      <c r="M157" s="13">
        <f>IF(ROW()-ROW(הפחתה5[[#Headers],[יתרת פתיחה]])=1,סכום_הלוואה2,IF(הפחתה5[[#This Row],[תאריך]]="",0,INDEX(הפחתה5[], ROW()-4,8)))</f>
        <v>189906.9031172893</v>
      </c>
      <c r="N157" s="13">
        <f>IF(ValuesEntered2,IF(ROW()-ROW(הפחתה5[[#Headers],[ריבית]])=1,-IPMT(שיעור_ריבית2/12,1,תקופת_ההלוואה2-ROWS($L$4:L157)+1,הפחתה5[[#This Row],[יתרת פתיחה]]),IFERROR(-IPMT(שיעור_ריבית2/12,1,הפחתה5[[#This Row],[תשלומים
שנותרו]],M158),0)),0)</f>
        <v>740.0501298989833</v>
      </c>
      <c r="O157" s="13">
        <f>IFERROR(IF(AND(ValuesEntered2,הפחתה5[[#This Row],[תאריך]]&lt;&gt;""),-PPMT(שיעור_ריבית2/12,1,תקופת_ההלוואה2-ROWS($L$4:L157)+1,הפחתה5[[#This Row],[יתרת פתיחה]]),""),0)</f>
        <v>957.9337813786758</v>
      </c>
      <c r="P157" s="13">
        <f>(הפחתה5[[#This Row],[יתרת פתיחה]])*(מדד2/12)</f>
        <v>0</v>
      </c>
      <c r="Q157" s="13">
        <f>IF(הפחתה5[[#This Row],[תאריך]]="",0,הפחתה5[[#This Row],[ריבית]]+הפחתה5[[#This Row],[קרן]]+הפחתה5[[#This Row],[מדד]])</f>
        <v>1697.983911277659</v>
      </c>
      <c r="R157" s="13">
        <f>IF(הפחתה5[[#This Row],[תאריך]]="",0,הפחתה5[[#This Row],[יתרת פתיחה]]-הפחתה5[[#This Row],[קרן]]+הפחתה5[[#This Row],[מדד]])</f>
        <v>188948.96933591063</v>
      </c>
      <c r="S157" s="11">
        <f>IF(הפחתה5[[#This Row],[יתרת
סגירה]]&gt;0,LastRow2-ROW(),0)</f>
        <v>146</v>
      </c>
      <c r="T157" s="11">
        <f>ROWS($T$4:T157)</f>
        <v>154</v>
      </c>
      <c r="U157" s="12">
        <f ca="1">IF(ValuesEntered3,IF(הפחתה7[[#This Row],[מס'']]&lt;=תקופת_ההלוואה3,IF(ROW()-ROW(הפחתה7[[#Headers],[תאריך]])=1,LoanStart3,IF(AA156&gt;0,EDATE(U156,1),"")),""),"")</f>
        <v>50277</v>
      </c>
      <c r="V157" s="13">
        <f ca="1">IF(ROW()-ROW(הפחתה7[[#Headers],[יתרת פתיחה]])=1,סכום_הלוואה3,IF(הפחתה7[[#This Row],[תאריך]]="",0,INDEX(הפחתה7[], ROW()-4,8)))</f>
        <v>72504.034374481882</v>
      </c>
      <c r="W157" s="13">
        <f ca="1">IF(ValuesEntered3,IF(ROW()-ROW(הפחתה7[[#Headers],[ריבית]])=1,-IPMT(שיעור_ריבית3/12,1,תקופת_ההלוואה3-ROWS($C$4:U157)+1,הפחתה7[[#This Row],[יתרת פתיחה]]),IFERROR(-IPMT(שיעור_ריבית3/12,1,הפחתה7[[#This Row],[תשלומים
שנותרו]],V158),0)),0)</f>
        <v>138.37835925760112</v>
      </c>
      <c r="X157" s="13">
        <f ca="1">IFERROR(IF(AND(ValuesEntered3,הפחתה7[[#This Row],[תאריך]]&lt;&gt;""),-PPMT(שיעור_ריבית3/12,1,תקופת_ההלוואה3-ROWS($C$4:U157)+1,הפחתה7[[#This Row],[יתרת פתיחה]]),""),0)</f>
        <v>427.46960171991594</v>
      </c>
      <c r="Y157" s="13">
        <f ca="1">(הפחתה7[[#This Row],[יתרת פתיחה]])*(מדד3/12)</f>
        <v>120.84005729080314</v>
      </c>
      <c r="Z157" s="13">
        <f ca="1">IF(הפחתה7[[#This Row],[תאריך]]="",0,הפחתה7[[#This Row],[ריבית]]+הפחתה7[[#This Row],[קרן]]+הפחתה7[[#This Row],[מדד]])</f>
        <v>686.68801826832009</v>
      </c>
      <c r="AA157" s="13">
        <f ca="1">IF(הפחתה7[[#This Row],[תאריך]]="",0,הפחתה7[[#This Row],[יתרת פתיחה]]-הפחתה7[[#This Row],[קרן]]+הפחתה7[[#This Row],[מדד]])</f>
        <v>72197.404830052765</v>
      </c>
      <c r="AB157" s="11">
        <f ca="1">IF(הפחתה7[[#This Row],[יתרת
סגירה]]&gt;0,LastRow3-ROW(),0)</f>
        <v>146</v>
      </c>
      <c r="AC157" s="17">
        <f>ROWS($AC$4:AC157)</f>
        <v>154</v>
      </c>
      <c r="AD157" s="18" t="str">
        <f ca="1">IF(ValuesEntered4,IF(הפחתה8[[#This Row],[מס'']]&lt;=תקופת_ההלוואה4,IF(ROW()-ROW(הפחתה8[[#Headers],[תאריך]])=1,LoanStart4,IF(AJ156&gt;0,EDATE(AD156,1),"")),""),"")</f>
        <v/>
      </c>
      <c r="AE157" s="19">
        <f ca="1">IF(ROW()-ROW(הפחתה8[[#Headers],[יתרת פתיחה]])=1,סכום_הלוואה4,IF(הפחתה8[[#This Row],[תאריך]]="",0,INDEX(הפחתה8[], ROW()-4,8)))</f>
        <v>0</v>
      </c>
      <c r="AF157" s="19">
        <f ca="1">IF(ValuesEntered4,IF(ROW()-ROW(הפחתה8[[#Headers],[ריבית]])=1,-IPMT(שיעור_ריבית4/12,1,תקופת_ההלוואה4-ROWS($C$4:AD157)+1,הפחתה8[[#This Row],[יתרת פתיחה]]),IFERROR(-IPMT(שיעור_ריבית4/12,1,הפחתה8[[#This Row],[תשלומים
שנותרו]],AE158),0)),0)</f>
        <v>0</v>
      </c>
      <c r="AG157" s="19" t="str">
        <f ca="1">IFERROR(IF(AND(ValuesEntered4,הפחתה8[[#This Row],[תאריך]]&lt;&gt;""),-PPMT(שיעור_ריבית4/12,1,תקופת_ההלוואה4-ROWS($C$4:AD157)+1,הפחתה8[[#This Row],[יתרת פתיחה]]),""),0)</f>
        <v/>
      </c>
      <c r="AH157" s="19">
        <f ca="1">(הפחתה8[[#This Row],[יתרת פתיחה]])*(מדד4/12)</f>
        <v>0</v>
      </c>
      <c r="AI157" s="19">
        <f ca="1">IF(הפחתה8[[#This Row],[תאריך]]="",0,הפחתה8[[#This Row],[ריבית]]+הפחתה8[[#This Row],[קרן]]+הפחתה8[[#This Row],[מדד]])</f>
        <v>0</v>
      </c>
      <c r="AJ157" s="19">
        <f ca="1">IF(הפחתה8[[#This Row],[תאריך]]="",0,הפחתה8[[#This Row],[יתרת פתיחה]]-הפחתה8[[#This Row],[קרן]])</f>
        <v>0</v>
      </c>
      <c r="AK157" s="20">
        <f ca="1">IF(הפחתה8[[#This Row],[יתרת
סגירה]]&gt;0,LastRow4-ROW(),0)</f>
        <v>0</v>
      </c>
    </row>
    <row r="158" spans="1:37" ht="15" customHeight="1" x14ac:dyDescent="0.25">
      <c r="A158" s="8"/>
      <c r="B158" s="11">
        <f>ROWS($B$4:B158)</f>
        <v>155</v>
      </c>
      <c r="C158" s="12">
        <f>IF(ValuesEntered,IF(הפחתה[[#This Row],[מס'']]&lt;=תקופת_ההלוואה,IF(ROW()-ROW(הפחתה[[#Headers],[תאריך]])=1,LoanStart,IF(I157&gt;0,EDATE(C157,1),"")),""),"")</f>
        <v>50072</v>
      </c>
      <c r="D158" s="13">
        <f>IF(ROW()-ROW(הפחתה[[#Headers],[יתרת פתיחה]])=1,סכום_הלוואה,IF(הפחתה[[#This Row],[תאריך]]="",0,INDEX(הפחתה[], ROW()-4,8)))</f>
        <v>450061.82291707868</v>
      </c>
      <c r="E158" s="13">
        <f>IF(ValuesEntered,IF(ROW()-ROW(הפחתה[[#Headers],[ריבית]])=1,-IPMT(שיעור_ריבית/12,1,תקופת_ההלוואה-ROWS($C$4:C158)+1,הפחתה[[#This Row],[יתרת פתיחה]]),IFERROR(-IPMT(שיעור_ריבית/12,1,הפחתה[[#This Row],[תשלומים
שנותרו]],D159),0)),0)</f>
        <v>1981.8368089047717</v>
      </c>
      <c r="F158" s="13">
        <f>IFERROR(IF(AND(ValuesEntered,הפחתה[[#This Row],[תאריך]]&lt;&gt;""),-PPMT(שיעור_ריבית/12,1,תקופת_ההלוואה-ROWS($C$4:C158)+1,הפחתה[[#This Row],[יתרת פתיחה]]),""),0)</f>
        <v>1344.0548631681224</v>
      </c>
      <c r="G158" s="13">
        <f>(הפחתה[[#This Row],[יתרת פתיחה]])*(מדד/12)</f>
        <v>0</v>
      </c>
      <c r="H158" s="13">
        <f>IF(הפחתה[[#This Row],[תאריך]]="",0,הפחתה[[#This Row],[ריבית]]+הפחתה[[#This Row],[קרן]]+הפחתה[[#This Row],[מדד]])</f>
        <v>3325.8916720728939</v>
      </c>
      <c r="I158" s="13">
        <f>IF(הפחתה[[#This Row],[תאריך]]="",0,הפחתה[[#This Row],[יתרת פתיחה]]-הפחתה[[#This Row],[קרן]]+הפחתה[[#This Row],[מדד]])</f>
        <v>448717.76805391058</v>
      </c>
      <c r="J158" s="11">
        <f>IF(הפחתה[[#This Row],[יתרת
סגירה]]&gt;0,LastRow-ROW(),0)</f>
        <v>205</v>
      </c>
      <c r="K158" s="11">
        <f>ROWS($K$4:K158)</f>
        <v>155</v>
      </c>
      <c r="L158" s="12">
        <f>IF(ValuesEntered2,IF(הפחתה5[[#This Row],[מס'']]&lt;=תקופת_ההלוואה2,IF(ROW()-ROW(הפחתה5[[#Headers],[תאריך]])=1,LoanStart2,IF(R157&gt;0,EDATE(L157,1),"")),""),"")</f>
        <v>50072</v>
      </c>
      <c r="M158" s="13">
        <f>IF(ROW()-ROW(הפחתה5[[#Headers],[יתרת פתיחה]])=1,סכום_הלוואה2,IF(הפחתה5[[#This Row],[תאריך]]="",0,INDEX(הפחתה5[], ROW()-4,8)))</f>
        <v>188948.96933591063</v>
      </c>
      <c r="N158" s="13">
        <f>IF(ValuesEntered2,IF(ROW()-ROW(הפחתה5[[#Headers],[ריבית]])=1,-IPMT(שיעור_ריבית2/12,1,תקופת_ההלוואה2-ROWS($L$4:L158)+1,הפחתה5[[#This Row],[יתרת פתיחה]]),IFERROR(-IPMT(שיעור_ריבית2/12,1,הפחתה5[[#This Row],[תשלומים
שנותרו]],M159),0)),0)</f>
        <v>736.28352761828432</v>
      </c>
      <c r="O158" s="13">
        <f>IFERROR(IF(AND(ValuesEntered2,הפחתה5[[#This Row],[תאריך]]&lt;&gt;""),-PPMT(שיעור_ריבית2/12,1,תקופת_ההלוואה2-ROWS($L$4:L158)+1,הפחתה5[[#This Row],[יתרת פתיחה]]),""),0)</f>
        <v>961.68568868907562</v>
      </c>
      <c r="P158" s="13">
        <f>(הפחתה5[[#This Row],[יתרת פתיחה]])*(מדד2/12)</f>
        <v>0</v>
      </c>
      <c r="Q158" s="13">
        <f>IF(הפחתה5[[#This Row],[תאריך]]="",0,הפחתה5[[#This Row],[ריבית]]+הפחתה5[[#This Row],[קרן]]+הפחתה5[[#This Row],[מדד]])</f>
        <v>1697.9692163073601</v>
      </c>
      <c r="R158" s="13">
        <f>IF(הפחתה5[[#This Row],[תאריך]]="",0,הפחתה5[[#This Row],[יתרת פתיחה]]-הפחתה5[[#This Row],[קרן]]+הפחתה5[[#This Row],[מדד]])</f>
        <v>187987.28364722154</v>
      </c>
      <c r="S158" s="11">
        <f>IF(הפחתה5[[#This Row],[יתרת
סגירה]]&gt;0,LastRow2-ROW(),0)</f>
        <v>145</v>
      </c>
      <c r="T158" s="11">
        <f>ROWS($T$4:T158)</f>
        <v>155</v>
      </c>
      <c r="U158" s="12">
        <f ca="1">IF(ValuesEntered3,IF(הפחתה7[[#This Row],[מס'']]&lt;=תקופת_ההלוואה3,IF(ROW()-ROW(הפחתה7[[#Headers],[תאריך]])=1,LoanStart3,IF(AA157&gt;0,EDATE(U157,1),"")),""),"")</f>
        <v>50308</v>
      </c>
      <c r="V158" s="13">
        <f ca="1">IF(ROW()-ROW(הפחתה7[[#Headers],[יתרת פתיחה]])=1,סכום_הלוואה3,IF(הפחתה7[[#This Row],[תאריך]]="",0,INDEX(הפחתה7[], ROW()-4,8)))</f>
        <v>72197.404830052765</v>
      </c>
      <c r="W158" s="13">
        <f ca="1">IF(ValuesEntered3,IF(ROW()-ROW(הפחתה7[[#Headers],[ריבית]])=1,-IPMT(שיעור_ריבית3/12,1,תקופת_ההלוואה3-ROWS($C$4:U158)+1,הפחתה7[[#This Row],[יתרת פתיחה]]),IFERROR(-IPMT(שיעור_ריבית3/12,1,הפחתה7[[#This Row],[תשלומים
שנותרו]],V159),0)),0)</f>
        <v>137.78672650334357</v>
      </c>
      <c r="X158" s="13">
        <f ca="1">IFERROR(IF(AND(ValuesEntered3,הפחתה7[[#This Row],[תאריך]]&lt;&gt;""),-PPMT(שיעור_ריבית3/12,1,תקופת_ההלוואה3-ROWS($C$4:U158)+1,הפחתה7[[#This Row],[יתרת פתיחה]]),""),0)</f>
        <v>429.00696679315092</v>
      </c>
      <c r="Y158" s="13">
        <f ca="1">(הפחתה7[[#This Row],[יתרת פתיחה]])*(מדד3/12)</f>
        <v>120.32900805008795</v>
      </c>
      <c r="Z158" s="13">
        <f ca="1">IF(הפחתה7[[#This Row],[תאריך]]="",0,הפחתה7[[#This Row],[ריבית]]+הפחתה7[[#This Row],[קרן]]+הפחתה7[[#This Row],[מדד]])</f>
        <v>687.1227013465824</v>
      </c>
      <c r="AA158" s="13">
        <f ca="1">IF(הפחתה7[[#This Row],[תאריך]]="",0,הפחתה7[[#This Row],[יתרת פתיחה]]-הפחתה7[[#This Row],[קרן]]+הפחתה7[[#This Row],[מדד]])</f>
        <v>71888.7268713097</v>
      </c>
      <c r="AB158" s="11">
        <f ca="1">IF(הפחתה7[[#This Row],[יתרת
סגירה]]&gt;0,LastRow3-ROW(),0)</f>
        <v>145</v>
      </c>
      <c r="AC158" s="17">
        <f>ROWS($AC$4:AC158)</f>
        <v>155</v>
      </c>
      <c r="AD158" s="18" t="str">
        <f ca="1">IF(ValuesEntered4,IF(הפחתה8[[#This Row],[מס'']]&lt;=תקופת_ההלוואה4,IF(ROW()-ROW(הפחתה8[[#Headers],[תאריך]])=1,LoanStart4,IF(AJ157&gt;0,EDATE(AD157,1),"")),""),"")</f>
        <v/>
      </c>
      <c r="AE158" s="19">
        <f ca="1">IF(ROW()-ROW(הפחתה8[[#Headers],[יתרת פתיחה]])=1,סכום_הלוואה4,IF(הפחתה8[[#This Row],[תאריך]]="",0,INDEX(הפחתה8[], ROW()-4,8)))</f>
        <v>0</v>
      </c>
      <c r="AF158" s="19">
        <f ca="1">IF(ValuesEntered4,IF(ROW()-ROW(הפחתה8[[#Headers],[ריבית]])=1,-IPMT(שיעור_ריבית4/12,1,תקופת_ההלוואה4-ROWS($C$4:AD158)+1,הפחתה8[[#This Row],[יתרת פתיחה]]),IFERROR(-IPMT(שיעור_ריבית4/12,1,הפחתה8[[#This Row],[תשלומים
שנותרו]],AE159),0)),0)</f>
        <v>0</v>
      </c>
      <c r="AG158" s="19" t="str">
        <f ca="1">IFERROR(IF(AND(ValuesEntered4,הפחתה8[[#This Row],[תאריך]]&lt;&gt;""),-PPMT(שיעור_ריבית4/12,1,תקופת_ההלוואה4-ROWS($C$4:AD158)+1,הפחתה8[[#This Row],[יתרת פתיחה]]),""),0)</f>
        <v/>
      </c>
      <c r="AH158" s="19">
        <f ca="1">(הפחתה8[[#This Row],[יתרת פתיחה]])*(מדד4/12)</f>
        <v>0</v>
      </c>
      <c r="AI158" s="19">
        <f ca="1">IF(הפחתה8[[#This Row],[תאריך]]="",0,הפחתה8[[#This Row],[ריבית]]+הפחתה8[[#This Row],[קרן]]+הפחתה8[[#This Row],[מדד]])</f>
        <v>0</v>
      </c>
      <c r="AJ158" s="19">
        <f ca="1">IF(הפחתה8[[#This Row],[תאריך]]="",0,הפחתה8[[#This Row],[יתרת פתיחה]]-הפחתה8[[#This Row],[קרן]])</f>
        <v>0</v>
      </c>
      <c r="AK158" s="20">
        <f ca="1">IF(הפחתה8[[#This Row],[יתרת
סגירה]]&gt;0,LastRow4-ROW(),0)</f>
        <v>0</v>
      </c>
    </row>
    <row r="159" spans="1:37" ht="15" customHeight="1" x14ac:dyDescent="0.25">
      <c r="A159" s="8"/>
      <c r="B159" s="11">
        <f>ROWS($B$4:B159)</f>
        <v>156</v>
      </c>
      <c r="C159" s="12">
        <f>IF(ValuesEntered,IF(הפחתה[[#This Row],[מס'']]&lt;=תקופת_ההלוואה,IF(ROW()-ROW(הפחתה[[#Headers],[תאריך]])=1,LoanStart,IF(I158&gt;0,EDATE(C158,1),"")),""),"")</f>
        <v>50100</v>
      </c>
      <c r="D159" s="13">
        <f>IF(ROW()-ROW(הפחתה[[#Headers],[יתרת פתיחה]])=1,סכום_הלוואה,IF(הפחתה[[#This Row],[תאריך]]="",0,INDEX(הפחתה[], ROW()-4,8)))</f>
        <v>448717.76805391058</v>
      </c>
      <c r="E159" s="13">
        <f>IF(ValuesEntered,IF(ROW()-ROW(הפחתה[[#Headers],[ריבית]])=1,-IPMT(שיעור_ריבית/12,1,תקופת_ההלוואה-ROWS($C$4:C159)+1,הפחתה[[#This Row],[יתרת פתיחה]]),IFERROR(-IPMT(שיעור_ריבית/12,1,הפחתה[[#This Row],[תשלומים
שנותרו]],D160),0)),0)</f>
        <v>1975.8743481888998</v>
      </c>
      <c r="F159" s="13">
        <f>IFERROR(IF(AND(ValuesEntered,הפחתה[[#This Row],[תאריך]]&lt;&gt;""),-PPMT(שיעור_ריבית/12,1,תקופת_ההלוואה-ROWS($C$4:C159)+1,הפחתה[[#This Row],[יתרת פתיחה]]),""),0)</f>
        <v>1349.9911054804479</v>
      </c>
      <c r="G159" s="13">
        <f>(הפחתה[[#This Row],[יתרת פתיחה]])*(מדד/12)</f>
        <v>0</v>
      </c>
      <c r="H159" s="13">
        <f>IF(הפחתה[[#This Row],[תאריך]]="",0,הפחתה[[#This Row],[ריבית]]+הפחתה[[#This Row],[קרן]]+הפחתה[[#This Row],[מדד]])</f>
        <v>3325.8654536693475</v>
      </c>
      <c r="I159" s="13">
        <f>IF(הפחתה[[#This Row],[תאריך]]="",0,הפחתה[[#This Row],[יתרת פתיחה]]-הפחתה[[#This Row],[קרן]]+הפחתה[[#This Row],[מדד]])</f>
        <v>447367.77694843011</v>
      </c>
      <c r="J159" s="11">
        <f>IF(הפחתה[[#This Row],[יתרת
סגירה]]&gt;0,LastRow-ROW(),0)</f>
        <v>204</v>
      </c>
      <c r="K159" s="11">
        <f>ROWS($K$4:K159)</f>
        <v>156</v>
      </c>
      <c r="L159" s="12">
        <f>IF(ValuesEntered2,IF(הפחתה5[[#This Row],[מס'']]&lt;=תקופת_ההלוואה2,IF(ROW()-ROW(הפחתה5[[#Headers],[תאריך]])=1,LoanStart2,IF(R158&gt;0,EDATE(L158,1),"")),""),"")</f>
        <v>50100</v>
      </c>
      <c r="M159" s="13">
        <f>IF(ROW()-ROW(הפחתה5[[#Headers],[יתרת פתיחה]])=1,סכום_הלוואה2,IF(הפחתה5[[#This Row],[תאריך]]="",0,INDEX(הפחתה5[], ROW()-4,8)))</f>
        <v>187987.28364722154</v>
      </c>
      <c r="N159" s="13">
        <f>IF(ValuesEntered2,IF(ROW()-ROW(הפחתה5[[#Headers],[ריבית]])=1,-IPMT(שיעור_ריבית2/12,1,תקופת_ההלוואה2-ROWS($L$4:L159)+1,הפחתה5[[#This Row],[יתרת פתיחה]]),IFERROR(-IPMT(שיעור_ריבית2/12,1,הפחתה5[[#This Row],[תשלומים
שנותרו]],M160),0)),0)</f>
        <v>732.50217281198604</v>
      </c>
      <c r="O159" s="13">
        <f>IFERROR(IF(AND(ValuesEntered2,הפחתה5[[#This Row],[תאריך]]&lt;&gt;""),-PPMT(שיעור_ריבית2/12,1,תקופת_ההלוואה2-ROWS($L$4:L159)+1,הפחתה5[[#This Row],[יתרת פתיחה]]),""),0)</f>
        <v>965.45229096977471</v>
      </c>
      <c r="P159" s="13">
        <f>(הפחתה5[[#This Row],[יתרת פתיחה]])*(מדד2/12)</f>
        <v>0</v>
      </c>
      <c r="Q159" s="13">
        <f>IF(הפחתה5[[#This Row],[תאריך]]="",0,הפחתה5[[#This Row],[ריבית]]+הפחתה5[[#This Row],[קרן]]+הפחתה5[[#This Row],[מדד]])</f>
        <v>1697.9544637817608</v>
      </c>
      <c r="R159" s="13">
        <f>IF(הפחתה5[[#This Row],[תאריך]]="",0,הפחתה5[[#This Row],[יתרת פתיחה]]-הפחתה5[[#This Row],[קרן]]+הפחתה5[[#This Row],[מדד]])</f>
        <v>187021.83135625176</v>
      </c>
      <c r="S159" s="11">
        <f>IF(הפחתה5[[#This Row],[יתרת
סגירה]]&gt;0,LastRow2-ROW(),0)</f>
        <v>144</v>
      </c>
      <c r="T159" s="11">
        <f>ROWS($T$4:T159)</f>
        <v>156</v>
      </c>
      <c r="U159" s="12">
        <f ca="1">IF(ValuesEntered3,IF(הפחתה7[[#This Row],[מס'']]&lt;=תקופת_ההלוואה3,IF(ROW()-ROW(הפחתה7[[#Headers],[תאריך]])=1,LoanStart3,IF(AA158&gt;0,EDATE(U158,1),"")),""),"")</f>
        <v>50338</v>
      </c>
      <c r="V159" s="13">
        <f ca="1">IF(ROW()-ROW(הפחתה7[[#Headers],[יתרת פתיחה]])=1,סכום_הלוואה3,IF(הפחתה7[[#This Row],[תאריך]]="",0,INDEX(הפחתה7[], ROW()-4,8)))</f>
        <v>71888.7268713097</v>
      </c>
      <c r="W159" s="13">
        <f ca="1">IF(ValuesEntered3,IF(ROW()-ROW(הפחתה7[[#Headers],[ריבית]])=1,-IPMT(שיעור_ריבית3/12,1,תקופת_ההלוואה3-ROWS($C$4:U159)+1,הפחתה7[[#This Row],[יתרת פתיחה]]),IFERROR(-IPMT(שיעור_ריבית3/12,1,הפחתה7[[#This Row],[תשלומים
שנותרו]],V160),0)),0)</f>
        <v>137.19115041642226</v>
      </c>
      <c r="X159" s="13">
        <f ca="1">IFERROR(IF(AND(ValuesEntered3,הפחתה7[[#This Row],[תאריך]]&lt;&gt;""),-PPMT(שיעור_ריבית3/12,1,תקופת_ההלוואה3-ROWS($C$4:U159)+1,הפחתה7[[#This Row],[יתרת פתיחה]]),""),0)</f>
        <v>430.5498944835997</v>
      </c>
      <c r="Y159" s="13">
        <f ca="1">(הפחתה7[[#This Row],[יתרת פתיחה]])*(מדד3/12)</f>
        <v>119.81454478551618</v>
      </c>
      <c r="Z159" s="13">
        <f ca="1">IF(הפחתה7[[#This Row],[תאריך]]="",0,הפחתה7[[#This Row],[ריבית]]+הפחתה7[[#This Row],[קרן]]+הפחתה7[[#This Row],[מדד]])</f>
        <v>687.55558968553817</v>
      </c>
      <c r="AA159" s="13">
        <f ca="1">IF(הפחתה7[[#This Row],[תאריך]]="",0,הפחתה7[[#This Row],[יתרת פתיחה]]-הפחתה7[[#This Row],[קרן]]+הפחתה7[[#This Row],[מדד]])</f>
        <v>71577.991521611621</v>
      </c>
      <c r="AB159" s="11">
        <f ca="1">IF(הפחתה7[[#This Row],[יתרת
סגירה]]&gt;0,LastRow3-ROW(),0)</f>
        <v>144</v>
      </c>
      <c r="AC159" s="17">
        <f>ROWS($AC$4:AC159)</f>
        <v>156</v>
      </c>
      <c r="AD159" s="18" t="str">
        <f ca="1">IF(ValuesEntered4,IF(הפחתה8[[#This Row],[מס'']]&lt;=תקופת_ההלוואה4,IF(ROW()-ROW(הפחתה8[[#Headers],[תאריך]])=1,LoanStart4,IF(AJ158&gt;0,EDATE(AD158,1),"")),""),"")</f>
        <v/>
      </c>
      <c r="AE159" s="19">
        <f ca="1">IF(ROW()-ROW(הפחתה8[[#Headers],[יתרת פתיחה]])=1,סכום_הלוואה4,IF(הפחתה8[[#This Row],[תאריך]]="",0,INDEX(הפחתה8[], ROW()-4,8)))</f>
        <v>0</v>
      </c>
      <c r="AF159" s="19">
        <f ca="1">IF(ValuesEntered4,IF(ROW()-ROW(הפחתה8[[#Headers],[ריבית]])=1,-IPMT(שיעור_ריבית4/12,1,תקופת_ההלוואה4-ROWS($C$4:AD159)+1,הפחתה8[[#This Row],[יתרת פתיחה]]),IFERROR(-IPMT(שיעור_ריבית4/12,1,הפחתה8[[#This Row],[תשלומים
שנותרו]],AE160),0)),0)</f>
        <v>0</v>
      </c>
      <c r="AG159" s="19" t="str">
        <f ca="1">IFERROR(IF(AND(ValuesEntered4,הפחתה8[[#This Row],[תאריך]]&lt;&gt;""),-PPMT(שיעור_ריבית4/12,1,תקופת_ההלוואה4-ROWS($C$4:AD159)+1,הפחתה8[[#This Row],[יתרת פתיחה]]),""),0)</f>
        <v/>
      </c>
      <c r="AH159" s="19">
        <f ca="1">(הפחתה8[[#This Row],[יתרת פתיחה]])*(מדד4/12)</f>
        <v>0</v>
      </c>
      <c r="AI159" s="19">
        <f ca="1">IF(הפחתה8[[#This Row],[תאריך]]="",0,הפחתה8[[#This Row],[ריבית]]+הפחתה8[[#This Row],[קרן]]+הפחתה8[[#This Row],[מדד]])</f>
        <v>0</v>
      </c>
      <c r="AJ159" s="19">
        <f ca="1">IF(הפחתה8[[#This Row],[תאריך]]="",0,הפחתה8[[#This Row],[יתרת פתיחה]]-הפחתה8[[#This Row],[קרן]])</f>
        <v>0</v>
      </c>
      <c r="AK159" s="20">
        <f ca="1">IF(הפחתה8[[#This Row],[יתרת
סגירה]]&gt;0,LastRow4-ROW(),0)</f>
        <v>0</v>
      </c>
    </row>
    <row r="160" spans="1:37" ht="15" customHeight="1" x14ac:dyDescent="0.25">
      <c r="A160" s="8"/>
      <c r="B160" s="11">
        <f>ROWS($B$4:B160)</f>
        <v>157</v>
      </c>
      <c r="C160" s="12">
        <f>IF(ValuesEntered,IF(הפחתה[[#This Row],[מס'']]&lt;=תקופת_ההלוואה,IF(ROW()-ROW(הפחתה[[#Headers],[תאריך]])=1,LoanStart,IF(I159&gt;0,EDATE(C159,1),"")),""),"")</f>
        <v>50131</v>
      </c>
      <c r="D160" s="13">
        <f>IF(ROW()-ROW(הפחתה[[#Headers],[יתרת פתיחה]])=1,סכום_הלוואה,IF(הפחתה[[#This Row],[תאריך]]="",0,INDEX(הפחתה[], ROW()-4,8)))</f>
        <v>447367.77694843011</v>
      </c>
      <c r="E160" s="13">
        <f>IF(ValuesEntered,IF(ROW()-ROW(הפחתה[[#Headers],[ריבית]])=1,-IPMT(שיעור_ריבית/12,1,תקופת_ההלוואה-ROWS($C$4:C160)+1,הפחתה[[#This Row],[יתרת פתיחה]]),IFERROR(-IPMT(שיעור_ריבית/12,1,הפחתה[[#This Row],[תשלומים
שנותרו]],D161),0)),0)</f>
        <v>1969.8855532715327</v>
      </c>
      <c r="F160" s="13">
        <f>IFERROR(IF(AND(ValuesEntered,הפחתה[[#This Row],[תאריך]]&lt;&gt;""),-PPMT(שיעור_ריבית/12,1,תקופת_ההלוואה-ROWS($C$4:C160)+1,הפחתה[[#This Row],[יתרת פתיחה]]),""),0)</f>
        <v>1355.9535661963203</v>
      </c>
      <c r="G160" s="13">
        <f>(הפחתה[[#This Row],[יתרת פתיחה]])*(מדד/12)</f>
        <v>0</v>
      </c>
      <c r="H160" s="13">
        <f>IF(הפחתה[[#This Row],[תאריך]]="",0,הפחתה[[#This Row],[ריבית]]+הפחתה[[#This Row],[קרן]]+הפחתה[[#This Row],[מדד]])</f>
        <v>3325.8391194678529</v>
      </c>
      <c r="I160" s="13">
        <f>IF(הפחתה[[#This Row],[תאריך]]="",0,הפחתה[[#This Row],[יתרת פתיחה]]-הפחתה[[#This Row],[קרן]]+הפחתה[[#This Row],[מדד]])</f>
        <v>446011.82338223379</v>
      </c>
      <c r="J160" s="11">
        <f>IF(הפחתה[[#This Row],[יתרת
סגירה]]&gt;0,LastRow-ROW(),0)</f>
        <v>203</v>
      </c>
      <c r="K160" s="11">
        <f>ROWS($K$4:K160)</f>
        <v>157</v>
      </c>
      <c r="L160" s="12">
        <f>IF(ValuesEntered2,IF(הפחתה5[[#This Row],[מס'']]&lt;=תקופת_ההלוואה2,IF(ROW()-ROW(הפחתה5[[#Headers],[תאריך]])=1,LoanStart2,IF(R159&gt;0,EDATE(L159,1),"")),""),"")</f>
        <v>50131</v>
      </c>
      <c r="M160" s="13">
        <f>IF(ROW()-ROW(הפחתה5[[#Headers],[יתרת פתיחה]])=1,סכום_הלוואה2,IF(הפחתה5[[#This Row],[תאריך]]="",0,INDEX(הפחתה5[], ROW()-4,8)))</f>
        <v>187021.83135625176</v>
      </c>
      <c r="N160" s="13">
        <f>IF(ValuesEntered2,IF(ROW()-ROW(הפחתה5[[#Headers],[ריבית]])=1,-IPMT(שיעור_ריבית2/12,1,תקופת_ההלוואה2-ROWS($L$4:L160)+1,הפחתה5[[#This Row],[יתרת פתיחה]]),IFERROR(-IPMT(שיעור_ריבית2/12,1,הפחתה5[[#This Row],[תשלומים
שנותרו]],M161),0)),0)</f>
        <v>728.706007699363</v>
      </c>
      <c r="O160" s="13">
        <f>IFERROR(IF(AND(ValuesEntered2,הפחתה5[[#This Row],[תאריך]]&lt;&gt;""),-PPMT(שיעור_ריבית2/12,1,תקופת_ההלוואה2-ROWS($L$4:L160)+1,הפחתה5[[#This Row],[יתרת פתיחה]]),""),0)</f>
        <v>969.23364577607265</v>
      </c>
      <c r="P160" s="13">
        <f>(הפחתה5[[#This Row],[יתרת פתיחה]])*(מדד2/12)</f>
        <v>0</v>
      </c>
      <c r="Q160" s="13">
        <f>IF(הפחתה5[[#This Row],[תאריך]]="",0,הפחתה5[[#This Row],[ריבית]]+הפחתה5[[#This Row],[קרן]]+הפחתה5[[#This Row],[מדד]])</f>
        <v>1697.9396534754355</v>
      </c>
      <c r="R160" s="13">
        <f>IF(הפחתה5[[#This Row],[תאריך]]="",0,הפחתה5[[#This Row],[יתרת פתיחה]]-הפחתה5[[#This Row],[קרן]]+הפחתה5[[#This Row],[מדד]])</f>
        <v>186052.59771047567</v>
      </c>
      <c r="S160" s="11">
        <f>IF(הפחתה5[[#This Row],[יתרת
סגירה]]&gt;0,LastRow2-ROW(),0)</f>
        <v>143</v>
      </c>
      <c r="T160" s="11">
        <f>ROWS($T$4:T160)</f>
        <v>157</v>
      </c>
      <c r="U160" s="12">
        <f ca="1">IF(ValuesEntered3,IF(הפחתה7[[#This Row],[מס'']]&lt;=תקופת_ההלוואה3,IF(ROW()-ROW(הפחתה7[[#Headers],[תאריך]])=1,LoanStart3,IF(AA159&gt;0,EDATE(U159,1),"")),""),"")</f>
        <v>50369</v>
      </c>
      <c r="V160" s="13">
        <f ca="1">IF(ROW()-ROW(הפחתה7[[#Headers],[יתרת פתיחה]])=1,סכום_הלוואה3,IF(הפחתה7[[#This Row],[תאריך]]="",0,INDEX(הפחתה7[], ROW()-4,8)))</f>
        <v>71577.991521611621</v>
      </c>
      <c r="W160" s="13">
        <f ca="1">IF(ValuesEntered3,IF(ROW()-ROW(הפחתה7[[#Headers],[ריבית]])=1,-IPMT(שיעור_ריבית3/12,1,תקופת_ההלוואה3-ROWS($C$4:U160)+1,הפחתה7[[#This Row],[יתרת פתיחה]]),IFERROR(-IPMT(שיעור_ריבית3/12,1,הפחתה7[[#This Row],[תשלומים
שנותרו]],V161),0)),0)</f>
        <v>136.59161372322279</v>
      </c>
      <c r="X160" s="13">
        <f ca="1">IFERROR(IF(AND(ValuesEntered3,הפחתה7[[#This Row],[תאריך]]&lt;&gt;""),-PPMT(שיעור_ריבית3/12,1,תקופת_ההלוואה3-ROWS($C$4:U160)+1,הפחתה7[[#This Row],[יתרת פתיחה]]),""),0)</f>
        <v>432.09840550966129</v>
      </c>
      <c r="Y160" s="13">
        <f ca="1">(הפחתה7[[#This Row],[יתרת פתיחה]])*(מדד3/12)</f>
        <v>119.29665253601938</v>
      </c>
      <c r="Z160" s="13">
        <f ca="1">IF(הפחתה7[[#This Row],[תאריך]]="",0,הפחתה7[[#This Row],[ריבית]]+הפחתה7[[#This Row],[קרן]]+הפחתה7[[#This Row],[מדד]])</f>
        <v>687.98667176890342</v>
      </c>
      <c r="AA160" s="13">
        <f ca="1">IF(הפחתה7[[#This Row],[תאריך]]="",0,הפחתה7[[#This Row],[יתרת פתיחה]]-הפחתה7[[#This Row],[קרן]]+הפחתה7[[#This Row],[מדד]])</f>
        <v>71265.189768637982</v>
      </c>
      <c r="AB160" s="11">
        <f ca="1">IF(הפחתה7[[#This Row],[יתרת
סגירה]]&gt;0,LastRow3-ROW(),0)</f>
        <v>143</v>
      </c>
      <c r="AC160" s="17">
        <f>ROWS($AC$4:AC160)</f>
        <v>157</v>
      </c>
      <c r="AD160" s="18" t="str">
        <f ca="1">IF(ValuesEntered4,IF(הפחתה8[[#This Row],[מס'']]&lt;=תקופת_ההלוואה4,IF(ROW()-ROW(הפחתה8[[#Headers],[תאריך]])=1,LoanStart4,IF(AJ159&gt;0,EDATE(AD159,1),"")),""),"")</f>
        <v/>
      </c>
      <c r="AE160" s="19">
        <f ca="1">IF(ROW()-ROW(הפחתה8[[#Headers],[יתרת פתיחה]])=1,סכום_הלוואה4,IF(הפחתה8[[#This Row],[תאריך]]="",0,INDEX(הפחתה8[], ROW()-4,8)))</f>
        <v>0</v>
      </c>
      <c r="AF160" s="19">
        <f ca="1">IF(ValuesEntered4,IF(ROW()-ROW(הפחתה8[[#Headers],[ריבית]])=1,-IPMT(שיעור_ריבית4/12,1,תקופת_ההלוואה4-ROWS($C$4:AD160)+1,הפחתה8[[#This Row],[יתרת פתיחה]]),IFERROR(-IPMT(שיעור_ריבית4/12,1,הפחתה8[[#This Row],[תשלומים
שנותרו]],AE161),0)),0)</f>
        <v>0</v>
      </c>
      <c r="AG160" s="19" t="str">
        <f ca="1">IFERROR(IF(AND(ValuesEntered4,הפחתה8[[#This Row],[תאריך]]&lt;&gt;""),-PPMT(שיעור_ריבית4/12,1,תקופת_ההלוואה4-ROWS($C$4:AD160)+1,הפחתה8[[#This Row],[יתרת פתיחה]]),""),0)</f>
        <v/>
      </c>
      <c r="AH160" s="19">
        <f ca="1">(הפחתה8[[#This Row],[יתרת פתיחה]])*(מדד4/12)</f>
        <v>0</v>
      </c>
      <c r="AI160" s="19">
        <f ca="1">IF(הפחתה8[[#This Row],[תאריך]]="",0,הפחתה8[[#This Row],[ריבית]]+הפחתה8[[#This Row],[קרן]]+הפחתה8[[#This Row],[מדד]])</f>
        <v>0</v>
      </c>
      <c r="AJ160" s="19">
        <f ca="1">IF(הפחתה8[[#This Row],[תאריך]]="",0,הפחתה8[[#This Row],[יתרת פתיחה]]-הפחתה8[[#This Row],[קרן]])</f>
        <v>0</v>
      </c>
      <c r="AK160" s="20">
        <f ca="1">IF(הפחתה8[[#This Row],[יתרת
סגירה]]&gt;0,LastRow4-ROW(),0)</f>
        <v>0</v>
      </c>
    </row>
    <row r="161" spans="1:37" ht="15" customHeight="1" x14ac:dyDescent="0.25">
      <c r="A161" s="8"/>
      <c r="B161" s="11">
        <f>ROWS($B$4:B161)</f>
        <v>158</v>
      </c>
      <c r="C161" s="12">
        <f>IF(ValuesEntered,IF(הפחתה[[#This Row],[מס'']]&lt;=תקופת_ההלוואה,IF(ROW()-ROW(הפחתה[[#Headers],[תאריך]])=1,LoanStart,IF(I160&gt;0,EDATE(C160,1),"")),""),"")</f>
        <v>50161</v>
      </c>
      <c r="D161" s="13">
        <f>IF(ROW()-ROW(הפחתה[[#Headers],[יתרת פתיחה]])=1,סכום_הלוואה,IF(הפחתה[[#This Row],[תאריך]]="",0,INDEX(הפחתה[], ROW()-4,8)))</f>
        <v>446011.82338223379</v>
      </c>
      <c r="E161" s="13">
        <f>IF(ValuesEntered,IF(ROW()-ROW(הפחתה[[#Headers],[ריבית]])=1,-IPMT(שיעור_ריבית/12,1,תקופת_ההלוואה-ROWS($C$4:C161)+1,הפחתה[[#This Row],[יתרת פתיחה]]),IFERROR(-IPMT(שיעור_ריבית/12,1,הפחתה[[#This Row],[תשלומים
שנותרו]],D162),0)),0)</f>
        <v>1963.8703078432807</v>
      </c>
      <c r="F161" s="13">
        <f>IFERROR(IF(AND(ValuesEntered,הפחתה[[#This Row],[תאריך]]&lt;&gt;""),-PPMT(שיעור_ריבית/12,1,תקופת_ההלוואה-ROWS($C$4:C161)+1,הפחתה[[#This Row],[יתרת פתיחה]]),""),0)</f>
        <v>1361.9423611136872</v>
      </c>
      <c r="G161" s="13">
        <f>(הפחתה[[#This Row],[יתרת פתיחה]])*(מדד/12)</f>
        <v>0</v>
      </c>
      <c r="H161" s="13">
        <f>IF(הפחתה[[#This Row],[תאריך]]="",0,הפחתה[[#This Row],[ריבית]]+הפחתה[[#This Row],[קרן]]+הפחתה[[#This Row],[מדד]])</f>
        <v>3325.8126689569681</v>
      </c>
      <c r="I161" s="13">
        <f>IF(הפחתה[[#This Row],[תאריך]]="",0,הפחתה[[#This Row],[יתרת פתיחה]]-הפחתה[[#This Row],[קרן]]+הפחתה[[#This Row],[מדד]])</f>
        <v>444649.88102112012</v>
      </c>
      <c r="J161" s="11">
        <f>IF(הפחתה[[#This Row],[יתרת
סגירה]]&gt;0,LastRow-ROW(),0)</f>
        <v>202</v>
      </c>
      <c r="K161" s="11">
        <f>ROWS($K$4:K161)</f>
        <v>158</v>
      </c>
      <c r="L161" s="12">
        <f>IF(ValuesEntered2,IF(הפחתה5[[#This Row],[מס'']]&lt;=תקופת_ההלוואה2,IF(ROW()-ROW(הפחתה5[[#Headers],[תאריך]])=1,LoanStart2,IF(R160&gt;0,EDATE(L160,1),"")),""),"")</f>
        <v>50161</v>
      </c>
      <c r="M161" s="13">
        <f>IF(ROW()-ROW(הפחתה5[[#Headers],[יתרת פתיחה]])=1,סכום_הלוואה2,IF(הפחתה5[[#This Row],[תאריך]]="",0,INDEX(הפחתה5[], ROW()-4,8)))</f>
        <v>186052.59771047567</v>
      </c>
      <c r="N161" s="13">
        <f>IF(ValuesEntered2,IF(ROW()-ROW(הפחתה5[[#Headers],[ריבית]])=1,-IPMT(שיעור_ריבית2/12,1,תקופת_ההלוואה2-ROWS($L$4:L161)+1,הפחתה5[[#This Row],[יתרת פתיחה]]),IFERROR(-IPMT(שיעור_ריבית2/12,1,הפחתה5[[#This Row],[תשלומים
שנותרו]],M162),0)),0)</f>
        <v>724.89497427338233</v>
      </c>
      <c r="O161" s="13">
        <f>IFERROR(IF(AND(ValuesEntered2,הפחתה5[[#This Row],[תאריך]]&lt;&gt;""),-PPMT(שיעור_ריבית2/12,1,תקופת_ההלוואה2-ROWS($L$4:L161)+1,הפחתה5[[#This Row],[יתרת פתיחה]]),""),0)</f>
        <v>973.02981088869547</v>
      </c>
      <c r="P161" s="13">
        <f>(הפחתה5[[#This Row],[יתרת פתיחה]])*(מדד2/12)</f>
        <v>0</v>
      </c>
      <c r="Q161" s="13">
        <f>IF(הפחתה5[[#This Row],[תאריך]]="",0,הפחתה5[[#This Row],[ריבית]]+הפחתה5[[#This Row],[קרן]]+הפחתה5[[#This Row],[מדד]])</f>
        <v>1697.9247851620778</v>
      </c>
      <c r="R161" s="13">
        <f>IF(הפחתה5[[#This Row],[תאריך]]="",0,הפחתה5[[#This Row],[יתרת פתיחה]]-הפחתה5[[#This Row],[קרן]]+הפחתה5[[#This Row],[מדד]])</f>
        <v>185079.56789958698</v>
      </c>
      <c r="S161" s="11">
        <f>IF(הפחתה5[[#This Row],[יתרת
סגירה]]&gt;0,LastRow2-ROW(),0)</f>
        <v>142</v>
      </c>
      <c r="T161" s="11">
        <f>ROWS($T$4:T161)</f>
        <v>158</v>
      </c>
      <c r="U161" s="12">
        <f ca="1">IF(ValuesEntered3,IF(הפחתה7[[#This Row],[מס'']]&lt;=תקופת_ההלוואה3,IF(ROW()-ROW(הפחתה7[[#Headers],[תאריך]])=1,LoanStart3,IF(AA160&gt;0,EDATE(U160,1),"")),""),"")</f>
        <v>50399</v>
      </c>
      <c r="V161" s="13">
        <f ca="1">IF(ROW()-ROW(הפחתה7[[#Headers],[יתרת פתיחה]])=1,סכום_הלוואה3,IF(הפחתה7[[#This Row],[תאריך]]="",0,INDEX(הפחתה7[], ROW()-4,8)))</f>
        <v>71265.189768637982</v>
      </c>
      <c r="W161" s="13">
        <f ca="1">IF(ValuesEntered3,IF(ROW()-ROW(הפחתה7[[#Headers],[ריבית]])=1,-IPMT(שיעור_ריבית3/12,1,תקופת_ההלוואה3-ROWS($C$4:U161)+1,הפחתה7[[#This Row],[יתרת פתיחה]]),IFERROR(-IPMT(שיעור_ריבית3/12,1,הפחתה7[[#This Row],[תשלומים
שנותרו]],V162),0)),0)</f>
        <v>135.98809908145708</v>
      </c>
      <c r="X161" s="13">
        <f ca="1">IFERROR(IF(AND(ValuesEntered3,הפחתה7[[#This Row],[תאריך]]&lt;&gt;""),-PPMT(שיעור_ריבית3/12,1,תקופת_ההלוואה3-ROWS($C$4:U161)+1,הפחתה7[[#This Row],[יתרת פתיחה]]),""),0)</f>
        <v>433.65252068056537</v>
      </c>
      <c r="Y161" s="13">
        <f ca="1">(הפחתה7[[#This Row],[יתרת פתיחה]])*(מדד3/12)</f>
        <v>118.77531628106331</v>
      </c>
      <c r="Z161" s="13">
        <f ca="1">IF(הפחתה7[[#This Row],[תאריך]]="",0,הפחתה7[[#This Row],[ריבית]]+הפחתה7[[#This Row],[קרן]]+הפחתה7[[#This Row],[מדד]])</f>
        <v>688.41593604308571</v>
      </c>
      <c r="AA161" s="13">
        <f ca="1">IF(הפחתה7[[#This Row],[תאריך]]="",0,הפחתה7[[#This Row],[יתרת פתיחה]]-הפחתה7[[#This Row],[קרן]]+הפחתה7[[#This Row],[מדד]])</f>
        <v>70950.312564238484</v>
      </c>
      <c r="AB161" s="11">
        <f ca="1">IF(הפחתה7[[#This Row],[יתרת
סגירה]]&gt;0,LastRow3-ROW(),0)</f>
        <v>142</v>
      </c>
      <c r="AC161" s="17">
        <f>ROWS($AC$4:AC161)</f>
        <v>158</v>
      </c>
      <c r="AD161" s="18" t="str">
        <f ca="1">IF(ValuesEntered4,IF(הפחתה8[[#This Row],[מס'']]&lt;=תקופת_ההלוואה4,IF(ROW()-ROW(הפחתה8[[#Headers],[תאריך]])=1,LoanStart4,IF(AJ160&gt;0,EDATE(AD160,1),"")),""),"")</f>
        <v/>
      </c>
      <c r="AE161" s="19">
        <f ca="1">IF(ROW()-ROW(הפחתה8[[#Headers],[יתרת פתיחה]])=1,סכום_הלוואה4,IF(הפחתה8[[#This Row],[תאריך]]="",0,INDEX(הפחתה8[], ROW()-4,8)))</f>
        <v>0</v>
      </c>
      <c r="AF161" s="19">
        <f ca="1">IF(ValuesEntered4,IF(ROW()-ROW(הפחתה8[[#Headers],[ריבית]])=1,-IPMT(שיעור_ריבית4/12,1,תקופת_ההלוואה4-ROWS($C$4:AD161)+1,הפחתה8[[#This Row],[יתרת פתיחה]]),IFERROR(-IPMT(שיעור_ריבית4/12,1,הפחתה8[[#This Row],[תשלומים
שנותרו]],AE162),0)),0)</f>
        <v>0</v>
      </c>
      <c r="AG161" s="19" t="str">
        <f ca="1">IFERROR(IF(AND(ValuesEntered4,הפחתה8[[#This Row],[תאריך]]&lt;&gt;""),-PPMT(שיעור_ריבית4/12,1,תקופת_ההלוואה4-ROWS($C$4:AD161)+1,הפחתה8[[#This Row],[יתרת פתיחה]]),""),0)</f>
        <v/>
      </c>
      <c r="AH161" s="19">
        <f ca="1">(הפחתה8[[#This Row],[יתרת פתיחה]])*(מדד4/12)</f>
        <v>0</v>
      </c>
      <c r="AI161" s="19">
        <f ca="1">IF(הפחתה8[[#This Row],[תאריך]]="",0,הפחתה8[[#This Row],[ריבית]]+הפחתה8[[#This Row],[קרן]]+הפחתה8[[#This Row],[מדד]])</f>
        <v>0</v>
      </c>
      <c r="AJ161" s="19">
        <f ca="1">IF(הפחתה8[[#This Row],[תאריך]]="",0,הפחתה8[[#This Row],[יתרת פתיחה]]-הפחתה8[[#This Row],[קרן]])</f>
        <v>0</v>
      </c>
      <c r="AK161" s="20">
        <f ca="1">IF(הפחתה8[[#This Row],[יתרת
סגירה]]&gt;0,LastRow4-ROW(),0)</f>
        <v>0</v>
      </c>
    </row>
    <row r="162" spans="1:37" ht="15" customHeight="1" x14ac:dyDescent="0.25">
      <c r="A162" s="8"/>
      <c r="B162" s="11">
        <f>ROWS($B$4:B162)</f>
        <v>159</v>
      </c>
      <c r="C162" s="12">
        <f>IF(ValuesEntered,IF(הפחתה[[#This Row],[מס'']]&lt;=תקופת_ההלוואה,IF(ROW()-ROW(הפחתה[[#Headers],[תאריך]])=1,LoanStart,IF(I161&gt;0,EDATE(C161,1),"")),""),"")</f>
        <v>50192</v>
      </c>
      <c r="D162" s="13">
        <f>IF(ROW()-ROW(הפחתה[[#Headers],[יתרת פתיחה]])=1,סכום_הלוואה,IF(הפחתה[[#This Row],[תאריך]]="",0,INDEX(הפחתה[], ROW()-4,8)))</f>
        <v>444649.88102112012</v>
      </c>
      <c r="E162" s="13">
        <f>IF(ValuesEntered,IF(ROW()-ROW(הפחתה[[#Headers],[ריבית]])=1,-IPMT(שיעור_ריבית/12,1,תקופת_ההלוואה-ROWS($C$4:C162)+1,הפחתה[[#This Row],[יתרת פתיחה]]),IFERROR(-IPMT(שיעור_ריבית/12,1,הפחתה[[#This Row],[תשלומים
שנותרו]],D163),0)),0)</f>
        <v>1957.8284950810537</v>
      </c>
      <c r="F162" s="13">
        <f>IFERROR(IF(AND(ValuesEntered,הפחתה[[#This Row],[תאריך]]&lt;&gt;""),-PPMT(שיעור_ריבית/12,1,תקופת_ההלוואה-ROWS($C$4:C162)+1,הפחתה[[#This Row],[יתרת פתיחה]]),""),0)</f>
        <v>1367.9576065419394</v>
      </c>
      <c r="G162" s="13">
        <f>(הפחתה[[#This Row],[יתרת פתיחה]])*(מדד/12)</f>
        <v>0</v>
      </c>
      <c r="H162" s="13">
        <f>IF(הפחתה[[#This Row],[תאריך]]="",0,הפחתה[[#This Row],[ריבית]]+הפחתה[[#This Row],[קרן]]+הפחתה[[#This Row],[מדד]])</f>
        <v>3325.7861016229931</v>
      </c>
      <c r="I162" s="13">
        <f>IF(הפחתה[[#This Row],[תאריך]]="",0,הפחתה[[#This Row],[יתרת פתיחה]]-הפחתה[[#This Row],[קרן]]+הפחתה[[#This Row],[מדד]])</f>
        <v>443281.9234145782</v>
      </c>
      <c r="J162" s="11">
        <f>IF(הפחתה[[#This Row],[יתרת
סגירה]]&gt;0,LastRow-ROW(),0)</f>
        <v>201</v>
      </c>
      <c r="K162" s="11">
        <f>ROWS($K$4:K162)</f>
        <v>159</v>
      </c>
      <c r="L162" s="12">
        <f>IF(ValuesEntered2,IF(הפחתה5[[#This Row],[מס'']]&lt;=תקופת_ההלוואה2,IF(ROW()-ROW(הפחתה5[[#Headers],[תאריך]])=1,LoanStart2,IF(R161&gt;0,EDATE(L161,1),"")),""),"")</f>
        <v>50192</v>
      </c>
      <c r="M162" s="13">
        <f>IF(ROW()-ROW(הפחתה5[[#Headers],[יתרת פתיחה]])=1,סכום_הלוואה2,IF(הפחתה5[[#This Row],[תאריך]]="",0,INDEX(הפחתה5[], ROW()-4,8)))</f>
        <v>185079.56789958698</v>
      </c>
      <c r="N162" s="13">
        <f>IF(ValuesEntered2,IF(ROW()-ROW(הפחתה5[[#Headers],[ריבית]])=1,-IPMT(שיעור_ריבית2/12,1,תקופת_ההלוואה2-ROWS($L$4:L162)+1,הפחתה5[[#This Row],[יתרת פתיחה]]),IFERROR(-IPMT(שיעור_ריבית2/12,1,הפחתה5[[#This Row],[תשלומים
שנותרו]],M163),0)),0)</f>
        <v>721.06901429981656</v>
      </c>
      <c r="O162" s="13">
        <f>IFERROR(IF(AND(ValuesEntered2,הפחתה5[[#This Row],[תאריך]]&lt;&gt;""),-PPMT(שיעור_ריבית2/12,1,תקופת_ההלוואה2-ROWS($L$4:L162)+1,הפחתה5[[#This Row],[יתרת פתיחה]]),""),0)</f>
        <v>976.84084431467636</v>
      </c>
      <c r="P162" s="13">
        <f>(הפחתה5[[#This Row],[יתרת פתיחה]])*(מדד2/12)</f>
        <v>0</v>
      </c>
      <c r="Q162" s="13">
        <f>IF(הפחתה5[[#This Row],[תאריך]]="",0,הפחתה5[[#This Row],[ריבית]]+הפחתה5[[#This Row],[קרן]]+הפחתה5[[#This Row],[מדד]])</f>
        <v>1697.9098586144928</v>
      </c>
      <c r="R162" s="13">
        <f>IF(הפחתה5[[#This Row],[תאריך]]="",0,הפחתה5[[#This Row],[יתרת פתיחה]]-הפחתה5[[#This Row],[קרן]]+הפחתה5[[#This Row],[מדד]])</f>
        <v>184102.72705527232</v>
      </c>
      <c r="S162" s="11">
        <f>IF(הפחתה5[[#This Row],[יתרת
סגירה]]&gt;0,LastRow2-ROW(),0)</f>
        <v>141</v>
      </c>
      <c r="T162" s="11">
        <f>ROWS($T$4:T162)</f>
        <v>159</v>
      </c>
      <c r="U162" s="12">
        <f ca="1">IF(ValuesEntered3,IF(הפחתה7[[#This Row],[מס'']]&lt;=תקופת_ההלוואה3,IF(ROW()-ROW(הפחתה7[[#Headers],[תאריך]])=1,LoanStart3,IF(AA161&gt;0,EDATE(U161,1),"")),""),"")</f>
        <v>50430</v>
      </c>
      <c r="V162" s="13">
        <f ca="1">IF(ROW()-ROW(הפחתה7[[#Headers],[יתרת פתיחה]])=1,סכום_הלוואה3,IF(הפחתה7[[#This Row],[תאריך]]="",0,INDEX(הפחתה7[], ROW()-4,8)))</f>
        <v>70950.312564238484</v>
      </c>
      <c r="W162" s="13">
        <f ca="1">IF(ValuesEntered3,IF(ROW()-ROW(הפחתה7[[#Headers],[ריבית]])=1,-IPMT(שיעור_ריבית3/12,1,תקופת_ההלוואה3-ROWS($C$4:U162)+1,הפחתה7[[#This Row],[יתרת פתיחה]]),IFERROR(-IPMT(שיעור_ריבית3/12,1,הפחתה7[[#This Row],[תשלומים
שנותרו]],V163),0)),0)</f>
        <v>135.38058907987329</v>
      </c>
      <c r="X162" s="13">
        <f ca="1">IFERROR(IF(AND(ValuesEntered3,הפחתה7[[#This Row],[תאריך]]&lt;&gt;""),-PPMT(שיעור_ריבית3/12,1,תקופת_ההלוואה3-ROWS($C$4:U162)+1,הפחתה7[[#This Row],[יתרת פתיחה]]),""),0)</f>
        <v>435.21226089716401</v>
      </c>
      <c r="Y162" s="13">
        <f ca="1">(הפחתה7[[#This Row],[יתרת פתיחה]])*(מדד3/12)</f>
        <v>118.25052094039748</v>
      </c>
      <c r="Z162" s="13">
        <f ca="1">IF(הפחתה7[[#This Row],[תאריך]]="",0,הפחתה7[[#This Row],[ריבית]]+הפחתה7[[#This Row],[קרן]]+הפחתה7[[#This Row],[מדד]])</f>
        <v>688.84337091743475</v>
      </c>
      <c r="AA162" s="13">
        <f ca="1">IF(הפחתה7[[#This Row],[תאריך]]="",0,הפחתה7[[#This Row],[יתרת פתיחה]]-הפחתה7[[#This Row],[קרן]]+הפחתה7[[#This Row],[מדד]])</f>
        <v>70633.350824281719</v>
      </c>
      <c r="AB162" s="11">
        <f ca="1">IF(הפחתה7[[#This Row],[יתרת
סגירה]]&gt;0,LastRow3-ROW(),0)</f>
        <v>141</v>
      </c>
      <c r="AC162" s="17">
        <f>ROWS($AC$4:AC162)</f>
        <v>159</v>
      </c>
      <c r="AD162" s="18" t="str">
        <f ca="1">IF(ValuesEntered4,IF(הפחתה8[[#This Row],[מס'']]&lt;=תקופת_ההלוואה4,IF(ROW()-ROW(הפחתה8[[#Headers],[תאריך]])=1,LoanStart4,IF(AJ161&gt;0,EDATE(AD161,1),"")),""),"")</f>
        <v/>
      </c>
      <c r="AE162" s="19">
        <f ca="1">IF(ROW()-ROW(הפחתה8[[#Headers],[יתרת פתיחה]])=1,סכום_הלוואה4,IF(הפחתה8[[#This Row],[תאריך]]="",0,INDEX(הפחתה8[], ROW()-4,8)))</f>
        <v>0</v>
      </c>
      <c r="AF162" s="19">
        <f ca="1">IF(ValuesEntered4,IF(ROW()-ROW(הפחתה8[[#Headers],[ריבית]])=1,-IPMT(שיעור_ריבית4/12,1,תקופת_ההלוואה4-ROWS($C$4:AD162)+1,הפחתה8[[#This Row],[יתרת פתיחה]]),IFERROR(-IPMT(שיעור_ריבית4/12,1,הפחתה8[[#This Row],[תשלומים
שנותרו]],AE163),0)),0)</f>
        <v>0</v>
      </c>
      <c r="AG162" s="19" t="str">
        <f ca="1">IFERROR(IF(AND(ValuesEntered4,הפחתה8[[#This Row],[תאריך]]&lt;&gt;""),-PPMT(שיעור_ריבית4/12,1,תקופת_ההלוואה4-ROWS($C$4:AD162)+1,הפחתה8[[#This Row],[יתרת פתיחה]]),""),0)</f>
        <v/>
      </c>
      <c r="AH162" s="19">
        <f ca="1">(הפחתה8[[#This Row],[יתרת פתיחה]])*(מדד4/12)</f>
        <v>0</v>
      </c>
      <c r="AI162" s="19">
        <f ca="1">IF(הפחתה8[[#This Row],[תאריך]]="",0,הפחתה8[[#This Row],[ריבית]]+הפחתה8[[#This Row],[קרן]]+הפחתה8[[#This Row],[מדד]])</f>
        <v>0</v>
      </c>
      <c r="AJ162" s="19">
        <f ca="1">IF(הפחתה8[[#This Row],[תאריך]]="",0,הפחתה8[[#This Row],[יתרת פתיחה]]-הפחתה8[[#This Row],[קרן]])</f>
        <v>0</v>
      </c>
      <c r="AK162" s="20">
        <f ca="1">IF(הפחתה8[[#This Row],[יתרת
סגירה]]&gt;0,LastRow4-ROW(),0)</f>
        <v>0</v>
      </c>
    </row>
    <row r="163" spans="1:37" ht="15" customHeight="1" x14ac:dyDescent="0.25">
      <c r="A163" s="8"/>
      <c r="B163" s="11">
        <f>ROWS($B$4:B163)</f>
        <v>160</v>
      </c>
      <c r="C163" s="12">
        <f>IF(ValuesEntered,IF(הפחתה[[#This Row],[מס'']]&lt;=תקופת_ההלוואה,IF(ROW()-ROW(הפחתה[[#Headers],[תאריך]])=1,LoanStart,IF(I162&gt;0,EDATE(C162,1),"")),""),"")</f>
        <v>50222</v>
      </c>
      <c r="D163" s="13">
        <f>IF(ROW()-ROW(הפחתה[[#Headers],[יתרת פתיחה]])=1,סכום_הלוואה,IF(הפחתה[[#This Row],[תאריך]]="",0,INDEX(הפחתה[], ROW()-4,8)))</f>
        <v>443281.9234145782</v>
      </c>
      <c r="E163" s="13">
        <f>IF(ValuesEntered,IF(ROW()-ROW(הפחתה[[#Headers],[ריבית]])=1,-IPMT(שיעור_ריבית/12,1,תקופת_ההלוואה-ROWS($C$4:C163)+1,הפחתה[[#This Row],[יתרת פתיחה]]),IFERROR(-IPMT(שיעור_ריבית/12,1,הפחתה[[#This Row],[תשלומים
שנותרו]],D164),0)),0)</f>
        <v>1951.7599976457936</v>
      </c>
      <c r="F163" s="13">
        <f>IFERROR(IF(AND(ValuesEntered,הפחתה[[#This Row],[תאריך]]&lt;&gt;""),-PPMT(שיעור_ריבית/12,1,תקופת_ההלוואה-ROWS($C$4:C163)+1,הפחתה[[#This Row],[יתרת פתיחה]]),""),0)</f>
        <v>1373.9994193041657</v>
      </c>
      <c r="G163" s="13">
        <f>(הפחתה[[#This Row],[יתרת פתיחה]])*(מדד/12)</f>
        <v>0</v>
      </c>
      <c r="H163" s="13">
        <f>IF(הפחתה[[#This Row],[תאריך]]="",0,הפחתה[[#This Row],[ריבית]]+הפחתה[[#This Row],[קרן]]+הפחתה[[#This Row],[מדד]])</f>
        <v>3325.7594169499594</v>
      </c>
      <c r="I163" s="13">
        <f>IF(הפחתה[[#This Row],[תאריך]]="",0,הפחתה[[#This Row],[יתרת פתיחה]]-הפחתה[[#This Row],[קרן]]+הפחתה[[#This Row],[מדד]])</f>
        <v>441907.923995274</v>
      </c>
      <c r="J163" s="11">
        <f>IF(הפחתה[[#This Row],[יתרת
סגירה]]&gt;0,LastRow-ROW(),0)</f>
        <v>200</v>
      </c>
      <c r="K163" s="11">
        <f>ROWS($K$4:K163)</f>
        <v>160</v>
      </c>
      <c r="L163" s="12">
        <f>IF(ValuesEntered2,IF(הפחתה5[[#This Row],[מס'']]&lt;=תקופת_ההלוואה2,IF(ROW()-ROW(הפחתה5[[#Headers],[תאריך]])=1,LoanStart2,IF(R162&gt;0,EDATE(L162,1),"")),""),"")</f>
        <v>50222</v>
      </c>
      <c r="M163" s="13">
        <f>IF(ROW()-ROW(הפחתה5[[#Headers],[יתרת פתיחה]])=1,סכום_הלוואה2,IF(הפחתה5[[#This Row],[תאריך]]="",0,INDEX(הפחתה5[], ROW()-4,8)))</f>
        <v>184102.72705527232</v>
      </c>
      <c r="N163" s="13">
        <f>IF(ValuesEntered2,IF(ROW()-ROW(הפחתה5[[#Headers],[ריבית]])=1,-IPMT(שיעור_ריבית2/12,1,תקופת_ההלוואה2-ROWS($L$4:L163)+1,הפחתה5[[#This Row],[יתרת פתיחה]]),IFERROR(-IPMT(שיעור_ריבית2/12,1,הפחתה5[[#This Row],[תשלומים
שנותרו]],M164),0)),0)</f>
        <v>717.22806931635421</v>
      </c>
      <c r="O163" s="13">
        <f>IFERROR(IF(AND(ValuesEntered2,הפחתה5[[#This Row],[תאריך]]&lt;&gt;""),-PPMT(שיעור_ריבית2/12,1,תקופת_ההלוואה2-ROWS($L$4:L163)+1,הפחתה5[[#This Row],[יתרת פתיחה]]),""),0)</f>
        <v>980.66680428824225</v>
      </c>
      <c r="P163" s="13">
        <f>(הפחתה5[[#This Row],[יתרת פתיחה]])*(מדד2/12)</f>
        <v>0</v>
      </c>
      <c r="Q163" s="13">
        <f>IF(הפחתה5[[#This Row],[תאריך]]="",0,הפחתה5[[#This Row],[ריבית]]+הפחתה5[[#This Row],[קרן]]+הפחתה5[[#This Row],[מדד]])</f>
        <v>1697.8948736045963</v>
      </c>
      <c r="R163" s="13">
        <f>IF(הפחתה5[[#This Row],[תאריך]]="",0,הפחתה5[[#This Row],[יתרת פתיחה]]-הפחתה5[[#This Row],[קרן]]+הפחתה5[[#This Row],[מדד]])</f>
        <v>183122.06025098407</v>
      </c>
      <c r="S163" s="11">
        <f>IF(הפחתה5[[#This Row],[יתרת
סגירה]]&gt;0,LastRow2-ROW(),0)</f>
        <v>140</v>
      </c>
      <c r="T163" s="11">
        <f>ROWS($T$4:T163)</f>
        <v>160</v>
      </c>
      <c r="U163" s="12">
        <f ca="1">IF(ValuesEntered3,IF(הפחתה7[[#This Row],[מס'']]&lt;=תקופת_ההלוואה3,IF(ROW()-ROW(הפחתה7[[#Headers],[תאריך]])=1,LoanStart3,IF(AA162&gt;0,EDATE(U162,1),"")),""),"")</f>
        <v>50461</v>
      </c>
      <c r="V163" s="13">
        <f ca="1">IF(ROW()-ROW(הפחתה7[[#Headers],[יתרת פתיחה]])=1,סכום_הלוואה3,IF(הפחתה7[[#This Row],[תאריך]]="",0,INDEX(הפחתה7[], ROW()-4,8)))</f>
        <v>70633.350824281719</v>
      </c>
      <c r="W163" s="13">
        <f ca="1">IF(ValuesEntered3,IF(ROW()-ROW(הפחתה7[[#Headers],[ריבית]])=1,-IPMT(שיעור_ריבית3/12,1,תקופת_ההלוואה3-ROWS($C$4:U163)+1,הפחתה7[[#This Row],[יתרת פתיחה]]),IFERROR(-IPMT(שיעור_ריבית3/12,1,הפחתה7[[#This Row],[תשלומים
שנותרו]],V164),0)),0)</f>
        <v>134.76906623796364</v>
      </c>
      <c r="X163" s="13">
        <f ca="1">IFERROR(IF(AND(ValuesEntered3,הפחתה7[[#This Row],[תאריך]]&lt;&gt;""),-PPMT(שיעור_ריבית3/12,1,תקופת_ההלוואה3-ROWS($C$4:U163)+1,הפחתה7[[#This Row],[יתרת פתיחה]]),""),0)</f>
        <v>436.7776471527452</v>
      </c>
      <c r="Y163" s="13">
        <f ca="1">(הפחתה7[[#This Row],[יתרת פתיחה]])*(מדד3/12)</f>
        <v>117.72225137380288</v>
      </c>
      <c r="Z163" s="13">
        <f ca="1">IF(הפחתה7[[#This Row],[תאריך]]="",0,הפחתה7[[#This Row],[ריבית]]+הפחתה7[[#This Row],[קרן]]+הפחתה7[[#This Row],[מדד]])</f>
        <v>689.26896476451179</v>
      </c>
      <c r="AA163" s="13">
        <f ca="1">IF(הפחתה7[[#This Row],[תאריך]]="",0,הפחתה7[[#This Row],[יתרת פתיחה]]-הפחתה7[[#This Row],[קרן]]+הפחתה7[[#This Row],[מדד]])</f>
        <v>70314.295428502781</v>
      </c>
      <c r="AB163" s="11">
        <f ca="1">IF(הפחתה7[[#This Row],[יתרת
סגירה]]&gt;0,LastRow3-ROW(),0)</f>
        <v>140</v>
      </c>
      <c r="AC163" s="17">
        <f>ROWS($AC$4:AC163)</f>
        <v>160</v>
      </c>
      <c r="AD163" s="18" t="str">
        <f ca="1">IF(ValuesEntered4,IF(הפחתה8[[#This Row],[מס'']]&lt;=תקופת_ההלוואה4,IF(ROW()-ROW(הפחתה8[[#Headers],[תאריך]])=1,LoanStart4,IF(AJ162&gt;0,EDATE(AD162,1),"")),""),"")</f>
        <v/>
      </c>
      <c r="AE163" s="19">
        <f ca="1">IF(ROW()-ROW(הפחתה8[[#Headers],[יתרת פתיחה]])=1,סכום_הלוואה4,IF(הפחתה8[[#This Row],[תאריך]]="",0,INDEX(הפחתה8[], ROW()-4,8)))</f>
        <v>0</v>
      </c>
      <c r="AF163" s="19">
        <f ca="1">IF(ValuesEntered4,IF(ROW()-ROW(הפחתה8[[#Headers],[ריבית]])=1,-IPMT(שיעור_ריבית4/12,1,תקופת_ההלוואה4-ROWS($C$4:AD163)+1,הפחתה8[[#This Row],[יתרת פתיחה]]),IFERROR(-IPMT(שיעור_ריבית4/12,1,הפחתה8[[#This Row],[תשלומים
שנותרו]],AE164),0)),0)</f>
        <v>0</v>
      </c>
      <c r="AG163" s="19" t="str">
        <f ca="1">IFERROR(IF(AND(ValuesEntered4,הפחתה8[[#This Row],[תאריך]]&lt;&gt;""),-PPMT(שיעור_ריבית4/12,1,תקופת_ההלוואה4-ROWS($C$4:AD163)+1,הפחתה8[[#This Row],[יתרת פתיחה]]),""),0)</f>
        <v/>
      </c>
      <c r="AH163" s="19">
        <f ca="1">(הפחתה8[[#This Row],[יתרת פתיחה]])*(מדד4/12)</f>
        <v>0</v>
      </c>
      <c r="AI163" s="19">
        <f ca="1">IF(הפחתה8[[#This Row],[תאריך]]="",0,הפחתה8[[#This Row],[ריבית]]+הפחתה8[[#This Row],[קרן]]+הפחתה8[[#This Row],[מדד]])</f>
        <v>0</v>
      </c>
      <c r="AJ163" s="19">
        <f ca="1">IF(הפחתה8[[#This Row],[תאריך]]="",0,הפחתה8[[#This Row],[יתרת פתיחה]]-הפחתה8[[#This Row],[קרן]])</f>
        <v>0</v>
      </c>
      <c r="AK163" s="20">
        <f ca="1">IF(הפחתה8[[#This Row],[יתרת
סגירה]]&gt;0,LastRow4-ROW(),0)</f>
        <v>0</v>
      </c>
    </row>
    <row r="164" spans="1:37" ht="15" customHeight="1" x14ac:dyDescent="0.25">
      <c r="A164" s="8"/>
      <c r="B164" s="11">
        <f>ROWS($B$4:B164)</f>
        <v>161</v>
      </c>
      <c r="C164" s="12">
        <f>IF(ValuesEntered,IF(הפחתה[[#This Row],[מס'']]&lt;=תקופת_ההלוואה,IF(ROW()-ROW(הפחתה[[#Headers],[תאריך]])=1,LoanStart,IF(I163&gt;0,EDATE(C163,1),"")),""),"")</f>
        <v>50253</v>
      </c>
      <c r="D164" s="13">
        <f>IF(ROW()-ROW(הפחתה[[#Headers],[יתרת פתיחה]])=1,סכום_הלוואה,IF(הפחתה[[#This Row],[תאריך]]="",0,INDEX(הפחתה[], ROW()-4,8)))</f>
        <v>441907.923995274</v>
      </c>
      <c r="E164" s="13">
        <f>IF(ValuesEntered,IF(ROW()-ROW(הפחתה[[#Headers],[ריבית]])=1,-IPMT(שיעור_ריבית/12,1,תקופת_ההלוואה-ROWS($C$4:C164)+1,הפחתה[[#This Row],[יתרת פתיחה]]),IFERROR(-IPMT(שיעור_ריבית/12,1,הפחתה[[#This Row],[תשלומים
שנותרו]],D165),0)),0)</f>
        <v>1945.6646976801942</v>
      </c>
      <c r="F164" s="13">
        <f>IFERROR(IF(AND(ValuesEntered,הפחתה[[#This Row],[תאריך]]&lt;&gt;""),-PPMT(שיעור_ריבית/12,1,תקופת_ההלוואה-ROWS($C$4:C164)+1,הפחתה[[#This Row],[יתרת פתיחה]]),""),0)</f>
        <v>1380.0679167394258</v>
      </c>
      <c r="G164" s="13">
        <f>(הפחתה[[#This Row],[יתרת פתיחה]])*(מדד/12)</f>
        <v>0</v>
      </c>
      <c r="H164" s="13">
        <f>IF(הפחתה[[#This Row],[תאריך]]="",0,הפחתה[[#This Row],[ריבית]]+הפחתה[[#This Row],[קרן]]+הפחתה[[#This Row],[מדד]])</f>
        <v>3325.7326144196199</v>
      </c>
      <c r="I164" s="13">
        <f>IF(הפחתה[[#This Row],[תאריך]]="",0,הפחתה[[#This Row],[יתרת פתיחה]]-הפחתה[[#This Row],[קרן]]+הפחתה[[#This Row],[מדד]])</f>
        <v>440527.85607853456</v>
      </c>
      <c r="J164" s="11">
        <f>IF(הפחתה[[#This Row],[יתרת
סגירה]]&gt;0,LastRow-ROW(),0)</f>
        <v>199</v>
      </c>
      <c r="K164" s="11">
        <f>ROWS($K$4:K164)</f>
        <v>161</v>
      </c>
      <c r="L164" s="12">
        <f>IF(ValuesEntered2,IF(הפחתה5[[#This Row],[מס'']]&lt;=תקופת_ההלוואה2,IF(ROW()-ROW(הפחתה5[[#Headers],[תאריך]])=1,LoanStart2,IF(R163&gt;0,EDATE(L163,1),"")),""),"")</f>
        <v>50253</v>
      </c>
      <c r="M164" s="13">
        <f>IF(ROW()-ROW(הפחתה5[[#Headers],[יתרת פתיחה]])=1,סכום_הלוואה2,IF(הפחתה5[[#This Row],[תאריך]]="",0,INDEX(הפחתה5[], ROW()-4,8)))</f>
        <v>183122.06025098407</v>
      </c>
      <c r="N164" s="13">
        <f>IF(ValuesEntered2,IF(ROW()-ROW(הפחתה5[[#Headers],[ריבית]])=1,-IPMT(שיעור_ריבית2/12,1,תקופת_ההלוואה2-ROWS($L$4:L164)+1,הפחתה5[[#This Row],[יתרת פתיחה]]),IFERROR(-IPMT(שיעור_ריבית2/12,1,הפחתה5[[#This Row],[תשלומים
שנותרו]],M165),0)),0)</f>
        <v>713.37208063170669</v>
      </c>
      <c r="O164" s="13">
        <f>IFERROR(IF(AND(ValuesEntered2,הפחתה5[[#This Row],[תאריך]]&lt;&gt;""),-PPMT(שיעור_ריבית2/12,1,תקופת_ההלוואה2-ROWS($L$4:L164)+1,הפחתה5[[#This Row],[יתרת פתיחה]]),""),0)</f>
        <v>984.5077492717046</v>
      </c>
      <c r="P164" s="13">
        <f>(הפחתה5[[#This Row],[יתרת פתיחה]])*(מדד2/12)</f>
        <v>0</v>
      </c>
      <c r="Q164" s="13">
        <f>IF(הפחתה5[[#This Row],[תאריך]]="",0,הפחתה5[[#This Row],[ריבית]]+הפחתה5[[#This Row],[קרן]]+הפחתה5[[#This Row],[מדד]])</f>
        <v>1697.8798299034113</v>
      </c>
      <c r="R164" s="13">
        <f>IF(הפחתה5[[#This Row],[תאריך]]="",0,הפחתה5[[#This Row],[יתרת פתיחה]]-הפחתה5[[#This Row],[קרן]]+הפחתה5[[#This Row],[מדד]])</f>
        <v>182137.55250171237</v>
      </c>
      <c r="S164" s="11">
        <f>IF(הפחתה5[[#This Row],[יתרת
סגירה]]&gt;0,LastRow2-ROW(),0)</f>
        <v>139</v>
      </c>
      <c r="T164" s="11">
        <f>ROWS($T$4:T164)</f>
        <v>161</v>
      </c>
      <c r="U164" s="12">
        <f ca="1">IF(ValuesEntered3,IF(הפחתה7[[#This Row],[מס'']]&lt;=תקופת_ההלוואה3,IF(ROW()-ROW(הפחתה7[[#Headers],[תאריך]])=1,LoanStart3,IF(AA163&gt;0,EDATE(U163,1),"")),""),"")</f>
        <v>50489</v>
      </c>
      <c r="V164" s="13">
        <f ca="1">IF(ROW()-ROW(הפחתה7[[#Headers],[יתרת פתיחה]])=1,סכום_הלוואה3,IF(הפחתה7[[#This Row],[תאריך]]="",0,INDEX(הפחתה7[], ROW()-4,8)))</f>
        <v>70314.295428502781</v>
      </c>
      <c r="W164" s="13">
        <f ca="1">IF(ValuesEntered3,IF(ROW()-ROW(הפחתה7[[#Headers],[ריבית]])=1,-IPMT(שיעור_ריבית3/12,1,תקופת_ההלוואה3-ROWS($C$4:U164)+1,הפחתה7[[#This Row],[יתרת פתיחה]]),IFERROR(-IPMT(שיעור_ריבית3/12,1,הפחתה7[[#This Row],[תשלומים
שנותרו]],V165),0)),0)</f>
        <v>134.15351300567033</v>
      </c>
      <c r="X164" s="13">
        <f ca="1">IFERROR(IF(AND(ValuesEntered3,הפחתה7[[#This Row],[תאריך]]&lt;&gt;""),-PPMT(שיעור_ריבית3/12,1,תקופת_ההלוואה3-ROWS($C$4:U164)+1,הפחתה7[[#This Row],[יתרת פתיחה]]),""),0)</f>
        <v>438.34870053386516</v>
      </c>
      <c r="Y164" s="13">
        <f ca="1">(הפחתה7[[#This Row],[יתרת פתיחה]])*(מדד3/12)</f>
        <v>117.19049238083798</v>
      </c>
      <c r="Z164" s="13">
        <f ca="1">IF(הפחתה7[[#This Row],[תאריך]]="",0,הפחתה7[[#This Row],[ריבית]]+הפחתה7[[#This Row],[קרן]]+הפחתה7[[#This Row],[מדד]])</f>
        <v>689.69270592037344</v>
      </c>
      <c r="AA164" s="13">
        <f ca="1">IF(הפחתה7[[#This Row],[תאריך]]="",0,הפחתה7[[#This Row],[יתרת פתיחה]]-הפחתה7[[#This Row],[קרן]]+הפחתה7[[#This Row],[מדד]])</f>
        <v>69993.137220349745</v>
      </c>
      <c r="AB164" s="11">
        <f ca="1">IF(הפחתה7[[#This Row],[יתרת
סגירה]]&gt;0,LastRow3-ROW(),0)</f>
        <v>139</v>
      </c>
      <c r="AC164" s="17">
        <f>ROWS($AC$4:AC164)</f>
        <v>161</v>
      </c>
      <c r="AD164" s="18" t="str">
        <f ca="1">IF(ValuesEntered4,IF(הפחתה8[[#This Row],[מס'']]&lt;=תקופת_ההלוואה4,IF(ROW()-ROW(הפחתה8[[#Headers],[תאריך]])=1,LoanStart4,IF(AJ163&gt;0,EDATE(AD163,1),"")),""),"")</f>
        <v/>
      </c>
      <c r="AE164" s="19">
        <f ca="1">IF(ROW()-ROW(הפחתה8[[#Headers],[יתרת פתיחה]])=1,סכום_הלוואה4,IF(הפחתה8[[#This Row],[תאריך]]="",0,INDEX(הפחתה8[], ROW()-4,8)))</f>
        <v>0</v>
      </c>
      <c r="AF164" s="19">
        <f ca="1">IF(ValuesEntered4,IF(ROW()-ROW(הפחתה8[[#Headers],[ריבית]])=1,-IPMT(שיעור_ריבית4/12,1,תקופת_ההלוואה4-ROWS($C$4:AD164)+1,הפחתה8[[#This Row],[יתרת פתיחה]]),IFERROR(-IPMT(שיעור_ריבית4/12,1,הפחתה8[[#This Row],[תשלומים
שנותרו]],AE165),0)),0)</f>
        <v>0</v>
      </c>
      <c r="AG164" s="19" t="str">
        <f ca="1">IFERROR(IF(AND(ValuesEntered4,הפחתה8[[#This Row],[תאריך]]&lt;&gt;""),-PPMT(שיעור_ריבית4/12,1,תקופת_ההלוואה4-ROWS($C$4:AD164)+1,הפחתה8[[#This Row],[יתרת פתיחה]]),""),0)</f>
        <v/>
      </c>
      <c r="AH164" s="19">
        <f ca="1">(הפחתה8[[#This Row],[יתרת פתיחה]])*(מדד4/12)</f>
        <v>0</v>
      </c>
      <c r="AI164" s="19">
        <f ca="1">IF(הפחתה8[[#This Row],[תאריך]]="",0,הפחתה8[[#This Row],[ריבית]]+הפחתה8[[#This Row],[קרן]]+הפחתה8[[#This Row],[מדד]])</f>
        <v>0</v>
      </c>
      <c r="AJ164" s="19">
        <f ca="1">IF(הפחתה8[[#This Row],[תאריך]]="",0,הפחתה8[[#This Row],[יתרת פתיחה]]-הפחתה8[[#This Row],[קרן]])</f>
        <v>0</v>
      </c>
      <c r="AK164" s="20">
        <f ca="1">IF(הפחתה8[[#This Row],[יתרת
סגירה]]&gt;0,LastRow4-ROW(),0)</f>
        <v>0</v>
      </c>
    </row>
    <row r="165" spans="1:37" ht="15" customHeight="1" x14ac:dyDescent="0.25">
      <c r="A165" s="8"/>
      <c r="B165" s="11">
        <f>ROWS($B$4:B165)</f>
        <v>162</v>
      </c>
      <c r="C165" s="12">
        <f>IF(ValuesEntered,IF(הפחתה[[#This Row],[מס'']]&lt;=תקופת_ההלוואה,IF(ROW()-ROW(הפחתה[[#Headers],[תאריך]])=1,LoanStart,IF(I164&gt;0,EDATE(C164,1),"")),""),"")</f>
        <v>50284</v>
      </c>
      <c r="D165" s="13">
        <f>IF(ROW()-ROW(הפחתה[[#Headers],[יתרת פתיחה]])=1,סכום_הלוואה,IF(הפחתה[[#This Row],[תאריך]]="",0,INDEX(הפחתה[], ROW()-4,8)))</f>
        <v>440527.85607853456</v>
      </c>
      <c r="E165" s="13">
        <f>IF(ValuesEntered,IF(ROW()-ROW(הפחתה[[#Headers],[ריבית]])=1,-IPMT(שיעור_ריבית/12,1,תקופת_ההלוואה-ROWS($C$4:C165)+1,הפחתה[[#This Row],[יתרת פתיחה]]),IFERROR(-IPMT(שיעור_ריבית/12,1,הפחתה[[#This Row],[תשלומים
שנותרו]],D166),0)),0)</f>
        <v>1939.5424768064138</v>
      </c>
      <c r="F165" s="13">
        <f>IFERROR(IF(AND(ValuesEntered,הפחתה[[#This Row],[תאריך]]&lt;&gt;""),-PPMT(שיעור_ריבית/12,1,תקופת_ההלוואה-ROWS($C$4:C165)+1,הפחתה[[#This Row],[יתרת פתיחה]]),""),0)</f>
        <v>1386.1632167050252</v>
      </c>
      <c r="G165" s="13">
        <f>(הפחתה[[#This Row],[יתרת פתיחה]])*(מדד/12)</f>
        <v>0</v>
      </c>
      <c r="H165" s="13">
        <f>IF(הפחתה[[#This Row],[תאריך]]="",0,הפחתה[[#This Row],[ריבית]]+הפחתה[[#This Row],[קרן]]+הפחתה[[#This Row],[מדד]])</f>
        <v>3325.7056935114388</v>
      </c>
      <c r="I165" s="13">
        <f>IF(הפחתה[[#This Row],[תאריך]]="",0,הפחתה[[#This Row],[יתרת פתיחה]]-הפחתה[[#This Row],[קרן]]+הפחתה[[#This Row],[מדד]])</f>
        <v>439141.69286182954</v>
      </c>
      <c r="J165" s="11">
        <f>IF(הפחתה[[#This Row],[יתרת
סגירה]]&gt;0,LastRow-ROW(),0)</f>
        <v>198</v>
      </c>
      <c r="K165" s="11">
        <f>ROWS($K$4:K165)</f>
        <v>162</v>
      </c>
      <c r="L165" s="12">
        <f>IF(ValuesEntered2,IF(הפחתה5[[#This Row],[מס'']]&lt;=תקופת_ההלוואה2,IF(ROW()-ROW(הפחתה5[[#Headers],[תאריך]])=1,LoanStart2,IF(R164&gt;0,EDATE(L164,1),"")),""),"")</f>
        <v>50284</v>
      </c>
      <c r="M165" s="13">
        <f>IF(ROW()-ROW(הפחתה5[[#Headers],[יתרת פתיחה]])=1,סכום_הלוואה2,IF(הפחתה5[[#This Row],[תאריך]]="",0,INDEX(הפחתה5[], ROW()-4,8)))</f>
        <v>182137.55250171237</v>
      </c>
      <c r="N165" s="13">
        <f>IF(ValuesEntered2,IF(ROW()-ROW(הפחתה5[[#Headers],[ריבית]])=1,-IPMT(שיעור_ריבית2/12,1,תקופת_ההלוואה2-ROWS($L$4:L165)+1,הפחתה5[[#This Row],[יתרת פתיחה]]),IFERROR(-IPMT(שיעור_ריבית2/12,1,הפחתה5[[#This Row],[תשלומים
שנותרו]],M166),0)),0)</f>
        <v>709.50098932471099</v>
      </c>
      <c r="O165" s="13">
        <f>IFERROR(IF(AND(ValuesEntered2,הפחתה5[[#This Row],[תאריך]]&lt;&gt;""),-PPMT(שיעור_ריבית2/12,1,תקופת_ההלוואה2-ROWS($L$4:L165)+1,הפחתה5[[#This Row],[יתרת פתיחה]]),""),0)</f>
        <v>988.36373795635222</v>
      </c>
      <c r="P165" s="13">
        <f>(הפחתה5[[#This Row],[יתרת פתיחה]])*(מדד2/12)</f>
        <v>0</v>
      </c>
      <c r="Q165" s="13">
        <f>IF(הפחתה5[[#This Row],[תאריך]]="",0,הפחתה5[[#This Row],[ריבית]]+הפחתה5[[#This Row],[קרן]]+הפחתה5[[#This Row],[מדד]])</f>
        <v>1697.8647272810631</v>
      </c>
      <c r="R165" s="13">
        <f>IF(הפחתה5[[#This Row],[תאריך]]="",0,הפחתה5[[#This Row],[יתרת פתיחה]]-הפחתה5[[#This Row],[קרן]]+הפחתה5[[#This Row],[מדד]])</f>
        <v>181149.18876375601</v>
      </c>
      <c r="S165" s="11">
        <f>IF(הפחתה5[[#This Row],[יתרת
סגירה]]&gt;0,LastRow2-ROW(),0)</f>
        <v>138</v>
      </c>
      <c r="T165" s="11">
        <f>ROWS($T$4:T165)</f>
        <v>162</v>
      </c>
      <c r="U165" s="12">
        <f ca="1">IF(ValuesEntered3,IF(הפחתה7[[#This Row],[מס'']]&lt;=תקופת_ההלוואה3,IF(ROW()-ROW(הפחתה7[[#Headers],[תאריך]])=1,LoanStart3,IF(AA164&gt;0,EDATE(U164,1),"")),""),"")</f>
        <v>50520</v>
      </c>
      <c r="V165" s="13">
        <f ca="1">IF(ROW()-ROW(הפחתה7[[#Headers],[יתרת פתיחה]])=1,סכום_הלוואה3,IF(הפחתה7[[#This Row],[תאריך]]="",0,INDEX(הפחתה7[], ROW()-4,8)))</f>
        <v>69993.137220349745</v>
      </c>
      <c r="W165" s="13">
        <f ca="1">IF(ValuesEntered3,IF(ROW()-ROW(הפחתה7[[#Headers],[ריבית]])=1,-IPMT(שיעור_ריבית3/12,1,תקופת_ההלוואה3-ROWS($C$4:U165)+1,הפחתה7[[#This Row],[יתרת פתיחה]]),IFERROR(-IPMT(שיעור_ריבית3/12,1,הפחתה7[[#This Row],[תשלומים
שנותרו]],V166),0)),0)</f>
        <v>133.53391176308915</v>
      </c>
      <c r="X165" s="13">
        <f ca="1">IFERROR(IF(AND(ValuesEntered3,הפחתה7[[#This Row],[תאריך]]&lt;&gt;""),-PPMT(שיעור_ריבית3/12,1,תקופת_ההלוואה3-ROWS($C$4:U165)+1,הפחתה7[[#This Row],[יתרת פתיחה]]),""),0)</f>
        <v>439.92544222120256</v>
      </c>
      <c r="Y165" s="13">
        <f ca="1">(הפחתה7[[#This Row],[יתרת פתיחה]])*(מדד3/12)</f>
        <v>116.65522870058291</v>
      </c>
      <c r="Z165" s="13">
        <f ca="1">IF(הפחתה7[[#This Row],[תאריך]]="",0,הפחתה7[[#This Row],[ריבית]]+הפחתה7[[#This Row],[קרן]]+הפחתה7[[#This Row],[מדד]])</f>
        <v>690.11458268487468</v>
      </c>
      <c r="AA165" s="13">
        <f ca="1">IF(הפחתה7[[#This Row],[תאריך]]="",0,הפחתה7[[#This Row],[יתרת פתיחה]]-הפחתה7[[#This Row],[קרן]]+הפחתה7[[#This Row],[מדד]])</f>
        <v>69669.867006829125</v>
      </c>
      <c r="AB165" s="11">
        <f ca="1">IF(הפחתה7[[#This Row],[יתרת
סגירה]]&gt;0,LastRow3-ROW(),0)</f>
        <v>138</v>
      </c>
      <c r="AC165" s="17">
        <f>ROWS($AC$4:AC165)</f>
        <v>162</v>
      </c>
      <c r="AD165" s="18" t="str">
        <f ca="1">IF(ValuesEntered4,IF(הפחתה8[[#This Row],[מס'']]&lt;=תקופת_ההלוואה4,IF(ROW()-ROW(הפחתה8[[#Headers],[תאריך]])=1,LoanStart4,IF(AJ164&gt;0,EDATE(AD164,1),"")),""),"")</f>
        <v/>
      </c>
      <c r="AE165" s="19">
        <f ca="1">IF(ROW()-ROW(הפחתה8[[#Headers],[יתרת פתיחה]])=1,סכום_הלוואה4,IF(הפחתה8[[#This Row],[תאריך]]="",0,INDEX(הפחתה8[], ROW()-4,8)))</f>
        <v>0</v>
      </c>
      <c r="AF165" s="19">
        <f ca="1">IF(ValuesEntered4,IF(ROW()-ROW(הפחתה8[[#Headers],[ריבית]])=1,-IPMT(שיעור_ריבית4/12,1,תקופת_ההלוואה4-ROWS($C$4:AD165)+1,הפחתה8[[#This Row],[יתרת פתיחה]]),IFERROR(-IPMT(שיעור_ריבית4/12,1,הפחתה8[[#This Row],[תשלומים
שנותרו]],AE166),0)),0)</f>
        <v>0</v>
      </c>
      <c r="AG165" s="19" t="str">
        <f ca="1">IFERROR(IF(AND(ValuesEntered4,הפחתה8[[#This Row],[תאריך]]&lt;&gt;""),-PPMT(שיעור_ריבית4/12,1,תקופת_ההלוואה4-ROWS($C$4:AD165)+1,הפחתה8[[#This Row],[יתרת פתיחה]]),""),0)</f>
        <v/>
      </c>
      <c r="AH165" s="19">
        <f ca="1">(הפחתה8[[#This Row],[יתרת פתיחה]])*(מדד4/12)</f>
        <v>0</v>
      </c>
      <c r="AI165" s="19">
        <f ca="1">IF(הפחתה8[[#This Row],[תאריך]]="",0,הפחתה8[[#This Row],[ריבית]]+הפחתה8[[#This Row],[קרן]]+הפחתה8[[#This Row],[מדד]])</f>
        <v>0</v>
      </c>
      <c r="AJ165" s="19">
        <f ca="1">IF(הפחתה8[[#This Row],[תאריך]]="",0,הפחתה8[[#This Row],[יתרת פתיחה]]-הפחתה8[[#This Row],[קרן]])</f>
        <v>0</v>
      </c>
      <c r="AK165" s="20">
        <f ca="1">IF(הפחתה8[[#This Row],[יתרת
סגירה]]&gt;0,LastRow4-ROW(),0)</f>
        <v>0</v>
      </c>
    </row>
    <row r="166" spans="1:37" ht="15" customHeight="1" x14ac:dyDescent="0.25">
      <c r="A166" s="8"/>
      <c r="B166" s="11">
        <f>ROWS($B$4:B166)</f>
        <v>163</v>
      </c>
      <c r="C166" s="12">
        <f>IF(ValuesEntered,IF(הפחתה[[#This Row],[מס'']]&lt;=תקופת_ההלוואה,IF(ROW()-ROW(הפחתה[[#Headers],[תאריך]])=1,LoanStart,IF(I165&gt;0,EDATE(C165,1),"")),""),"")</f>
        <v>50314</v>
      </c>
      <c r="D166" s="13">
        <f>IF(ROW()-ROW(הפחתה[[#Headers],[יתרת פתיחה]])=1,סכום_הלוואה,IF(הפחתה[[#This Row],[תאריך]]="",0,INDEX(הפחתה[], ROW()-4,8)))</f>
        <v>439141.69286182954</v>
      </c>
      <c r="E166" s="13">
        <f>IF(ValuesEntered,IF(ROW()-ROW(הפחתה[[#Headers],[ריבית]])=1,-IPMT(שיעור_ריבית/12,1,תקופת_ההלוואה-ROWS($C$4:C166)+1,הפחתה[[#This Row],[יתרת פתיחה]]),IFERROR(-IPMT(שיעור_ריבית/12,1,הפחתה[[#This Row],[תשלומים
שנותרו]],D167),0)),0)</f>
        <v>1933.3932161237742</v>
      </c>
      <c r="F166" s="13">
        <f>IFERROR(IF(AND(ValuesEntered,הפחתה[[#This Row],[תאריך]]&lt;&gt;""),-PPMT(שיעור_ריבית/12,1,תקופת_ההלוואה-ROWS($C$4:C166)+1,הפחתה[[#This Row],[יתרת פתיחה]]),""),0)</f>
        <v>1392.2854375788058</v>
      </c>
      <c r="G166" s="13">
        <f>(הפחתה[[#This Row],[יתרת פתיחה]])*(מדד/12)</f>
        <v>0</v>
      </c>
      <c r="H166" s="13">
        <f>IF(הפחתה[[#This Row],[תאריך]]="",0,הפחתה[[#This Row],[ריבית]]+הפחתה[[#This Row],[קרן]]+הפחתה[[#This Row],[מדד]])</f>
        <v>3325.67865370258</v>
      </c>
      <c r="I166" s="13">
        <f>IF(הפחתה[[#This Row],[תאריך]]="",0,הפחתה[[#This Row],[יתרת פתיחה]]-הפחתה[[#This Row],[קרן]]+הפחתה[[#This Row],[מדד]])</f>
        <v>437749.40742425073</v>
      </c>
      <c r="J166" s="11">
        <f>IF(הפחתה[[#This Row],[יתרת
סגירה]]&gt;0,LastRow-ROW(),0)</f>
        <v>197</v>
      </c>
      <c r="K166" s="11">
        <f>ROWS($K$4:K166)</f>
        <v>163</v>
      </c>
      <c r="L166" s="12">
        <f>IF(ValuesEntered2,IF(הפחתה5[[#This Row],[מס'']]&lt;=תקופת_ההלוואה2,IF(ROW()-ROW(הפחתה5[[#Headers],[תאריך]])=1,LoanStart2,IF(R165&gt;0,EDATE(L165,1),"")),""),"")</f>
        <v>50314</v>
      </c>
      <c r="M166" s="13">
        <f>IF(ROW()-ROW(הפחתה5[[#Headers],[יתרת פתיחה]])=1,סכום_הלוואה2,IF(הפחתה5[[#This Row],[תאריך]]="",0,INDEX(הפחתה5[], ROW()-4,8)))</f>
        <v>181149.18876375601</v>
      </c>
      <c r="N166" s="13">
        <f>IF(ValuesEntered2,IF(ROW()-ROW(הפחתה5[[#Headers],[ריבית]])=1,-IPMT(שיעור_ריבית2/12,1,תקופת_ההלוואה2-ROWS($L$4:L166)+1,הפחתה5[[#This Row],[יתרת פתיחה]]),IFERROR(-IPMT(שיעור_ריבית2/12,1,הפחתה5[[#This Row],[תשלומים
שנותרו]],M167),0)),0)</f>
        <v>705.61473624342955</v>
      </c>
      <c r="O166" s="13">
        <f>IFERROR(IF(AND(ValuesEntered2,הפחתה5[[#This Row],[תאריך]]&lt;&gt;""),-PPMT(שיעור_ריבית2/12,1,תקופת_ההלוואה2-ROWS($L$4:L166)+1,הפחתה5[[#This Row],[יתרת פתיחה]]),""),0)</f>
        <v>992.23482926334759</v>
      </c>
      <c r="P166" s="13">
        <f>(הפחתה5[[#This Row],[יתרת פתיחה]])*(מדד2/12)</f>
        <v>0</v>
      </c>
      <c r="Q166" s="13">
        <f>IF(הפחתה5[[#This Row],[תאריך]]="",0,הפחתה5[[#This Row],[ריבית]]+הפחתה5[[#This Row],[קרן]]+הפחתה5[[#This Row],[מדד]])</f>
        <v>1697.8495655067773</v>
      </c>
      <c r="R166" s="13">
        <f>IF(הפחתה5[[#This Row],[תאריך]]="",0,הפחתה5[[#This Row],[יתרת פתיחה]]-הפחתה5[[#This Row],[קרן]]+הפחתה5[[#This Row],[מדד]])</f>
        <v>180156.95393449266</v>
      </c>
      <c r="S166" s="11">
        <f>IF(הפחתה5[[#This Row],[יתרת
סגירה]]&gt;0,LastRow2-ROW(),0)</f>
        <v>137</v>
      </c>
      <c r="T166" s="11">
        <f>ROWS($T$4:T166)</f>
        <v>163</v>
      </c>
      <c r="U166" s="12">
        <f ca="1">IF(ValuesEntered3,IF(הפחתה7[[#This Row],[מס'']]&lt;=תקופת_ההלוואה3,IF(ROW()-ROW(הפחתה7[[#Headers],[תאריך]])=1,LoanStart3,IF(AA165&gt;0,EDATE(U165,1),"")),""),"")</f>
        <v>50550</v>
      </c>
      <c r="V166" s="13">
        <f ca="1">IF(ROW()-ROW(הפחתה7[[#Headers],[יתרת פתיחה]])=1,סכום_הלוואה3,IF(הפחתה7[[#This Row],[תאריך]]="",0,INDEX(הפחתה7[], ROW()-4,8)))</f>
        <v>69669.867006829125</v>
      </c>
      <c r="W166" s="13">
        <f ca="1">IF(ValuesEntered3,IF(ROW()-ROW(הפחתה7[[#Headers],[ריבית]])=1,-IPMT(שיעור_ריבית3/12,1,תקופת_ההלוואה3-ROWS($C$4:U166)+1,הפחתה7[[#This Row],[יתרת פתיחה]]),IFERROR(-IPMT(שיעור_ריבית3/12,1,הפחתה7[[#This Row],[תשלומים
שנותרו]],V167),0)),0)</f>
        <v>132.91024482017099</v>
      </c>
      <c r="X166" s="13">
        <f ca="1">IFERROR(IF(AND(ValuesEntered3,הפחתה7[[#This Row],[תאריך]]&lt;&gt;""),-PPMT(שיעור_ריבית3/12,1,תקופת_ההלוואה3-ROWS($C$4:U166)+1,הפחתה7[[#This Row],[יתרת פתיחה]]),""),0)</f>
        <v>441.50789349043401</v>
      </c>
      <c r="Y166" s="13">
        <f ca="1">(הפחתה7[[#This Row],[יתרת פתיחה]])*(מדד3/12)</f>
        <v>116.11644501138188</v>
      </c>
      <c r="Z166" s="13">
        <f ca="1">IF(הפחתה7[[#This Row],[תאריך]]="",0,הפחתה7[[#This Row],[ריבית]]+הפחתה7[[#This Row],[קרן]]+הפחתה7[[#This Row],[מדד]])</f>
        <v>690.53458332198682</v>
      </c>
      <c r="AA166" s="13">
        <f ca="1">IF(הפחתה7[[#This Row],[תאריך]]="",0,הפחתה7[[#This Row],[יתרת פתיחה]]-הפחתה7[[#This Row],[קרן]]+הפחתה7[[#This Row],[מדד]])</f>
        <v>69344.475558350081</v>
      </c>
      <c r="AB166" s="11">
        <f ca="1">IF(הפחתה7[[#This Row],[יתרת
סגירה]]&gt;0,LastRow3-ROW(),0)</f>
        <v>137</v>
      </c>
      <c r="AC166" s="17">
        <f>ROWS($AC$4:AC166)</f>
        <v>163</v>
      </c>
      <c r="AD166" s="18" t="str">
        <f ca="1">IF(ValuesEntered4,IF(הפחתה8[[#This Row],[מס'']]&lt;=תקופת_ההלוואה4,IF(ROW()-ROW(הפחתה8[[#Headers],[תאריך]])=1,LoanStart4,IF(AJ165&gt;0,EDATE(AD165,1),"")),""),"")</f>
        <v/>
      </c>
      <c r="AE166" s="19">
        <f ca="1">IF(ROW()-ROW(הפחתה8[[#Headers],[יתרת פתיחה]])=1,סכום_הלוואה4,IF(הפחתה8[[#This Row],[תאריך]]="",0,INDEX(הפחתה8[], ROW()-4,8)))</f>
        <v>0</v>
      </c>
      <c r="AF166" s="19">
        <f ca="1">IF(ValuesEntered4,IF(ROW()-ROW(הפחתה8[[#Headers],[ריבית]])=1,-IPMT(שיעור_ריבית4/12,1,תקופת_ההלוואה4-ROWS($C$4:AD166)+1,הפחתה8[[#This Row],[יתרת פתיחה]]),IFERROR(-IPMT(שיעור_ריבית4/12,1,הפחתה8[[#This Row],[תשלומים
שנותרו]],AE167),0)),0)</f>
        <v>0</v>
      </c>
      <c r="AG166" s="19" t="str">
        <f ca="1">IFERROR(IF(AND(ValuesEntered4,הפחתה8[[#This Row],[תאריך]]&lt;&gt;""),-PPMT(שיעור_ריבית4/12,1,תקופת_ההלוואה4-ROWS($C$4:AD166)+1,הפחתה8[[#This Row],[יתרת פתיחה]]),""),0)</f>
        <v/>
      </c>
      <c r="AH166" s="19">
        <f ca="1">(הפחתה8[[#This Row],[יתרת פתיחה]])*(מדד4/12)</f>
        <v>0</v>
      </c>
      <c r="AI166" s="19">
        <f ca="1">IF(הפחתה8[[#This Row],[תאריך]]="",0,הפחתה8[[#This Row],[ריבית]]+הפחתה8[[#This Row],[קרן]]+הפחתה8[[#This Row],[מדד]])</f>
        <v>0</v>
      </c>
      <c r="AJ166" s="19">
        <f ca="1">IF(הפחתה8[[#This Row],[תאריך]]="",0,הפחתה8[[#This Row],[יתרת פתיחה]]-הפחתה8[[#This Row],[קרן]])</f>
        <v>0</v>
      </c>
      <c r="AK166" s="20">
        <f ca="1">IF(הפחתה8[[#This Row],[יתרת
סגירה]]&gt;0,LastRow4-ROW(),0)</f>
        <v>0</v>
      </c>
    </row>
    <row r="167" spans="1:37" ht="15" customHeight="1" x14ac:dyDescent="0.25">
      <c r="A167" s="8"/>
      <c r="B167" s="11">
        <f>ROWS($B$4:B167)</f>
        <v>164</v>
      </c>
      <c r="C167" s="12">
        <f>IF(ValuesEntered,IF(הפחתה[[#This Row],[מס'']]&lt;=תקופת_ההלוואה,IF(ROW()-ROW(הפחתה[[#Headers],[תאריך]])=1,LoanStart,IF(I166&gt;0,EDATE(C166,1),"")),""),"")</f>
        <v>50345</v>
      </c>
      <c r="D167" s="13">
        <f>IF(ROW()-ROW(הפחתה[[#Headers],[יתרת פתיחה]])=1,סכום_הלוואה,IF(הפחתה[[#This Row],[תאריך]]="",0,INDEX(הפחתה[], ROW()-4,8)))</f>
        <v>437749.40742425073</v>
      </c>
      <c r="E167" s="13">
        <f>IF(ValuesEntered,IF(ROW()-ROW(הפחתה[[#Headers],[ריבית]])=1,-IPMT(שיעור_ריבית/12,1,תקופת_ההלוואה-ROWS($C$4:C167)+1,הפחתה[[#This Row],[יתרת פתיחה]]),IFERROR(-IPMT(שיעור_ריבית/12,1,הפחתה[[#This Row],[תשלומים
שנותרו]],D168),0)),0)</f>
        <v>1927.2167962064527</v>
      </c>
      <c r="F167" s="13">
        <f>IFERROR(IF(AND(ValuesEntered,הפחתה[[#This Row],[תאריך]]&lt;&gt;""),-PPMT(שיעור_ריבית/12,1,תקופת_ההלוואה-ROWS($C$4:C167)+1,הפחתה[[#This Row],[יתרת פתיחה]]),""),0)</f>
        <v>1398.4346982614459</v>
      </c>
      <c r="G167" s="13">
        <f>(הפחתה[[#This Row],[יתרת פתיחה]])*(מדד/12)</f>
        <v>0</v>
      </c>
      <c r="H167" s="13">
        <f>IF(הפחתה[[#This Row],[תאריך]]="",0,הפחתה[[#This Row],[ריבית]]+הפחתה[[#This Row],[קרן]]+הפחתה[[#This Row],[מדד]])</f>
        <v>3325.6514944678984</v>
      </c>
      <c r="I167" s="13">
        <f>IF(הפחתה[[#This Row],[תאריך]]="",0,הפחתה[[#This Row],[יתרת פתיחה]]-הפחתה[[#This Row],[קרן]]+הפחתה[[#This Row],[מדד]])</f>
        <v>436350.9727259893</v>
      </c>
      <c r="J167" s="11">
        <f>IF(הפחתה[[#This Row],[יתרת
סגירה]]&gt;0,LastRow-ROW(),0)</f>
        <v>196</v>
      </c>
      <c r="K167" s="11">
        <f>ROWS($K$4:K167)</f>
        <v>164</v>
      </c>
      <c r="L167" s="12">
        <f>IF(ValuesEntered2,IF(הפחתה5[[#This Row],[מס'']]&lt;=תקופת_ההלוואה2,IF(ROW()-ROW(הפחתה5[[#Headers],[תאריך]])=1,LoanStart2,IF(R166&gt;0,EDATE(L166,1),"")),""),"")</f>
        <v>50345</v>
      </c>
      <c r="M167" s="13">
        <f>IF(ROW()-ROW(הפחתה5[[#Headers],[יתרת פתיחה]])=1,סכום_הלוואה2,IF(הפחתה5[[#This Row],[תאריך]]="",0,INDEX(הפחתה5[], ROW()-4,8)))</f>
        <v>180156.95393449266</v>
      </c>
      <c r="N167" s="13">
        <f>IF(ValuesEntered2,IF(ROW()-ROW(הפחתה5[[#Headers],[ריבית]])=1,-IPMT(שיעור_ריבית2/12,1,תקופת_ההלוואה2-ROWS($L$4:L167)+1,הפחתה5[[#This Row],[יתרת פתיחה]]),IFERROR(-IPMT(שיעור_ריבית2/12,1,הפחתה5[[#This Row],[תשלומים
שנותרו]],M168),0)),0)</f>
        <v>701.71326200424642</v>
      </c>
      <c r="O167" s="13">
        <f>IFERROR(IF(AND(ValuesEntered2,הפחתה5[[#This Row],[תאריך]]&lt;&gt;""),-PPMT(שיעור_ריבית2/12,1,תקופת_ההלוואה2-ROWS($L$4:L167)+1,הפחתה5[[#This Row],[יתרת פתיחה]]),""),0)</f>
        <v>996.1210823446288</v>
      </c>
      <c r="P167" s="13">
        <f>(הפחתה5[[#This Row],[יתרת פתיחה]])*(מדד2/12)</f>
        <v>0</v>
      </c>
      <c r="Q167" s="13">
        <f>IF(הפחתה5[[#This Row],[תאריך]]="",0,הפחתה5[[#This Row],[ריבית]]+הפחתה5[[#This Row],[קרן]]+הפחתה5[[#This Row],[מדד]])</f>
        <v>1697.8343443488752</v>
      </c>
      <c r="R167" s="13">
        <f>IF(הפחתה5[[#This Row],[תאריך]]="",0,הפחתה5[[#This Row],[יתרת פתיחה]]-הפחתה5[[#This Row],[קרן]]+הפחתה5[[#This Row],[מדד]])</f>
        <v>179160.83285214804</v>
      </c>
      <c r="S167" s="11">
        <f>IF(הפחתה5[[#This Row],[יתרת
סגירה]]&gt;0,LastRow2-ROW(),0)</f>
        <v>136</v>
      </c>
      <c r="T167" s="11">
        <f>ROWS($T$4:T167)</f>
        <v>164</v>
      </c>
      <c r="U167" s="12">
        <f ca="1">IF(ValuesEntered3,IF(הפחתה7[[#This Row],[מס'']]&lt;=תקופת_ההלוואה3,IF(ROW()-ROW(הפחתה7[[#Headers],[תאריך]])=1,LoanStart3,IF(AA166&gt;0,EDATE(U166,1),"")),""),"")</f>
        <v>50581</v>
      </c>
      <c r="V167" s="13">
        <f ca="1">IF(ROW()-ROW(הפחתה7[[#Headers],[יתרת פתיחה]])=1,סכום_הלוואה3,IF(הפחתה7[[#This Row],[תאריך]]="",0,INDEX(הפחתה7[], ROW()-4,8)))</f>
        <v>69344.475558350081</v>
      </c>
      <c r="W167" s="13">
        <f ca="1">IF(ValuesEntered3,IF(ROW()-ROW(הפחתה7[[#Headers],[ריבית]])=1,-IPMT(שיעור_ריבית3/12,1,תקופת_ההלוואה3-ROWS($C$4:U167)+1,הפחתה7[[#This Row],[יתרת פתיחה]]),IFERROR(-IPMT(שיעור_ריבית3/12,1,הפחתה7[[#This Row],[תשלומים
שנותרו]],V168),0)),0)</f>
        <v>132.28249441642109</v>
      </c>
      <c r="X167" s="13">
        <f ca="1">IFERROR(IF(AND(ValuesEntered3,הפחתה7[[#This Row],[תאריך]]&lt;&gt;""),-PPMT(שיעור_ריבית3/12,1,תקופת_ההלוואה3-ROWS($C$4:U167)+1,הפחתה7[[#This Row],[יתרת פתיחה]]),""),0)</f>
        <v>443.09607571313308</v>
      </c>
      <c r="Y167" s="13">
        <f ca="1">(הפחתה7[[#This Row],[יתרת פתיחה]])*(מדד3/12)</f>
        <v>115.57412593058348</v>
      </c>
      <c r="Z167" s="13">
        <f ca="1">IF(הפחתה7[[#This Row],[תאריך]]="",0,הפחתה7[[#This Row],[ריבית]]+הפחתה7[[#This Row],[קרן]]+הפחתה7[[#This Row],[מדד]])</f>
        <v>690.95269606013767</v>
      </c>
      <c r="AA167" s="13">
        <f ca="1">IF(הפחתה7[[#This Row],[תאריך]]="",0,הפחתה7[[#This Row],[יתרת פתיחה]]-הפחתה7[[#This Row],[קרן]]+הפחתה7[[#This Row],[מדד]])</f>
        <v>69016.953608567521</v>
      </c>
      <c r="AB167" s="11">
        <f ca="1">IF(הפחתה7[[#This Row],[יתרת
סגירה]]&gt;0,LastRow3-ROW(),0)</f>
        <v>136</v>
      </c>
      <c r="AC167" s="17">
        <f>ROWS($AC$4:AC167)</f>
        <v>164</v>
      </c>
      <c r="AD167" s="18" t="str">
        <f ca="1">IF(ValuesEntered4,IF(הפחתה8[[#This Row],[מס'']]&lt;=תקופת_ההלוואה4,IF(ROW()-ROW(הפחתה8[[#Headers],[תאריך]])=1,LoanStart4,IF(AJ166&gt;0,EDATE(AD166,1),"")),""),"")</f>
        <v/>
      </c>
      <c r="AE167" s="19">
        <f ca="1">IF(ROW()-ROW(הפחתה8[[#Headers],[יתרת פתיחה]])=1,סכום_הלוואה4,IF(הפחתה8[[#This Row],[תאריך]]="",0,INDEX(הפחתה8[], ROW()-4,8)))</f>
        <v>0</v>
      </c>
      <c r="AF167" s="19">
        <f ca="1">IF(ValuesEntered4,IF(ROW()-ROW(הפחתה8[[#Headers],[ריבית]])=1,-IPMT(שיעור_ריבית4/12,1,תקופת_ההלוואה4-ROWS($C$4:AD167)+1,הפחתה8[[#This Row],[יתרת פתיחה]]),IFERROR(-IPMT(שיעור_ריבית4/12,1,הפחתה8[[#This Row],[תשלומים
שנותרו]],AE168),0)),0)</f>
        <v>0</v>
      </c>
      <c r="AG167" s="19" t="str">
        <f ca="1">IFERROR(IF(AND(ValuesEntered4,הפחתה8[[#This Row],[תאריך]]&lt;&gt;""),-PPMT(שיעור_ריבית4/12,1,תקופת_ההלוואה4-ROWS($C$4:AD167)+1,הפחתה8[[#This Row],[יתרת פתיחה]]),""),0)</f>
        <v/>
      </c>
      <c r="AH167" s="19">
        <f ca="1">(הפחתה8[[#This Row],[יתרת פתיחה]])*(מדד4/12)</f>
        <v>0</v>
      </c>
      <c r="AI167" s="19">
        <f ca="1">IF(הפחתה8[[#This Row],[תאריך]]="",0,הפחתה8[[#This Row],[ריבית]]+הפחתה8[[#This Row],[קרן]]+הפחתה8[[#This Row],[מדד]])</f>
        <v>0</v>
      </c>
      <c r="AJ167" s="19">
        <f ca="1">IF(הפחתה8[[#This Row],[תאריך]]="",0,הפחתה8[[#This Row],[יתרת פתיחה]]-הפחתה8[[#This Row],[קרן]])</f>
        <v>0</v>
      </c>
      <c r="AK167" s="20">
        <f ca="1">IF(הפחתה8[[#This Row],[יתרת
סגירה]]&gt;0,LastRow4-ROW(),0)</f>
        <v>0</v>
      </c>
    </row>
    <row r="168" spans="1:37" ht="15" customHeight="1" x14ac:dyDescent="0.25">
      <c r="A168" s="8"/>
      <c r="B168" s="11">
        <f>ROWS($B$4:B168)</f>
        <v>165</v>
      </c>
      <c r="C168" s="12">
        <f>IF(ValuesEntered,IF(הפחתה[[#This Row],[מס'']]&lt;=תקופת_ההלוואה,IF(ROW()-ROW(הפחתה[[#Headers],[תאריך]])=1,LoanStart,IF(I167&gt;0,EDATE(C167,1),"")),""),"")</f>
        <v>50375</v>
      </c>
      <c r="D168" s="13">
        <f>IF(ROW()-ROW(הפחתה[[#Headers],[יתרת פתיחה]])=1,סכום_הלוואה,IF(הפחתה[[#This Row],[תאריך]]="",0,INDEX(הפחתה[], ROW()-4,8)))</f>
        <v>436350.9727259893</v>
      </c>
      <c r="E168" s="13">
        <f>IF(ValuesEntered,IF(ROW()-ROW(הפחתה[[#Headers],[ריבית]])=1,-IPMT(שיעור_ריבית/12,1,תקופת_ההלוואה-ROWS($C$4:C168)+1,הפחתה[[#This Row],[יתרת פתיחה]]),IFERROR(-IPMT(שיעור_ריבית/12,1,הפחתה[[#This Row],[תשלומים
שנותרו]],D169),0)),0)</f>
        <v>1921.0130971011633</v>
      </c>
      <c r="F168" s="13">
        <f>IFERROR(IF(AND(ValuesEntered,הפחתה[[#This Row],[תאריך]]&lt;&gt;""),-PPMT(שיעור_ריבית/12,1,תקופת_ההלוואה-ROWS($C$4:C168)+1,הפחתה[[#This Row],[יתרת פתיחה]]),""),0)</f>
        <v>1404.6111181787671</v>
      </c>
      <c r="G168" s="13">
        <f>(הפחתה[[#This Row],[יתרת פתיחה]])*(מדד/12)</f>
        <v>0</v>
      </c>
      <c r="H168" s="13">
        <f>IF(הפחתה[[#This Row],[תאריך]]="",0,הפחתה[[#This Row],[ריבית]]+הפחתה[[#This Row],[קרן]]+הפחתה[[#This Row],[מדד]])</f>
        <v>3325.6242152799305</v>
      </c>
      <c r="I168" s="13">
        <f>IF(הפחתה[[#This Row],[תאריך]]="",0,הפחתה[[#This Row],[יתרת פתיחה]]-הפחתה[[#This Row],[קרן]]+הפחתה[[#This Row],[מדד]])</f>
        <v>434946.36160781054</v>
      </c>
      <c r="J168" s="11">
        <f>IF(הפחתה[[#This Row],[יתרת
סגירה]]&gt;0,LastRow-ROW(),0)</f>
        <v>195</v>
      </c>
      <c r="K168" s="11">
        <f>ROWS($K$4:K168)</f>
        <v>165</v>
      </c>
      <c r="L168" s="12">
        <f>IF(ValuesEntered2,IF(הפחתה5[[#This Row],[מס'']]&lt;=תקופת_ההלוואה2,IF(ROW()-ROW(הפחתה5[[#Headers],[תאריך]])=1,LoanStart2,IF(R167&gt;0,EDATE(L167,1),"")),""),"")</f>
        <v>50375</v>
      </c>
      <c r="M168" s="13">
        <f>IF(ROW()-ROW(הפחתה5[[#Headers],[יתרת פתיחה]])=1,סכום_הלוואה2,IF(הפחתה5[[#This Row],[תאריך]]="",0,INDEX(הפחתה5[], ROW()-4,8)))</f>
        <v>179160.83285214804</v>
      </c>
      <c r="N168" s="13">
        <f>IF(ValuesEntered2,IF(ROW()-ROW(הפחתה5[[#Headers],[ריבית]])=1,-IPMT(שיעור_ריבית2/12,1,תקופת_ההלוואה2-ROWS($L$4:L168)+1,הפחתה5[[#This Row],[יתרת פתיחה]]),IFERROR(-IPMT(שיעור_ריבית2/12,1,הפחתה5[[#This Row],[תשלומים
שנותרו]],M169),0)),0)</f>
        <v>697.79650699095987</v>
      </c>
      <c r="O168" s="13">
        <f>IFERROR(IF(AND(ValuesEntered2,הפחתה5[[#This Row],[תאריך]]&lt;&gt;""),-PPMT(שיעור_ריבית2/12,1,תקופת_ההלוואה2-ROWS($L$4:L168)+1,הפחתה5[[#This Row],[יתרת פתיחה]]),""),0)</f>
        <v>1000.0225565838124</v>
      </c>
      <c r="P168" s="13">
        <f>(הפחתה5[[#This Row],[יתרת פתיחה]])*(מדד2/12)</f>
        <v>0</v>
      </c>
      <c r="Q168" s="13">
        <f>IF(הפחתה5[[#This Row],[תאריך]]="",0,הפחתה5[[#This Row],[ריבית]]+הפחתה5[[#This Row],[קרן]]+הפחתה5[[#This Row],[מדד]])</f>
        <v>1697.8190635747724</v>
      </c>
      <c r="R168" s="13">
        <f>IF(הפחתה5[[#This Row],[תאריך]]="",0,הפחתה5[[#This Row],[יתרת פתיחה]]-הפחתה5[[#This Row],[קרן]]+הפחתה5[[#This Row],[מדד]])</f>
        <v>178160.81029556424</v>
      </c>
      <c r="S168" s="11">
        <f>IF(הפחתה5[[#This Row],[יתרת
סגירה]]&gt;0,LastRow2-ROW(),0)</f>
        <v>135</v>
      </c>
      <c r="T168" s="11">
        <f>ROWS($T$4:T168)</f>
        <v>165</v>
      </c>
      <c r="U168" s="12">
        <f ca="1">IF(ValuesEntered3,IF(הפחתה7[[#This Row],[מס'']]&lt;=תקופת_ההלוואה3,IF(ROW()-ROW(הפחתה7[[#Headers],[תאריך]])=1,LoanStart3,IF(AA167&gt;0,EDATE(U167,1),"")),""),"")</f>
        <v>50611</v>
      </c>
      <c r="V168" s="13">
        <f ca="1">IF(ROW()-ROW(הפחתה7[[#Headers],[יתרת פתיחה]])=1,סכום_הלוואה3,IF(הפחתה7[[#This Row],[תאריך]]="",0,INDEX(הפחתה7[], ROW()-4,8)))</f>
        <v>69016.953608567521</v>
      </c>
      <c r="W168" s="13">
        <f ca="1">IF(ValuesEntered3,IF(ROW()-ROW(הפחתה7[[#Headers],[ריבית]])=1,-IPMT(שיעור_ריבית3/12,1,תקופת_ההלוואה3-ROWS($C$4:U168)+1,הפחתה7[[#This Row],[יתרת פתיחה]]),IFERROR(-IPMT(שיעור_ריבית3/12,1,הפחתה7[[#This Row],[תשלומים
שנותרו]],V169),0)),0)</f>
        <v>131.65064272059621</v>
      </c>
      <c r="X168" s="13">
        <f ca="1">IFERROR(IF(AND(ValuesEntered3,הפחתה7[[#This Row],[תאריך]]&lt;&gt;""),-PPMT(שיעור_ריבית3/12,1,תקופת_ההלוואה3-ROWS($C$4:U168)+1,הפחתה7[[#This Row],[יתרת פתיחה]]),""),0)</f>
        <v>444.69001035769185</v>
      </c>
      <c r="Y168" s="13">
        <f ca="1">(הפחתה7[[#This Row],[יתרת פתיחה]])*(מדד3/12)</f>
        <v>115.02825601427921</v>
      </c>
      <c r="Z168" s="13">
        <f ca="1">IF(הפחתה7[[#This Row],[תאריך]]="",0,הפחתה7[[#This Row],[ריבית]]+הפחתה7[[#This Row],[קרן]]+הפחתה7[[#This Row],[מדד]])</f>
        <v>691.36890909256726</v>
      </c>
      <c r="AA168" s="13">
        <f ca="1">IF(הפחתה7[[#This Row],[תאריך]]="",0,הפחתה7[[#This Row],[יתרת פתיחה]]-הפחתה7[[#This Row],[קרן]]+הפחתה7[[#This Row],[מדד]])</f>
        <v>68687.29185422411</v>
      </c>
      <c r="AB168" s="11">
        <f ca="1">IF(הפחתה7[[#This Row],[יתרת
סגירה]]&gt;0,LastRow3-ROW(),0)</f>
        <v>135</v>
      </c>
      <c r="AC168" s="17">
        <f>ROWS($AC$4:AC168)</f>
        <v>165</v>
      </c>
      <c r="AD168" s="18" t="str">
        <f ca="1">IF(ValuesEntered4,IF(הפחתה8[[#This Row],[מס'']]&lt;=תקופת_ההלוואה4,IF(ROW()-ROW(הפחתה8[[#Headers],[תאריך]])=1,LoanStart4,IF(AJ167&gt;0,EDATE(AD167,1),"")),""),"")</f>
        <v/>
      </c>
      <c r="AE168" s="19">
        <f ca="1">IF(ROW()-ROW(הפחתה8[[#Headers],[יתרת פתיחה]])=1,סכום_הלוואה4,IF(הפחתה8[[#This Row],[תאריך]]="",0,INDEX(הפחתה8[], ROW()-4,8)))</f>
        <v>0</v>
      </c>
      <c r="AF168" s="19">
        <f ca="1">IF(ValuesEntered4,IF(ROW()-ROW(הפחתה8[[#Headers],[ריבית]])=1,-IPMT(שיעור_ריבית4/12,1,תקופת_ההלוואה4-ROWS($C$4:AD168)+1,הפחתה8[[#This Row],[יתרת פתיחה]]),IFERROR(-IPMT(שיעור_ריבית4/12,1,הפחתה8[[#This Row],[תשלומים
שנותרו]],AE169),0)),0)</f>
        <v>0</v>
      </c>
      <c r="AG168" s="19" t="str">
        <f ca="1">IFERROR(IF(AND(ValuesEntered4,הפחתה8[[#This Row],[תאריך]]&lt;&gt;""),-PPMT(שיעור_ריבית4/12,1,תקופת_ההלוואה4-ROWS($C$4:AD168)+1,הפחתה8[[#This Row],[יתרת פתיחה]]),""),0)</f>
        <v/>
      </c>
      <c r="AH168" s="19">
        <f ca="1">(הפחתה8[[#This Row],[יתרת פתיחה]])*(מדד4/12)</f>
        <v>0</v>
      </c>
      <c r="AI168" s="19">
        <f ca="1">IF(הפחתה8[[#This Row],[תאריך]]="",0,הפחתה8[[#This Row],[ריבית]]+הפחתה8[[#This Row],[קרן]]+הפחתה8[[#This Row],[מדד]])</f>
        <v>0</v>
      </c>
      <c r="AJ168" s="19">
        <f ca="1">IF(הפחתה8[[#This Row],[תאריך]]="",0,הפחתה8[[#This Row],[יתרת פתיחה]]-הפחתה8[[#This Row],[קרן]])</f>
        <v>0</v>
      </c>
      <c r="AK168" s="20">
        <f ca="1">IF(הפחתה8[[#This Row],[יתרת
סגירה]]&gt;0,LastRow4-ROW(),0)</f>
        <v>0</v>
      </c>
    </row>
    <row r="169" spans="1:37" ht="15" customHeight="1" x14ac:dyDescent="0.25">
      <c r="A169" s="8"/>
      <c r="B169" s="11">
        <f>ROWS($B$4:B169)</f>
        <v>166</v>
      </c>
      <c r="C169" s="12">
        <f>IF(ValuesEntered,IF(הפחתה[[#This Row],[מס'']]&lt;=תקופת_ההלוואה,IF(ROW()-ROW(הפחתה[[#Headers],[תאריך]])=1,LoanStart,IF(I168&gt;0,EDATE(C168,1),"")),""),"")</f>
        <v>50406</v>
      </c>
      <c r="D169" s="13">
        <f>IF(ROW()-ROW(הפחתה[[#Headers],[יתרת פתיחה]])=1,סכום_הלוואה,IF(הפחתה[[#This Row],[תאריך]]="",0,INDEX(הפחתה[], ROW()-4,8)))</f>
        <v>434946.36160781054</v>
      </c>
      <c r="E169" s="13">
        <f>IF(ValuesEntered,IF(ROW()-ROW(הפחתה[[#Headers],[ריבית]])=1,-IPMT(שיעור_ריבית/12,1,תקופת_ההלוואה-ROWS($C$4:C169)+1,הפחתה[[#This Row],[יתרת פתיחה]]),IFERROR(-IPMT(שיעור_ריבית/12,1,הפחתה[[#This Row],[תשלומים
שנותרו]],D170),0)),0)</f>
        <v>1914.7819983248253</v>
      </c>
      <c r="F169" s="13">
        <f>IFERROR(IF(AND(ValuesEntered,הפחתה[[#This Row],[תאריך]]&lt;&gt;""),-PPMT(שיעור_ריבית/12,1,תקופת_ההלוואה-ROWS($C$4:C169)+1,הפחתה[[#This Row],[יתרת פתיחה]]),""),0)</f>
        <v>1410.8148172840561</v>
      </c>
      <c r="G169" s="13">
        <f>(הפחתה[[#This Row],[יתרת פתיחה]])*(מדד/12)</f>
        <v>0</v>
      </c>
      <c r="H169" s="13">
        <f>IF(הפחתה[[#This Row],[תאריך]]="",0,הפחתה[[#This Row],[ריבית]]+הפחתה[[#This Row],[קרן]]+הפחתה[[#This Row],[מדד]])</f>
        <v>3325.5968156088811</v>
      </c>
      <c r="I169" s="13">
        <f>IF(הפחתה[[#This Row],[תאריך]]="",0,הפחתה[[#This Row],[יתרת פתיחה]]-הפחתה[[#This Row],[קרן]]+הפחתה[[#This Row],[מדד]])</f>
        <v>433535.54679052648</v>
      </c>
      <c r="J169" s="11">
        <f>IF(הפחתה[[#This Row],[יתרת
סגירה]]&gt;0,LastRow-ROW(),0)</f>
        <v>194</v>
      </c>
      <c r="K169" s="11">
        <f>ROWS($K$4:K169)</f>
        <v>166</v>
      </c>
      <c r="L169" s="12">
        <f>IF(ValuesEntered2,IF(הפחתה5[[#This Row],[מס'']]&lt;=תקופת_ההלוואה2,IF(ROW()-ROW(הפחתה5[[#Headers],[תאריך]])=1,LoanStart2,IF(R168&gt;0,EDATE(L168,1),"")),""),"")</f>
        <v>50406</v>
      </c>
      <c r="M169" s="13">
        <f>IF(ROW()-ROW(הפחתה5[[#Headers],[יתרת פתיחה]])=1,סכום_הלוואה2,IF(הפחתה5[[#This Row],[תאריך]]="",0,INDEX(הפחתה5[], ROW()-4,8)))</f>
        <v>178160.81029556424</v>
      </c>
      <c r="N169" s="13">
        <f>IF(ValuesEntered2,IF(ROW()-ROW(הפחתה5[[#Headers],[ריבית]])=1,-IPMT(שיעור_ריבית2/12,1,תקופת_ההלוואה2-ROWS($L$4:L169)+1,הפחתה5[[#This Row],[יתרת פתיחה]]),IFERROR(-IPMT(שיעור_ריבית2/12,1,הפחתה5[[#This Row],[תשלומים
שנותרו]],M170),0)),0)</f>
        <v>693.86441135387133</v>
      </c>
      <c r="O169" s="13">
        <f>IFERROR(IF(AND(ValuesEntered2,הפחתה5[[#This Row],[תאריך]]&lt;&gt;""),-PPMT(שיעור_ריבית2/12,1,תקופת_ההלוואה2-ROWS($L$4:L169)+1,הפחתה5[[#This Row],[יתרת פתיחה]]),""),0)</f>
        <v>1003.9393115970989</v>
      </c>
      <c r="P169" s="13">
        <f>(הפחתה5[[#This Row],[יתרת פתיחה]])*(מדד2/12)</f>
        <v>0</v>
      </c>
      <c r="Q169" s="13">
        <f>IF(הפחתה5[[#This Row],[תאריך]]="",0,הפחתה5[[#This Row],[ריבית]]+הפחתה5[[#This Row],[קרן]]+הפחתה5[[#This Row],[מדד]])</f>
        <v>1697.8037229509703</v>
      </c>
      <c r="R169" s="13">
        <f>IF(הפחתה5[[#This Row],[תאריך]]="",0,הפחתה5[[#This Row],[יתרת פתיחה]]-הפחתה5[[#This Row],[קרן]]+הפחתה5[[#This Row],[מדד]])</f>
        <v>177156.87098396715</v>
      </c>
      <c r="S169" s="11">
        <f>IF(הפחתה5[[#This Row],[יתרת
סגירה]]&gt;0,LastRow2-ROW(),0)</f>
        <v>134</v>
      </c>
      <c r="T169" s="11">
        <f>ROWS($T$4:T169)</f>
        <v>166</v>
      </c>
      <c r="U169" s="12">
        <f ca="1">IF(ValuesEntered3,IF(הפחתה7[[#This Row],[מס'']]&lt;=תקופת_ההלוואה3,IF(ROW()-ROW(הפחתה7[[#Headers],[תאריך]])=1,LoanStart3,IF(AA168&gt;0,EDATE(U168,1),"")),""),"")</f>
        <v>50642</v>
      </c>
      <c r="V169" s="13">
        <f ca="1">IF(ROW()-ROW(הפחתה7[[#Headers],[יתרת פתיחה]])=1,סכום_הלוואה3,IF(הפחתה7[[#This Row],[תאריך]]="",0,INDEX(הפחתה7[], ROW()-4,8)))</f>
        <v>68687.29185422411</v>
      </c>
      <c r="W169" s="13">
        <f ca="1">IF(ValuesEntered3,IF(ROW()-ROW(הפחתה7[[#Headers],[ריבית]])=1,-IPMT(שיעור_ריבית3/12,1,תקופת_ההלוואה3-ROWS($C$4:U169)+1,הפחתה7[[#This Row],[יתרת פתיחה]]),IFERROR(-IPMT(שיעור_ריבית3/12,1,הפחתה7[[#This Row],[תשלומים
שנותרו]],V170),0)),0)</f>
        <v>131.01467183039918</v>
      </c>
      <c r="X169" s="13">
        <f ca="1">IFERROR(IF(AND(ValuesEntered3,הפחתה7[[#This Row],[תאריך]]&lt;&gt;""),-PPMT(שיעור_ריבית3/12,1,תקופת_ההלוואה3-ROWS($C$4:U169)+1,הפחתה7[[#This Row],[יתרת פתיחה]]),""),0)</f>
        <v>446.28971899026931</v>
      </c>
      <c r="Y169" s="13">
        <f ca="1">(הפחתה7[[#This Row],[יתרת פתיחה]])*(מדד3/12)</f>
        <v>114.47881975704018</v>
      </c>
      <c r="Z169" s="13">
        <f ca="1">IF(הפחתה7[[#This Row],[תאריך]]="",0,הפחתה7[[#This Row],[ריבית]]+הפחתה7[[#This Row],[קרן]]+הפחתה7[[#This Row],[מדד]])</f>
        <v>691.78321057770859</v>
      </c>
      <c r="AA169" s="13">
        <f ca="1">IF(הפחתה7[[#This Row],[תאריך]]="",0,הפחתה7[[#This Row],[יתרת פתיחה]]-הפחתה7[[#This Row],[קרן]]+הפחתה7[[#This Row],[מדד]])</f>
        <v>68355.480954990882</v>
      </c>
      <c r="AB169" s="11">
        <f ca="1">IF(הפחתה7[[#This Row],[יתרת
סגירה]]&gt;0,LastRow3-ROW(),0)</f>
        <v>134</v>
      </c>
      <c r="AC169" s="17">
        <f>ROWS($AC$4:AC169)</f>
        <v>166</v>
      </c>
      <c r="AD169" s="18" t="str">
        <f ca="1">IF(ValuesEntered4,IF(הפחתה8[[#This Row],[מס'']]&lt;=תקופת_ההלוואה4,IF(ROW()-ROW(הפחתה8[[#Headers],[תאריך]])=1,LoanStart4,IF(AJ168&gt;0,EDATE(AD168,1),"")),""),"")</f>
        <v/>
      </c>
      <c r="AE169" s="19">
        <f ca="1">IF(ROW()-ROW(הפחתה8[[#Headers],[יתרת פתיחה]])=1,סכום_הלוואה4,IF(הפחתה8[[#This Row],[תאריך]]="",0,INDEX(הפחתה8[], ROW()-4,8)))</f>
        <v>0</v>
      </c>
      <c r="AF169" s="19">
        <f ca="1">IF(ValuesEntered4,IF(ROW()-ROW(הפחתה8[[#Headers],[ריבית]])=1,-IPMT(שיעור_ריבית4/12,1,תקופת_ההלוואה4-ROWS($C$4:AD169)+1,הפחתה8[[#This Row],[יתרת פתיחה]]),IFERROR(-IPMT(שיעור_ריבית4/12,1,הפחתה8[[#This Row],[תשלומים
שנותרו]],AE170),0)),0)</f>
        <v>0</v>
      </c>
      <c r="AG169" s="19" t="str">
        <f ca="1">IFERROR(IF(AND(ValuesEntered4,הפחתה8[[#This Row],[תאריך]]&lt;&gt;""),-PPMT(שיעור_ריבית4/12,1,תקופת_ההלוואה4-ROWS($C$4:AD169)+1,הפחתה8[[#This Row],[יתרת פתיחה]]),""),0)</f>
        <v/>
      </c>
      <c r="AH169" s="19">
        <f ca="1">(הפחתה8[[#This Row],[יתרת פתיחה]])*(מדד4/12)</f>
        <v>0</v>
      </c>
      <c r="AI169" s="19">
        <f ca="1">IF(הפחתה8[[#This Row],[תאריך]]="",0,הפחתה8[[#This Row],[ריבית]]+הפחתה8[[#This Row],[קרן]]+הפחתה8[[#This Row],[מדד]])</f>
        <v>0</v>
      </c>
      <c r="AJ169" s="19">
        <f ca="1">IF(הפחתה8[[#This Row],[תאריך]]="",0,הפחתה8[[#This Row],[יתרת פתיחה]]-הפחתה8[[#This Row],[קרן]])</f>
        <v>0</v>
      </c>
      <c r="AK169" s="20">
        <f ca="1">IF(הפחתה8[[#This Row],[יתרת
סגירה]]&gt;0,LastRow4-ROW(),0)</f>
        <v>0</v>
      </c>
    </row>
    <row r="170" spans="1:37" ht="15" customHeight="1" x14ac:dyDescent="0.25">
      <c r="A170" s="8"/>
      <c r="B170" s="11">
        <f>ROWS($B$4:B170)</f>
        <v>167</v>
      </c>
      <c r="C170" s="12">
        <f>IF(ValuesEntered,IF(הפחתה[[#This Row],[מס'']]&lt;=תקופת_ההלוואה,IF(ROW()-ROW(הפחתה[[#Headers],[תאריך]])=1,LoanStart,IF(I169&gt;0,EDATE(C169,1),"")),""),"")</f>
        <v>50437</v>
      </c>
      <c r="D170" s="13">
        <f>IF(ROW()-ROW(הפחתה[[#Headers],[יתרת פתיחה]])=1,סכום_הלוואה,IF(הפחתה[[#This Row],[תאריך]]="",0,INDEX(הפחתה[], ROW()-4,8)))</f>
        <v>433535.54679052648</v>
      </c>
      <c r="E170" s="13">
        <f>IF(ValuesEntered,IF(ROW()-ROW(הפחתה[[#Headers],[ריבית]])=1,-IPMT(שיעור_ריבית/12,1,תקופת_ההלוואה-ROWS($C$4:C170)+1,הפחתה[[#This Row],[יתרת פתיחה]]),IFERROR(-IPMT(שיעור_ריבית/12,1,הפחתה[[#This Row],[תשלומים
שנותרו]],D171),0)),0)</f>
        <v>1908.5233788622254</v>
      </c>
      <c r="F170" s="13">
        <f>IFERROR(IF(AND(ValuesEntered,הפחתה[[#This Row],[תאריך]]&lt;&gt;""),-PPMT(שיעור_ריבית/12,1,תקופת_ההלוואה-ROWS($C$4:C170)+1,הפחתה[[#This Row],[יתרת פתיחה]]),""),0)</f>
        <v>1417.0459160603943</v>
      </c>
      <c r="G170" s="13">
        <f>(הפחתה[[#This Row],[יתרת פתיחה]])*(מדד/12)</f>
        <v>0</v>
      </c>
      <c r="H170" s="13">
        <f>IF(הפחתה[[#This Row],[תאריך]]="",0,הפחתה[[#This Row],[ריבית]]+הפחתה[[#This Row],[קרן]]+הפחתה[[#This Row],[מדד]])</f>
        <v>3325.5692949226195</v>
      </c>
      <c r="I170" s="13">
        <f>IF(הפחתה[[#This Row],[תאריך]]="",0,הפחתה[[#This Row],[יתרת פתיחה]]-הפחתה[[#This Row],[קרן]]+הפחתה[[#This Row],[מדד]])</f>
        <v>432118.50087446609</v>
      </c>
      <c r="J170" s="11">
        <f>IF(הפחתה[[#This Row],[יתרת
סגירה]]&gt;0,LastRow-ROW(),0)</f>
        <v>193</v>
      </c>
      <c r="K170" s="11">
        <f>ROWS($K$4:K170)</f>
        <v>167</v>
      </c>
      <c r="L170" s="12">
        <f>IF(ValuesEntered2,IF(הפחתה5[[#This Row],[מס'']]&lt;=תקופת_ההלוואה2,IF(ROW()-ROW(הפחתה5[[#Headers],[תאריך]])=1,LoanStart2,IF(R169&gt;0,EDATE(L169,1),"")),""),"")</f>
        <v>50437</v>
      </c>
      <c r="M170" s="13">
        <f>IF(ROW()-ROW(הפחתה5[[#Headers],[יתרת פתיחה]])=1,סכום_הלוואה2,IF(הפחתה5[[#This Row],[תאריך]]="",0,INDEX(הפחתה5[], ROW()-4,8)))</f>
        <v>177156.87098396715</v>
      </c>
      <c r="N170" s="13">
        <f>IF(ValuesEntered2,IF(ROW()-ROW(הפחתה5[[#Headers],[ריבית]])=1,-IPMT(שיעור_ריבית2/12,1,תקופת_ההלוואה2-ROWS($L$4:L170)+1,הפחתה5[[#This Row],[יתרת פתיחה]]),IFERROR(-IPMT(שיעור_ריבית2/12,1,הפחתה5[[#This Row],[תשלומים
שנותרו]],M171),0)),0)</f>
        <v>689.91691500887066</v>
      </c>
      <c r="O170" s="13">
        <f>IFERROR(IF(AND(ValuesEntered2,הפחתה5[[#This Row],[תאריך]]&lt;&gt;""),-PPMT(שיעור_ריבית2/12,1,תקופת_ההלוואה2-ROWS($L$4:L170)+1,הפחתה5[[#This Row],[יתרת פתיחה]]),""),0)</f>
        <v>1007.8714072341878</v>
      </c>
      <c r="P170" s="13">
        <f>(הפחתה5[[#This Row],[יתרת פתיחה]])*(מדד2/12)</f>
        <v>0</v>
      </c>
      <c r="Q170" s="13">
        <f>IF(הפחתה5[[#This Row],[תאריך]]="",0,הפחתה5[[#This Row],[ריבית]]+הפחתה5[[#This Row],[קרן]]+הפחתה5[[#This Row],[מדד]])</f>
        <v>1697.7883222430585</v>
      </c>
      <c r="R170" s="13">
        <f>IF(הפחתה5[[#This Row],[תאריך]]="",0,הפחתה5[[#This Row],[יתרת פתיחה]]-הפחתה5[[#This Row],[קרן]]+הפחתה5[[#This Row],[מדד]])</f>
        <v>176148.99957673295</v>
      </c>
      <c r="S170" s="11">
        <f>IF(הפחתה5[[#This Row],[יתרת
סגירה]]&gt;0,LastRow2-ROW(),0)</f>
        <v>133</v>
      </c>
      <c r="T170" s="11">
        <f>ROWS($T$4:T170)</f>
        <v>167</v>
      </c>
      <c r="U170" s="12">
        <f ca="1">IF(ValuesEntered3,IF(הפחתה7[[#This Row],[מס'']]&lt;=תקופת_ההלוואה3,IF(ROW()-ROW(הפחתה7[[#Headers],[תאריך]])=1,LoanStart3,IF(AA169&gt;0,EDATE(U169,1),"")),""),"")</f>
        <v>50673</v>
      </c>
      <c r="V170" s="13">
        <f ca="1">IF(ROW()-ROW(הפחתה7[[#Headers],[יתרת פתיחה]])=1,סכום_הלוואה3,IF(הפחתה7[[#This Row],[תאריך]]="",0,INDEX(הפחתה7[], ROW()-4,8)))</f>
        <v>68355.480954990882</v>
      </c>
      <c r="W170" s="13">
        <f ca="1">IF(ValuesEntered3,IF(ROW()-ROW(הפחתה7[[#Headers],[ריבית]])=1,-IPMT(שיעור_ריבית3/12,1,תקופת_ההלוואה3-ROWS($C$4:U170)+1,הפחתה7[[#This Row],[יתרת פתיחה]]),IFERROR(-IPMT(שיעור_ריבית3/12,1,הפחתה7[[#This Row],[תשלומים
שנותרו]],V171),0)),0)</f>
        <v>130.37456377217131</v>
      </c>
      <c r="X170" s="13">
        <f ca="1">IFERROR(IF(AND(ValuesEntered3,הפחתה7[[#This Row],[תאריך]]&lt;&gt;""),-PPMT(שיעור_ריבית3/12,1,תקופת_ההלוואה3-ROWS($C$4:U170)+1,הפחתה7[[#This Row],[יתרת פתיחה]]),""),0)</f>
        <v>447.89522327576299</v>
      </c>
      <c r="Y170" s="13">
        <f ca="1">(הפחתה7[[#This Row],[יתרת פתיחה]])*(מדד3/12)</f>
        <v>113.92580159165148</v>
      </c>
      <c r="Z170" s="13">
        <f ca="1">IF(הפחתה7[[#This Row],[תאריך]]="",0,הפחתה7[[#This Row],[ריבית]]+הפחתה7[[#This Row],[קרן]]+הפחתה7[[#This Row],[מדד]])</f>
        <v>692.19558863958582</v>
      </c>
      <c r="AA170" s="13">
        <f ca="1">IF(הפחתה7[[#This Row],[תאריך]]="",0,הפחתה7[[#This Row],[יתרת פתיחה]]-הפחתה7[[#This Row],[קרן]]+הפחתה7[[#This Row],[מדד]])</f>
        <v>68021.511533306781</v>
      </c>
      <c r="AB170" s="11">
        <f ca="1">IF(הפחתה7[[#This Row],[יתרת
סגירה]]&gt;0,LastRow3-ROW(),0)</f>
        <v>133</v>
      </c>
      <c r="AC170" s="17">
        <f>ROWS($AC$4:AC170)</f>
        <v>167</v>
      </c>
      <c r="AD170" s="18" t="str">
        <f ca="1">IF(ValuesEntered4,IF(הפחתה8[[#This Row],[מס'']]&lt;=תקופת_ההלוואה4,IF(ROW()-ROW(הפחתה8[[#Headers],[תאריך]])=1,LoanStart4,IF(AJ169&gt;0,EDATE(AD169,1),"")),""),"")</f>
        <v/>
      </c>
      <c r="AE170" s="19">
        <f ca="1">IF(ROW()-ROW(הפחתה8[[#Headers],[יתרת פתיחה]])=1,סכום_הלוואה4,IF(הפחתה8[[#This Row],[תאריך]]="",0,INDEX(הפחתה8[], ROW()-4,8)))</f>
        <v>0</v>
      </c>
      <c r="AF170" s="19">
        <f ca="1">IF(ValuesEntered4,IF(ROW()-ROW(הפחתה8[[#Headers],[ריבית]])=1,-IPMT(שיעור_ריבית4/12,1,תקופת_ההלוואה4-ROWS($C$4:AD170)+1,הפחתה8[[#This Row],[יתרת פתיחה]]),IFERROR(-IPMT(שיעור_ריבית4/12,1,הפחתה8[[#This Row],[תשלומים
שנותרו]],AE171),0)),0)</f>
        <v>0</v>
      </c>
      <c r="AG170" s="19" t="str">
        <f ca="1">IFERROR(IF(AND(ValuesEntered4,הפחתה8[[#This Row],[תאריך]]&lt;&gt;""),-PPMT(שיעור_ריבית4/12,1,תקופת_ההלוואה4-ROWS($C$4:AD170)+1,הפחתה8[[#This Row],[יתרת פתיחה]]),""),0)</f>
        <v/>
      </c>
      <c r="AH170" s="19">
        <f ca="1">(הפחתה8[[#This Row],[יתרת פתיחה]])*(מדד4/12)</f>
        <v>0</v>
      </c>
      <c r="AI170" s="19">
        <f ca="1">IF(הפחתה8[[#This Row],[תאריך]]="",0,הפחתה8[[#This Row],[ריבית]]+הפחתה8[[#This Row],[קרן]]+הפחתה8[[#This Row],[מדד]])</f>
        <v>0</v>
      </c>
      <c r="AJ170" s="19">
        <f ca="1">IF(הפחתה8[[#This Row],[תאריך]]="",0,הפחתה8[[#This Row],[יתרת פתיחה]]-הפחתה8[[#This Row],[קרן]])</f>
        <v>0</v>
      </c>
      <c r="AK170" s="20">
        <f ca="1">IF(הפחתה8[[#This Row],[יתרת
סגירה]]&gt;0,LastRow4-ROW(),0)</f>
        <v>0</v>
      </c>
    </row>
    <row r="171" spans="1:37" ht="15" customHeight="1" x14ac:dyDescent="0.25">
      <c r="A171" s="8"/>
      <c r="B171" s="11">
        <f>ROWS($B$4:B171)</f>
        <v>168</v>
      </c>
      <c r="C171" s="12">
        <f>IF(ValuesEntered,IF(הפחתה[[#This Row],[מס'']]&lt;=תקופת_ההלוואה,IF(ROW()-ROW(הפחתה[[#Headers],[תאריך]])=1,LoanStart,IF(I170&gt;0,EDATE(C170,1),"")),""),"")</f>
        <v>50465</v>
      </c>
      <c r="D171" s="13">
        <f>IF(ROW()-ROW(הפחתה[[#Headers],[יתרת פתיחה]])=1,סכום_הלוואה,IF(הפחתה[[#This Row],[תאריך]]="",0,INDEX(הפחתה[], ROW()-4,8)))</f>
        <v>432118.50087446609</v>
      </c>
      <c r="E171" s="13">
        <f>IF(ValuesEntered,IF(ROW()-ROW(הפחתה[[#Headers],[ריבית]])=1,-IPMT(שיעור_ריבית/12,1,תקופת_ההלוואה-ROWS($C$4:C171)+1,הפחתה[[#This Row],[יתרת פתיחה]]),IFERROR(-IPMT(שיעור_ריבית/12,1,הפחתה[[#This Row],[תשלומים
שנותרו]],D172),0)),0)</f>
        <v>1902.2371171636653</v>
      </c>
      <c r="F171" s="13">
        <f>IFERROR(IF(AND(ValuesEntered,הפחתה[[#This Row],[תאריך]]&lt;&gt;""),-PPMT(שיעור_ריבית/12,1,תקופת_ההלוואה-ROWS($C$4:C171)+1,הפחתה[[#This Row],[יתרת פתיחה]]),""),0)</f>
        <v>1423.3045355229947</v>
      </c>
      <c r="G171" s="13">
        <f>(הפחתה[[#This Row],[יתרת פתיחה]])*(מדד/12)</f>
        <v>0</v>
      </c>
      <c r="H171" s="13">
        <f>IF(הפחתה[[#This Row],[תאריך]]="",0,הפחתה[[#This Row],[ריבית]]+הפחתה[[#This Row],[קרן]]+הפחתה[[#This Row],[מדד]])</f>
        <v>3325.5416526866602</v>
      </c>
      <c r="I171" s="13">
        <f>IF(הפחתה[[#This Row],[תאריך]]="",0,הפחתה[[#This Row],[יתרת פתיחה]]-הפחתה[[#This Row],[קרן]]+הפחתה[[#This Row],[מדד]])</f>
        <v>430695.19633894309</v>
      </c>
      <c r="J171" s="11">
        <f>IF(הפחתה[[#This Row],[יתרת
סגירה]]&gt;0,LastRow-ROW(),0)</f>
        <v>192</v>
      </c>
      <c r="K171" s="11">
        <f>ROWS($K$4:K171)</f>
        <v>168</v>
      </c>
      <c r="L171" s="12">
        <f>IF(ValuesEntered2,IF(הפחתה5[[#This Row],[מס'']]&lt;=תקופת_ההלוואה2,IF(ROW()-ROW(הפחתה5[[#Headers],[תאריך]])=1,LoanStart2,IF(R170&gt;0,EDATE(L170,1),"")),""),"")</f>
        <v>50465</v>
      </c>
      <c r="M171" s="13">
        <f>IF(ROW()-ROW(הפחתה5[[#Headers],[יתרת פתיחה]])=1,סכום_הלוואה2,IF(הפחתה5[[#This Row],[תאריך]]="",0,INDEX(הפחתה5[], ROW()-4,8)))</f>
        <v>176148.99957673295</v>
      </c>
      <c r="N171" s="13">
        <f>IF(ValuesEntered2,IF(ROW()-ROW(הפחתה5[[#Headers],[ריבית]])=1,-IPMT(שיעור_ריבית2/12,1,תקופת_ההלוואה2-ROWS($L$4:L171)+1,הפחתה5[[#This Row],[יתרת פתיחה]]),IFERROR(-IPMT(שיעור_ריבית2/12,1,הפחתה5[[#This Row],[תשלומים
שנותרו]],M172),0)),0)</f>
        <v>685.95395763651879</v>
      </c>
      <c r="O171" s="13">
        <f>IFERROR(IF(AND(ValuesEntered2,הפחתה5[[#This Row],[תאריך]]&lt;&gt;""),-PPMT(שיעור_ריבית2/12,1,תקופת_ההלוואה2-ROWS($L$4:L171)+1,הפחתה5[[#This Row],[יתרת פתיחה]]),""),0)</f>
        <v>1011.8189035791881</v>
      </c>
      <c r="P171" s="13">
        <f>(הפחתה5[[#This Row],[יתרת פתיחה]])*(מדד2/12)</f>
        <v>0</v>
      </c>
      <c r="Q171" s="13">
        <f>IF(הפחתה5[[#This Row],[תאריך]]="",0,הפחתה5[[#This Row],[ריבית]]+הפחתה5[[#This Row],[קרן]]+הפחתה5[[#This Row],[מדד]])</f>
        <v>1697.7728612157071</v>
      </c>
      <c r="R171" s="13">
        <f>IF(הפחתה5[[#This Row],[תאריך]]="",0,הפחתה5[[#This Row],[יתרת פתיחה]]-הפחתה5[[#This Row],[קרן]]+הפחתה5[[#This Row],[מדד]])</f>
        <v>175137.18067315375</v>
      </c>
      <c r="S171" s="11">
        <f>IF(הפחתה5[[#This Row],[יתרת
סגירה]]&gt;0,LastRow2-ROW(),0)</f>
        <v>132</v>
      </c>
      <c r="T171" s="11">
        <f>ROWS($T$4:T171)</f>
        <v>168</v>
      </c>
      <c r="U171" s="12">
        <f ca="1">IF(ValuesEntered3,IF(הפחתה7[[#This Row],[מס'']]&lt;=תקופת_ההלוואה3,IF(ROW()-ROW(הפחתה7[[#Headers],[תאריך]])=1,LoanStart3,IF(AA170&gt;0,EDATE(U170,1),"")),""),"")</f>
        <v>50703</v>
      </c>
      <c r="V171" s="13">
        <f ca="1">IF(ROW()-ROW(הפחתה7[[#Headers],[יתרת פתיחה]])=1,סכום_הלוואה3,IF(הפחתה7[[#This Row],[תאריך]]="",0,INDEX(הפחתה7[], ROW()-4,8)))</f>
        <v>68021.511533306781</v>
      </c>
      <c r="W171" s="13">
        <f ca="1">IF(ValuesEntered3,IF(ROW()-ROW(הפחתה7[[#Headers],[ריבית]])=1,-IPMT(שיעור_ריבית3/12,1,תקופת_ההלוואה3-ROWS($C$4:U171)+1,הפחתה7[[#This Row],[יתרת פתיחה]]),IFERROR(-IPMT(שיעור_ריבית3/12,1,הפחתה7[[#This Row],[תשלומים
שנותרו]],V172),0)),0)</f>
        <v>129.73030050058225</v>
      </c>
      <c r="X171" s="13">
        <f ca="1">IFERROR(IF(AND(ValuesEntered3,הפחתה7[[#This Row],[תאריך]]&lt;&gt;""),-PPMT(שיעור_ריבית3/12,1,תקופת_ההלוואה3-ROWS($C$4:U171)+1,הפחתה7[[#This Row],[יתרת פתיחה]]),""),0)</f>
        <v>449.5065449788093</v>
      </c>
      <c r="Y171" s="13">
        <f ca="1">(הפחתה7[[#This Row],[יתרת פתיחה]])*(מדד3/12)</f>
        <v>113.36918588884464</v>
      </c>
      <c r="Z171" s="13">
        <f ca="1">IF(הפחתה7[[#This Row],[תאריך]]="",0,הפחתה7[[#This Row],[ריבית]]+הפחתה7[[#This Row],[קרן]]+הפחתה7[[#This Row],[מדד]])</f>
        <v>692.60603136823624</v>
      </c>
      <c r="AA171" s="13">
        <f ca="1">IF(הפחתה7[[#This Row],[תאריך]]="",0,הפחתה7[[#This Row],[יתרת פתיחה]]-הפחתה7[[#This Row],[קרן]]+הפחתה7[[#This Row],[מדד]])</f>
        <v>67685.37417421682</v>
      </c>
      <c r="AB171" s="11">
        <f ca="1">IF(הפחתה7[[#This Row],[יתרת
סגירה]]&gt;0,LastRow3-ROW(),0)</f>
        <v>132</v>
      </c>
      <c r="AC171" s="17">
        <f>ROWS($AC$4:AC171)</f>
        <v>168</v>
      </c>
      <c r="AD171" s="18" t="str">
        <f ca="1">IF(ValuesEntered4,IF(הפחתה8[[#This Row],[מס'']]&lt;=תקופת_ההלוואה4,IF(ROW()-ROW(הפחתה8[[#Headers],[תאריך]])=1,LoanStart4,IF(AJ170&gt;0,EDATE(AD170,1),"")),""),"")</f>
        <v/>
      </c>
      <c r="AE171" s="19">
        <f ca="1">IF(ROW()-ROW(הפחתה8[[#Headers],[יתרת פתיחה]])=1,סכום_הלוואה4,IF(הפחתה8[[#This Row],[תאריך]]="",0,INDEX(הפחתה8[], ROW()-4,8)))</f>
        <v>0</v>
      </c>
      <c r="AF171" s="19">
        <f ca="1">IF(ValuesEntered4,IF(ROW()-ROW(הפחתה8[[#Headers],[ריבית]])=1,-IPMT(שיעור_ריבית4/12,1,תקופת_ההלוואה4-ROWS($C$4:AD171)+1,הפחתה8[[#This Row],[יתרת פתיחה]]),IFERROR(-IPMT(שיעור_ריבית4/12,1,הפחתה8[[#This Row],[תשלומים
שנותרו]],AE172),0)),0)</f>
        <v>0</v>
      </c>
      <c r="AG171" s="19" t="str">
        <f ca="1">IFERROR(IF(AND(ValuesEntered4,הפחתה8[[#This Row],[תאריך]]&lt;&gt;""),-PPMT(שיעור_ריבית4/12,1,תקופת_ההלוואה4-ROWS($C$4:AD171)+1,הפחתה8[[#This Row],[יתרת פתיחה]]),""),0)</f>
        <v/>
      </c>
      <c r="AH171" s="19">
        <f ca="1">(הפחתה8[[#This Row],[יתרת פתיחה]])*(מדד4/12)</f>
        <v>0</v>
      </c>
      <c r="AI171" s="19">
        <f ca="1">IF(הפחתה8[[#This Row],[תאריך]]="",0,הפחתה8[[#This Row],[ריבית]]+הפחתה8[[#This Row],[קרן]]+הפחתה8[[#This Row],[מדד]])</f>
        <v>0</v>
      </c>
      <c r="AJ171" s="19">
        <f ca="1">IF(הפחתה8[[#This Row],[תאריך]]="",0,הפחתה8[[#This Row],[יתרת פתיחה]]-הפחתה8[[#This Row],[קרן]])</f>
        <v>0</v>
      </c>
      <c r="AK171" s="20">
        <f ca="1">IF(הפחתה8[[#This Row],[יתרת
סגירה]]&gt;0,LastRow4-ROW(),0)</f>
        <v>0</v>
      </c>
    </row>
    <row r="172" spans="1:37" ht="15" customHeight="1" x14ac:dyDescent="0.25">
      <c r="A172" s="8"/>
      <c r="B172" s="11">
        <f>ROWS($B$4:B172)</f>
        <v>169</v>
      </c>
      <c r="C172" s="12">
        <f>IF(ValuesEntered,IF(הפחתה[[#This Row],[מס'']]&lt;=תקופת_ההלוואה,IF(ROW()-ROW(הפחתה[[#Headers],[תאריך]])=1,LoanStart,IF(I171&gt;0,EDATE(C171,1),"")),""),"")</f>
        <v>50496</v>
      </c>
      <c r="D172" s="13">
        <f>IF(ROW()-ROW(הפחתה[[#Headers],[יתרת פתיחה]])=1,סכום_הלוואה,IF(הפחתה[[#This Row],[תאריך]]="",0,INDEX(הפחתה[], ROW()-4,8)))</f>
        <v>430695.19633894309</v>
      </c>
      <c r="E172" s="13">
        <f>IF(ValuesEntered,IF(ROW()-ROW(הפחתה[[#Headers],[ריבית]])=1,-IPMT(שיעור_ריבית/12,1,תקופת_ההלוואה-ROWS($C$4:C172)+1,הפחתה[[#This Row],[יתרת פתיחה]]),IFERROR(-IPMT(שיעור_ריבית/12,1,הפחתה[[#This Row],[תשלומים
שנותרו]],D173),0)),0)</f>
        <v>1895.9230911426034</v>
      </c>
      <c r="F172" s="13">
        <f>IFERROR(IF(AND(ValuesEntered,הפחתה[[#This Row],[תאריך]]&lt;&gt;""),-PPMT(שיעור_ריבית/12,1,תקופת_ההלוואה-ROWS($C$4:C172)+1,הפחתה[[#This Row],[יתרת פתיחה]]),""),0)</f>
        <v>1429.5907972215546</v>
      </c>
      <c r="G172" s="13">
        <f>(הפחתה[[#This Row],[יתרת פתיחה]])*(מדד/12)</f>
        <v>0</v>
      </c>
      <c r="H172" s="13">
        <f>IF(הפחתה[[#This Row],[תאריך]]="",0,הפחתה[[#This Row],[ריבית]]+הפחתה[[#This Row],[קרן]]+הפחתה[[#This Row],[מדד]])</f>
        <v>3325.513888364158</v>
      </c>
      <c r="I172" s="13">
        <f>IF(הפחתה[[#This Row],[תאריך]]="",0,הפחתה[[#This Row],[יתרת פתיחה]]-הפחתה[[#This Row],[קרן]]+הפחתה[[#This Row],[מדד]])</f>
        <v>429265.60554172151</v>
      </c>
      <c r="J172" s="11">
        <f>IF(הפחתה[[#This Row],[יתרת
סגירה]]&gt;0,LastRow-ROW(),0)</f>
        <v>191</v>
      </c>
      <c r="K172" s="11">
        <f>ROWS($K$4:K172)</f>
        <v>169</v>
      </c>
      <c r="L172" s="12">
        <f>IF(ValuesEntered2,IF(הפחתה5[[#This Row],[מס'']]&lt;=תקופת_ההלוואה2,IF(ROW()-ROW(הפחתה5[[#Headers],[תאריך]])=1,LoanStart2,IF(R171&gt;0,EDATE(L171,1),"")),""),"")</f>
        <v>50496</v>
      </c>
      <c r="M172" s="13">
        <f>IF(ROW()-ROW(הפחתה5[[#Headers],[יתרת פתיחה]])=1,סכום_הלוואה2,IF(הפחתה5[[#This Row],[תאריך]]="",0,INDEX(הפחתה5[], ROW()-4,8)))</f>
        <v>175137.18067315375</v>
      </c>
      <c r="N172" s="13">
        <f>IF(ValuesEntered2,IF(ROW()-ROW(הפחתה5[[#Headers],[ריבית]])=1,-IPMT(שיעור_ריבית2/12,1,תקופת_ההלוואה2-ROWS($L$4:L172)+1,הפחתה5[[#This Row],[יתרת פתיחה]]),IFERROR(-IPMT(שיעור_ריבית2/12,1,הפחתה5[[#This Row],[תשלומים
שנותרו]],M173),0)),0)</f>
        <v>681.97547868112531</v>
      </c>
      <c r="O172" s="13">
        <f>IFERROR(IF(AND(ValuesEntered2,הפחתה5[[#This Row],[תאריך]]&lt;&gt;""),-PPMT(שיעור_ריבית2/12,1,תקופת_ההלוואה2-ROWS($L$4:L172)+1,הפחתה5[[#This Row],[יתרת פתיחה]]),""),0)</f>
        <v>1015.7818609515402</v>
      </c>
      <c r="P172" s="13">
        <f>(הפחתה5[[#This Row],[יתרת פתיחה]])*(מדד2/12)</f>
        <v>0</v>
      </c>
      <c r="Q172" s="13">
        <f>IF(הפחתה5[[#This Row],[תאריך]]="",0,הפחתה5[[#This Row],[ריבית]]+הפחתה5[[#This Row],[קרן]]+הפחתה5[[#This Row],[מדד]])</f>
        <v>1697.7573396326657</v>
      </c>
      <c r="R172" s="13">
        <f>IF(הפחתה5[[#This Row],[תאריך]]="",0,הפחתה5[[#This Row],[יתרת פתיחה]]-הפחתה5[[#This Row],[קרן]]+הפחתה5[[#This Row],[מדד]])</f>
        <v>174121.39881220221</v>
      </c>
      <c r="S172" s="11">
        <f>IF(הפחתה5[[#This Row],[יתרת
סגירה]]&gt;0,LastRow2-ROW(),0)</f>
        <v>131</v>
      </c>
      <c r="T172" s="11">
        <f>ROWS($T$4:T172)</f>
        <v>169</v>
      </c>
      <c r="U172" s="12">
        <f ca="1">IF(ValuesEntered3,IF(הפחתה7[[#This Row],[מס'']]&lt;=תקופת_ההלוואה3,IF(ROW()-ROW(הפחתה7[[#Headers],[תאריך]])=1,LoanStart3,IF(AA171&gt;0,EDATE(U171,1),"")),""),"")</f>
        <v>50734</v>
      </c>
      <c r="V172" s="13">
        <f ca="1">IF(ROW()-ROW(הפחתה7[[#Headers],[יתרת פתיחה]])=1,סכום_הלוואה3,IF(הפחתה7[[#This Row],[תאריך]]="",0,INDEX(הפחתה7[], ROW()-4,8)))</f>
        <v>67685.37417421682</v>
      </c>
      <c r="W172" s="13">
        <f ca="1">IF(ValuesEntered3,IF(ROW()-ROW(הפחתה7[[#Headers],[ריבית]])=1,-IPMT(שיעור_ריבית3/12,1,תקופת_ההלוואה3-ROWS($C$4:U172)+1,הפחתה7[[#This Row],[יתרת פתיחה]]),IFERROR(-IPMT(שיעור_ריבית3/12,1,הפחתה7[[#This Row],[תשלומים
שנותרו]],V173),0)),0)</f>
        <v>129.08186389831732</v>
      </c>
      <c r="X172" s="13">
        <f ca="1">IFERROR(IF(AND(ValuesEntered3,הפחתה7[[#This Row],[תאריך]]&lt;&gt;""),-PPMT(שיעור_ריבית3/12,1,תקופת_ההלוואה3-ROWS($C$4:U172)+1,הפחתה7[[#This Row],[יתרת פתיחה]]),""),0)</f>
        <v>451.12370596481094</v>
      </c>
      <c r="Y172" s="13">
        <f ca="1">(הפחתה7[[#This Row],[יתרת פתיחה]])*(מדד3/12)</f>
        <v>112.80895695702804</v>
      </c>
      <c r="Z172" s="13">
        <f ca="1">IF(הפחתה7[[#This Row],[תאריך]]="",0,הפחתה7[[#This Row],[ריבית]]+הפחתה7[[#This Row],[קרן]]+הפחתה7[[#This Row],[מדד]])</f>
        <v>693.01452682015633</v>
      </c>
      <c r="AA172" s="13">
        <f ca="1">IF(הפחתה7[[#This Row],[תאריך]]="",0,הפחתה7[[#This Row],[יתרת פתיחה]]-הפחתה7[[#This Row],[קרן]]+הפחתה7[[#This Row],[מדד]])</f>
        <v>67347.059425209038</v>
      </c>
      <c r="AB172" s="11">
        <f ca="1">IF(הפחתה7[[#This Row],[יתרת
סגירה]]&gt;0,LastRow3-ROW(),0)</f>
        <v>131</v>
      </c>
      <c r="AC172" s="17">
        <f>ROWS($AC$4:AC172)</f>
        <v>169</v>
      </c>
      <c r="AD172" s="18" t="str">
        <f ca="1">IF(ValuesEntered4,IF(הפחתה8[[#This Row],[מס'']]&lt;=תקופת_ההלוואה4,IF(ROW()-ROW(הפחתה8[[#Headers],[תאריך]])=1,LoanStart4,IF(AJ171&gt;0,EDATE(AD171,1),"")),""),"")</f>
        <v/>
      </c>
      <c r="AE172" s="19">
        <f ca="1">IF(ROW()-ROW(הפחתה8[[#Headers],[יתרת פתיחה]])=1,סכום_הלוואה4,IF(הפחתה8[[#This Row],[תאריך]]="",0,INDEX(הפחתה8[], ROW()-4,8)))</f>
        <v>0</v>
      </c>
      <c r="AF172" s="19">
        <f ca="1">IF(ValuesEntered4,IF(ROW()-ROW(הפחתה8[[#Headers],[ריבית]])=1,-IPMT(שיעור_ריבית4/12,1,תקופת_ההלוואה4-ROWS($C$4:AD172)+1,הפחתה8[[#This Row],[יתרת פתיחה]]),IFERROR(-IPMT(שיעור_ריבית4/12,1,הפחתה8[[#This Row],[תשלומים
שנותרו]],AE173),0)),0)</f>
        <v>0</v>
      </c>
      <c r="AG172" s="19" t="str">
        <f ca="1">IFERROR(IF(AND(ValuesEntered4,הפחתה8[[#This Row],[תאריך]]&lt;&gt;""),-PPMT(שיעור_ריבית4/12,1,תקופת_ההלוואה4-ROWS($C$4:AD172)+1,הפחתה8[[#This Row],[יתרת פתיחה]]),""),0)</f>
        <v/>
      </c>
      <c r="AH172" s="19">
        <f ca="1">(הפחתה8[[#This Row],[יתרת פתיחה]])*(מדד4/12)</f>
        <v>0</v>
      </c>
      <c r="AI172" s="19">
        <f ca="1">IF(הפחתה8[[#This Row],[תאריך]]="",0,הפחתה8[[#This Row],[ריבית]]+הפחתה8[[#This Row],[קרן]]+הפחתה8[[#This Row],[מדד]])</f>
        <v>0</v>
      </c>
      <c r="AJ172" s="19">
        <f ca="1">IF(הפחתה8[[#This Row],[תאריך]]="",0,הפחתה8[[#This Row],[יתרת פתיחה]]-הפחתה8[[#This Row],[קרן]])</f>
        <v>0</v>
      </c>
      <c r="AK172" s="20">
        <f ca="1">IF(הפחתה8[[#This Row],[יתרת
סגירה]]&gt;0,LastRow4-ROW(),0)</f>
        <v>0</v>
      </c>
    </row>
    <row r="173" spans="1:37" ht="15" customHeight="1" x14ac:dyDescent="0.25">
      <c r="A173" s="8"/>
      <c r="B173" s="11">
        <f>ROWS($B$4:B173)</f>
        <v>170</v>
      </c>
      <c r="C173" s="12">
        <f>IF(ValuesEntered,IF(הפחתה[[#This Row],[מס'']]&lt;=תקופת_ההלוואה,IF(ROW()-ROW(הפחתה[[#Headers],[תאריך]])=1,LoanStart,IF(I172&gt;0,EDATE(C172,1),"")),""),"")</f>
        <v>50526</v>
      </c>
      <c r="D173" s="13">
        <f>IF(ROW()-ROW(הפחתה[[#Headers],[יתרת פתיחה]])=1,סכום_הלוואה,IF(הפחתה[[#This Row],[תאריך]]="",0,INDEX(הפחתה[], ROW()-4,8)))</f>
        <v>429265.60554172151</v>
      </c>
      <c r="E173" s="13">
        <f>IF(ValuesEntered,IF(ROW()-ROW(הפחתה[[#Headers],[ריבית]])=1,-IPMT(שיעור_ריבית/12,1,תקופת_ההלוואה-ROWS($C$4:C173)+1,הפחתה[[#This Row],[יתרת פתיחה]]),IFERROR(-IPMT(שיעור_ריבית/12,1,הפחתה[[#This Row],[תשלומים
שנותרו]],D174),0)),0)</f>
        <v>1889.5811781732818</v>
      </c>
      <c r="F173" s="13">
        <f>IFERROR(IF(AND(ValuesEntered,הפחתה[[#This Row],[תאריך]]&lt;&gt;""),-PPMT(שיעור_ריבית/12,1,תקופת_ההלוואה-ROWS($C$4:C173)+1,הפחתה[[#This Row],[יתרת פתיחה]]),""),0)</f>
        <v>1435.904823242616</v>
      </c>
      <c r="G173" s="13">
        <f>(הפחתה[[#This Row],[יתרת פתיחה]])*(מדד/12)</f>
        <v>0</v>
      </c>
      <c r="H173" s="13">
        <f>IF(הפחתה[[#This Row],[תאריך]]="",0,הפחתה[[#This Row],[ריבית]]+הפחתה[[#This Row],[קרן]]+הפחתה[[#This Row],[מדד]])</f>
        <v>3325.4860014158976</v>
      </c>
      <c r="I173" s="13">
        <f>IF(הפחתה[[#This Row],[תאריך]]="",0,הפחתה[[#This Row],[יתרת פתיחה]]-הפחתה[[#This Row],[קרן]]+הפחתה[[#This Row],[מדד]])</f>
        <v>427829.70071847888</v>
      </c>
      <c r="J173" s="11">
        <f>IF(הפחתה[[#This Row],[יתרת
סגירה]]&gt;0,LastRow-ROW(),0)</f>
        <v>190</v>
      </c>
      <c r="K173" s="11">
        <f>ROWS($K$4:K173)</f>
        <v>170</v>
      </c>
      <c r="L173" s="12">
        <f>IF(ValuesEntered2,IF(הפחתה5[[#This Row],[מס'']]&lt;=תקופת_ההלוואה2,IF(ROW()-ROW(הפחתה5[[#Headers],[תאריך]])=1,LoanStart2,IF(R172&gt;0,EDATE(L172,1),"")),""),"")</f>
        <v>50526</v>
      </c>
      <c r="M173" s="13">
        <f>IF(ROW()-ROW(הפחתה5[[#Headers],[יתרת פתיחה]])=1,סכום_הלוואה2,IF(הפחתה5[[#This Row],[תאריך]]="",0,INDEX(הפחתה5[], ROW()-4,8)))</f>
        <v>174121.39881220221</v>
      </c>
      <c r="N173" s="13">
        <f>IF(ValuesEntered2,IF(ROW()-ROW(הפחתה5[[#Headers],[ריבית]])=1,-IPMT(שיעור_ריבית2/12,1,תקופת_ההלוואה2-ROWS($L$4:L173)+1,הפחתה5[[#This Row],[יתרת פתיחה]]),IFERROR(-IPMT(שיעור_ריבית2/12,1,הפחתה5[[#This Row],[תשלומים
שנותרו]],M174),0)),0)</f>
        <v>677.98141734982312</v>
      </c>
      <c r="O173" s="13">
        <f>IFERROR(IF(AND(ValuesEntered2,הפחתה5[[#This Row],[תאריך]]&lt;&gt;""),-PPMT(שיעור_ריבית2/12,1,תקופת_ההלוואה2-ROWS($L$4:L173)+1,הפחתה5[[#This Row],[יתרת פתיחה]]),""),0)</f>
        <v>1019.7603399069335</v>
      </c>
      <c r="P173" s="13">
        <f>(הפחתה5[[#This Row],[יתרת פתיחה]])*(מדד2/12)</f>
        <v>0</v>
      </c>
      <c r="Q173" s="13">
        <f>IF(הפחתה5[[#This Row],[תאריך]]="",0,הפחתה5[[#This Row],[ריבית]]+הפחתה5[[#This Row],[קרן]]+הפחתה5[[#This Row],[מדד]])</f>
        <v>1697.7417572567565</v>
      </c>
      <c r="R173" s="13">
        <f>IF(הפחתה5[[#This Row],[תאריך]]="",0,הפחתה5[[#This Row],[יתרת פתיחה]]-הפחתה5[[#This Row],[קרן]]+הפחתה5[[#This Row],[מדד]])</f>
        <v>173101.63847229528</v>
      </c>
      <c r="S173" s="11">
        <f>IF(הפחתה5[[#This Row],[יתרת
סגירה]]&gt;0,LastRow2-ROW(),0)</f>
        <v>130</v>
      </c>
      <c r="T173" s="11">
        <f>ROWS($T$4:T173)</f>
        <v>170</v>
      </c>
      <c r="U173" s="12">
        <f ca="1">IF(ValuesEntered3,IF(הפחתה7[[#This Row],[מס'']]&lt;=תקופת_ההלוואה3,IF(ROW()-ROW(הפחתה7[[#Headers],[תאריך]])=1,LoanStart3,IF(AA172&gt;0,EDATE(U172,1),"")),""),"")</f>
        <v>50764</v>
      </c>
      <c r="V173" s="13">
        <f ca="1">IF(ROW()-ROW(הפחתה7[[#Headers],[יתרת פתיחה]])=1,סכום_הלוואה3,IF(הפחתה7[[#This Row],[תאריך]]="",0,INDEX(הפחתה7[], ROW()-4,8)))</f>
        <v>67347.059425209038</v>
      </c>
      <c r="W173" s="13">
        <f ca="1">IF(ValuesEntered3,IF(ROW()-ROW(הפחתה7[[#Headers],[ריבית]])=1,-IPMT(שיעור_ריבית3/12,1,תקופת_ההלוואה3-ROWS($C$4:U173)+1,הפחתה7[[#This Row],[יתרת פתיחה]]),IFERROR(-IPMT(שיעור_ריבית3/12,1,הפחתה7[[#This Row],[תשלומים
שנותרו]],V174),0)),0)</f>
        <v>128.42923577576263</v>
      </c>
      <c r="X173" s="13">
        <f ca="1">IFERROR(IF(AND(ValuesEntered3,הפחתה7[[#This Row],[תאריך]]&lt;&gt;""),-PPMT(שיעור_ריבית3/12,1,תקופת_ההלוואה3-ROWS($C$4:U173)+1,הפחתה7[[#This Row],[יתרת פתיחה]]),""),0)</f>
        <v>452.74672820099482</v>
      </c>
      <c r="Y173" s="13">
        <f ca="1">(הפחתה7[[#This Row],[יתרת פתיחה]])*(מדד3/12)</f>
        <v>112.24509904201507</v>
      </c>
      <c r="Z173" s="13">
        <f ca="1">IF(הפחתה7[[#This Row],[תאריך]]="",0,הפחתה7[[#This Row],[ריבית]]+הפחתה7[[#This Row],[קרן]]+הפחתה7[[#This Row],[מדד]])</f>
        <v>693.42106301877254</v>
      </c>
      <c r="AA173" s="13">
        <f ca="1">IF(הפחתה7[[#This Row],[תאריך]]="",0,הפחתה7[[#This Row],[יתרת פתיחה]]-הפחתה7[[#This Row],[קרן]]+הפחתה7[[#This Row],[מדד]])</f>
        <v>67006.557796050067</v>
      </c>
      <c r="AB173" s="11">
        <f ca="1">IF(הפחתה7[[#This Row],[יתרת
סגירה]]&gt;0,LastRow3-ROW(),0)</f>
        <v>130</v>
      </c>
      <c r="AC173" s="17">
        <f>ROWS($AC$4:AC173)</f>
        <v>170</v>
      </c>
      <c r="AD173" s="18" t="str">
        <f ca="1">IF(ValuesEntered4,IF(הפחתה8[[#This Row],[מס'']]&lt;=תקופת_ההלוואה4,IF(ROW()-ROW(הפחתה8[[#Headers],[תאריך]])=1,LoanStart4,IF(AJ172&gt;0,EDATE(AD172,1),"")),""),"")</f>
        <v/>
      </c>
      <c r="AE173" s="19">
        <f ca="1">IF(ROW()-ROW(הפחתה8[[#Headers],[יתרת פתיחה]])=1,סכום_הלוואה4,IF(הפחתה8[[#This Row],[תאריך]]="",0,INDEX(הפחתה8[], ROW()-4,8)))</f>
        <v>0</v>
      </c>
      <c r="AF173" s="19">
        <f ca="1">IF(ValuesEntered4,IF(ROW()-ROW(הפחתה8[[#Headers],[ריבית]])=1,-IPMT(שיעור_ריבית4/12,1,תקופת_ההלוואה4-ROWS($C$4:AD173)+1,הפחתה8[[#This Row],[יתרת פתיחה]]),IFERROR(-IPMT(שיעור_ריבית4/12,1,הפחתה8[[#This Row],[תשלומים
שנותרו]],AE174),0)),0)</f>
        <v>0</v>
      </c>
      <c r="AG173" s="19" t="str">
        <f ca="1">IFERROR(IF(AND(ValuesEntered4,הפחתה8[[#This Row],[תאריך]]&lt;&gt;""),-PPMT(שיעור_ריבית4/12,1,תקופת_ההלוואה4-ROWS($C$4:AD173)+1,הפחתה8[[#This Row],[יתרת פתיחה]]),""),0)</f>
        <v/>
      </c>
      <c r="AH173" s="19">
        <f ca="1">(הפחתה8[[#This Row],[יתרת פתיחה]])*(מדד4/12)</f>
        <v>0</v>
      </c>
      <c r="AI173" s="19">
        <f ca="1">IF(הפחתה8[[#This Row],[תאריך]]="",0,הפחתה8[[#This Row],[ריבית]]+הפחתה8[[#This Row],[קרן]]+הפחתה8[[#This Row],[מדד]])</f>
        <v>0</v>
      </c>
      <c r="AJ173" s="19">
        <f ca="1">IF(הפחתה8[[#This Row],[תאריך]]="",0,הפחתה8[[#This Row],[יתרת פתיחה]]-הפחתה8[[#This Row],[קרן]])</f>
        <v>0</v>
      </c>
      <c r="AK173" s="20">
        <f ca="1">IF(הפחתה8[[#This Row],[יתרת
סגירה]]&gt;0,LastRow4-ROW(),0)</f>
        <v>0</v>
      </c>
    </row>
    <row r="174" spans="1:37" ht="15" customHeight="1" x14ac:dyDescent="0.25">
      <c r="A174" s="8"/>
      <c r="B174" s="11">
        <f>ROWS($B$4:B174)</f>
        <v>171</v>
      </c>
      <c r="C174" s="12">
        <f>IF(ValuesEntered,IF(הפחתה[[#This Row],[מס'']]&lt;=תקופת_ההלוואה,IF(ROW()-ROW(הפחתה[[#Headers],[תאריך]])=1,LoanStart,IF(I173&gt;0,EDATE(C173,1),"")),""),"")</f>
        <v>50557</v>
      </c>
      <c r="D174" s="13">
        <f>IF(ROW()-ROW(הפחתה[[#Headers],[יתרת פתיחה]])=1,סכום_הלוואה,IF(הפחתה[[#This Row],[תאריך]]="",0,INDEX(הפחתה[], ROW()-4,8)))</f>
        <v>427829.70071847888</v>
      </c>
      <c r="E174" s="13">
        <f>IF(ValuesEntered,IF(ROW()-ROW(הפחתה[[#Headers],[ריבית]])=1,-IPMT(שיעור_ריבית/12,1,תקופת_ההלוואה-ROWS($C$4:C174)+1,הפחתה[[#This Row],[יתרת פתיחה]]),IFERROR(-IPMT(שיעור_ריבית/12,1,הפחתה[[#This Row],[תשלומים
שנותרו]],D175),0)),0)</f>
        <v>1883.2112550883458</v>
      </c>
      <c r="F174" s="13">
        <f>IFERROR(IF(AND(ValuesEntered,הפחתה[[#This Row],[תאריך]]&lt;&gt;""),-PPMT(שיעור_ריבית/12,1,תקופת_ההלוואה-ROWS($C$4:C174)+1,הפחתה[[#This Row],[יתרת פתיחה]]),""),0)</f>
        <v>1442.2467362119378</v>
      </c>
      <c r="G174" s="13">
        <f>(הפחתה[[#This Row],[יתרת פתיחה]])*(מדד/12)</f>
        <v>0</v>
      </c>
      <c r="H174" s="13">
        <f>IF(הפחתה[[#This Row],[תאריך]]="",0,הפחתה[[#This Row],[ריבית]]+הפחתה[[#This Row],[קרן]]+הפחתה[[#This Row],[מדד]])</f>
        <v>3325.4579913002835</v>
      </c>
      <c r="I174" s="13">
        <f>IF(הפחתה[[#This Row],[תאריך]]="",0,הפחתה[[#This Row],[יתרת פתיחה]]-הפחתה[[#This Row],[קרן]]+הפחתה[[#This Row],[מדד]])</f>
        <v>426387.45398226695</v>
      </c>
      <c r="J174" s="11">
        <f>IF(הפחתה[[#This Row],[יתרת
סגירה]]&gt;0,LastRow-ROW(),0)</f>
        <v>189</v>
      </c>
      <c r="K174" s="11">
        <f>ROWS($K$4:K174)</f>
        <v>171</v>
      </c>
      <c r="L174" s="12">
        <f>IF(ValuesEntered2,IF(הפחתה5[[#This Row],[מס'']]&lt;=תקופת_ההלוואה2,IF(ROW()-ROW(הפחתה5[[#Headers],[תאריך]])=1,LoanStart2,IF(R173&gt;0,EDATE(L173,1),"")),""),"")</f>
        <v>50557</v>
      </c>
      <c r="M174" s="13">
        <f>IF(ROW()-ROW(הפחתה5[[#Headers],[יתרת פתיחה]])=1,סכום_הלוואה2,IF(הפחתה5[[#This Row],[תאריך]]="",0,INDEX(הפחתה5[], ROW()-4,8)))</f>
        <v>173101.63847229528</v>
      </c>
      <c r="N174" s="13">
        <f>IF(ValuesEntered2,IF(ROW()-ROW(הפחתה5[[#Headers],[ריבית]])=1,-IPMT(שיעור_ריבית2/12,1,תקופת_ההלוואה2-ROWS($L$4:L174)+1,הפחתה5[[#This Row],[יתרת פתיחה]]),IFERROR(-IPMT(שיעור_ריבית2/12,1,הפחתה5[[#This Row],[תשלומים
שנותרו]],M175),0)),0)</f>
        <v>673.9717126116401</v>
      </c>
      <c r="O174" s="13">
        <f>IFERROR(IF(AND(ValuesEntered2,הפחתה5[[#This Row],[תאריך]]&lt;&gt;""),-PPMT(שיעור_ריבית2/12,1,תקופת_ההלוואה2-ROWS($L$4:L174)+1,הפחתה5[[#This Row],[יתרת פתיחה]]),""),0)</f>
        <v>1023.7544012382355</v>
      </c>
      <c r="P174" s="13">
        <f>(הפחתה5[[#This Row],[יתרת פתיחה]])*(מדד2/12)</f>
        <v>0</v>
      </c>
      <c r="Q174" s="13">
        <f>IF(הפחתה5[[#This Row],[תאריך]]="",0,הפחתה5[[#This Row],[ריבית]]+הפחתה5[[#This Row],[קרן]]+הפחתה5[[#This Row],[מדד]])</f>
        <v>1697.7261138498757</v>
      </c>
      <c r="R174" s="13">
        <f>IF(הפחתה5[[#This Row],[תאריך]]="",0,הפחתה5[[#This Row],[יתרת פתיחה]]-הפחתה5[[#This Row],[קרן]]+הפחתה5[[#This Row],[מדד]])</f>
        <v>172077.88407105705</v>
      </c>
      <c r="S174" s="11">
        <f>IF(הפחתה5[[#This Row],[יתרת
סגירה]]&gt;0,LastRow2-ROW(),0)</f>
        <v>129</v>
      </c>
      <c r="T174" s="11">
        <f>ROWS($T$4:T174)</f>
        <v>171</v>
      </c>
      <c r="U174" s="12">
        <f ca="1">IF(ValuesEntered3,IF(הפחתה7[[#This Row],[מס'']]&lt;=תקופת_ההלוואה3,IF(ROW()-ROW(הפחתה7[[#Headers],[תאריך]])=1,LoanStart3,IF(AA173&gt;0,EDATE(U173,1),"")),""),"")</f>
        <v>50795</v>
      </c>
      <c r="V174" s="13">
        <f ca="1">IF(ROW()-ROW(הפחתה7[[#Headers],[יתרת פתיחה]])=1,סכום_הלוואה3,IF(הפחתה7[[#This Row],[תאריך]]="",0,INDEX(הפחתה7[], ROW()-4,8)))</f>
        <v>67006.557796050067</v>
      </c>
      <c r="W174" s="13">
        <f ca="1">IF(ValuesEntered3,IF(ROW()-ROW(הפחתה7[[#Headers],[ריבית]])=1,-IPMT(שיעור_ריבית3/12,1,תקופת_ההלוואה3-ROWS($C$4:U174)+1,הפחתה7[[#This Row],[יתרת פתיחה]]),IFERROR(-IPMT(שיעור_ריבית3/12,1,הפחתה7[[#This Row],[תשלומים
שנותרו]],V175),0)),0)</f>
        <v>127.77239787068703</v>
      </c>
      <c r="X174" s="13">
        <f ca="1">IFERROR(IF(AND(ValuesEntered3,הפחתה7[[#This Row],[תאריך]]&lt;&gt;""),-PPMT(שיעור_ריבית3/12,1,תקופת_ההלוואה3-ROWS($C$4:U174)+1,הפחתה7[[#This Row],[יתרת פתיחה]]),""),0)</f>
        <v>454.37563375749932</v>
      </c>
      <c r="Y174" s="13">
        <f ca="1">(הפחתה7[[#This Row],[יתרת פתיחה]])*(מדד3/12)</f>
        <v>111.67759632675012</v>
      </c>
      <c r="Z174" s="13">
        <f ca="1">IF(הפחתה7[[#This Row],[תאריך]]="",0,הפחתה7[[#This Row],[ריבית]]+הפחתה7[[#This Row],[קרן]]+הפחתה7[[#This Row],[מדד]])</f>
        <v>693.82562795493641</v>
      </c>
      <c r="AA174" s="13">
        <f ca="1">IF(הפחתה7[[#This Row],[תאריך]]="",0,הפחתה7[[#This Row],[יתרת פתיחה]]-הפחתה7[[#This Row],[קרן]]+הפחתה7[[#This Row],[מדד]])</f>
        <v>66663.859758619321</v>
      </c>
      <c r="AB174" s="11">
        <f ca="1">IF(הפחתה7[[#This Row],[יתרת
סגירה]]&gt;0,LastRow3-ROW(),0)</f>
        <v>129</v>
      </c>
      <c r="AC174" s="17">
        <f>ROWS($AC$4:AC174)</f>
        <v>171</v>
      </c>
      <c r="AD174" s="18" t="str">
        <f ca="1">IF(ValuesEntered4,IF(הפחתה8[[#This Row],[מס'']]&lt;=תקופת_ההלוואה4,IF(ROW()-ROW(הפחתה8[[#Headers],[תאריך]])=1,LoanStart4,IF(AJ173&gt;0,EDATE(AD173,1),"")),""),"")</f>
        <v/>
      </c>
      <c r="AE174" s="19">
        <f ca="1">IF(ROW()-ROW(הפחתה8[[#Headers],[יתרת פתיחה]])=1,סכום_הלוואה4,IF(הפחתה8[[#This Row],[תאריך]]="",0,INDEX(הפחתה8[], ROW()-4,8)))</f>
        <v>0</v>
      </c>
      <c r="AF174" s="19">
        <f ca="1">IF(ValuesEntered4,IF(ROW()-ROW(הפחתה8[[#Headers],[ריבית]])=1,-IPMT(שיעור_ריבית4/12,1,תקופת_ההלוואה4-ROWS($C$4:AD174)+1,הפחתה8[[#This Row],[יתרת פתיחה]]),IFERROR(-IPMT(שיעור_ריבית4/12,1,הפחתה8[[#This Row],[תשלומים
שנותרו]],AE175),0)),0)</f>
        <v>0</v>
      </c>
      <c r="AG174" s="19" t="str">
        <f ca="1">IFERROR(IF(AND(ValuesEntered4,הפחתה8[[#This Row],[תאריך]]&lt;&gt;""),-PPMT(שיעור_ריבית4/12,1,תקופת_ההלוואה4-ROWS($C$4:AD174)+1,הפחתה8[[#This Row],[יתרת פתיחה]]),""),0)</f>
        <v/>
      </c>
      <c r="AH174" s="19">
        <f ca="1">(הפחתה8[[#This Row],[יתרת פתיחה]])*(מדד4/12)</f>
        <v>0</v>
      </c>
      <c r="AI174" s="19">
        <f ca="1">IF(הפחתה8[[#This Row],[תאריך]]="",0,הפחתה8[[#This Row],[ריבית]]+הפחתה8[[#This Row],[קרן]]+הפחתה8[[#This Row],[מדד]])</f>
        <v>0</v>
      </c>
      <c r="AJ174" s="19">
        <f ca="1">IF(הפחתה8[[#This Row],[תאריך]]="",0,הפחתה8[[#This Row],[יתרת פתיחה]]-הפחתה8[[#This Row],[קרן]])</f>
        <v>0</v>
      </c>
      <c r="AK174" s="20">
        <f ca="1">IF(הפחתה8[[#This Row],[יתרת
סגירה]]&gt;0,LastRow4-ROW(),0)</f>
        <v>0</v>
      </c>
    </row>
    <row r="175" spans="1:37" ht="15" customHeight="1" x14ac:dyDescent="0.25">
      <c r="A175" s="8"/>
      <c r="B175" s="11">
        <f>ROWS($B$4:B175)</f>
        <v>172</v>
      </c>
      <c r="C175" s="12">
        <f>IF(ValuesEntered,IF(הפחתה[[#This Row],[מס'']]&lt;=תקופת_ההלוואה,IF(ROW()-ROW(הפחתה[[#Headers],[תאריך]])=1,LoanStart,IF(I174&gt;0,EDATE(C174,1),"")),""),"")</f>
        <v>50587</v>
      </c>
      <c r="D175" s="13">
        <f>IF(ROW()-ROW(הפחתה[[#Headers],[יתרת פתיחה]])=1,סכום_הלוואה,IF(הפחתה[[#This Row],[תאריך]]="",0,INDEX(הפחתה[], ROW()-4,8)))</f>
        <v>426387.45398226695</v>
      </c>
      <c r="E175" s="13">
        <f>IF(ValuesEntered,IF(ROW()-ROW(הפחתה[[#Headers],[ריבית]])=1,-IPMT(שיעור_ריבית/12,1,תקופת_ההלוואה-ROWS($C$4:C175)+1,הפחתה[[#This Row],[יתרת פתיחה]]),IFERROR(-IPMT(שיעור_ריבית/12,1,הפחתה[[#This Row],[תשלומים
שנותרו]],D176),0)),0)</f>
        <v>1876.8131981764514</v>
      </c>
      <c r="F175" s="13">
        <f>IFERROR(IF(AND(ValuesEntered,הפחתה[[#This Row],[תאריך]]&lt;&gt;""),-PPMT(שיעור_ריבית/12,1,תקופת_ההלוואה-ROWS($C$4:C175)+1,הפחתה[[#This Row],[יתרת פתיחה]]),""),0)</f>
        <v>1448.6166592968741</v>
      </c>
      <c r="G175" s="13">
        <f>(הפחתה[[#This Row],[יתרת פתיחה]])*(מדד/12)</f>
        <v>0</v>
      </c>
      <c r="H175" s="13">
        <f>IF(הפחתה[[#This Row],[תאריך]]="",0,הפחתה[[#This Row],[ריבית]]+הפחתה[[#This Row],[קרן]]+הפחתה[[#This Row],[מדד]])</f>
        <v>3325.4298574733257</v>
      </c>
      <c r="I175" s="13">
        <f>IF(הפחתה[[#This Row],[תאריך]]="",0,הפחתה[[#This Row],[יתרת פתיחה]]-הפחתה[[#This Row],[קרן]]+הפחתה[[#This Row],[מדד]])</f>
        <v>424938.8373229701</v>
      </c>
      <c r="J175" s="11">
        <f>IF(הפחתה[[#This Row],[יתרת
סגירה]]&gt;0,LastRow-ROW(),0)</f>
        <v>188</v>
      </c>
      <c r="K175" s="11">
        <f>ROWS($K$4:K175)</f>
        <v>172</v>
      </c>
      <c r="L175" s="12">
        <f>IF(ValuesEntered2,IF(הפחתה5[[#This Row],[מס'']]&lt;=תקופת_ההלוואה2,IF(ROW()-ROW(הפחתה5[[#Headers],[תאריך]])=1,LoanStart2,IF(R174&gt;0,EDATE(L174,1),"")),""),"")</f>
        <v>50587</v>
      </c>
      <c r="M175" s="13">
        <f>IF(ROW()-ROW(הפחתה5[[#Headers],[יתרת פתיחה]])=1,סכום_הלוואה2,IF(הפחתה5[[#This Row],[תאריך]]="",0,INDEX(הפחתה5[], ROW()-4,8)))</f>
        <v>172077.88407105705</v>
      </c>
      <c r="N175" s="13">
        <f>IF(ValuesEntered2,IF(ROW()-ROW(הפחתה5[[#Headers],[ריבית]])=1,-IPMT(שיעור_ריבית2/12,1,תקופת_ההלוואה2-ROWS($L$4:L175)+1,הפחתה5[[#This Row],[יתרת פתיחה]]),IFERROR(-IPMT(שיעור_ריבית2/12,1,הפחתה5[[#This Row],[תשלומים
שנותרו]],M176),0)),0)</f>
        <v>669.94630319656574</v>
      </c>
      <c r="O175" s="13">
        <f>IFERROR(IF(AND(ValuesEntered2,הפחתה5[[#This Row],[תאריך]]&lt;&gt;""),-PPMT(שיעור_ריבית2/12,1,תקופת_ההלוואה2-ROWS($L$4:L175)+1,הפחתה5[[#This Row],[יתרת פתיחה]]),""),0)</f>
        <v>1027.7641059764187</v>
      </c>
      <c r="P175" s="13">
        <f>(הפחתה5[[#This Row],[יתרת פתיחה]])*(מדד2/12)</f>
        <v>0</v>
      </c>
      <c r="Q175" s="13">
        <f>IF(הפחתה5[[#This Row],[תאריך]]="",0,הפחתה5[[#This Row],[ריבית]]+הפחתה5[[#This Row],[קרן]]+הפחתה5[[#This Row],[מדד]])</f>
        <v>1697.7104091729843</v>
      </c>
      <c r="R175" s="13">
        <f>IF(הפחתה5[[#This Row],[תאריך]]="",0,הפחתה5[[#This Row],[יתרת פתיחה]]-הפחתה5[[#This Row],[קרן]]+הפחתה5[[#This Row],[מדד]])</f>
        <v>171050.11996508064</v>
      </c>
      <c r="S175" s="11">
        <f>IF(הפחתה5[[#This Row],[יתרת
סגירה]]&gt;0,LastRow2-ROW(),0)</f>
        <v>128</v>
      </c>
      <c r="T175" s="11">
        <f>ROWS($T$4:T175)</f>
        <v>172</v>
      </c>
      <c r="U175" s="12">
        <f ca="1">IF(ValuesEntered3,IF(הפחתה7[[#This Row],[מס'']]&lt;=תקופת_ההלוואה3,IF(ROW()-ROW(הפחתה7[[#Headers],[תאריך]])=1,LoanStart3,IF(AA174&gt;0,EDATE(U174,1),"")),""),"")</f>
        <v>50826</v>
      </c>
      <c r="V175" s="13">
        <f ca="1">IF(ROW()-ROW(הפחתה7[[#Headers],[יתרת פתיחה]])=1,סכום_הלוואה3,IF(הפחתה7[[#This Row],[תאריך]]="",0,INDEX(הפחתה7[], ROW()-4,8)))</f>
        <v>66663.859758619321</v>
      </c>
      <c r="W175" s="13">
        <f ca="1">IF(ValuesEntered3,IF(ROW()-ROW(הפחתה7[[#Headers],[ריבית]])=1,-IPMT(שיעור_ריבית3/12,1,תקופת_ההלוואה3-ROWS($C$4:U175)+1,הפחתה7[[#This Row],[יתרת פתיחה]]),IFERROR(-IPMT(שיעור_ריבית3/12,1,הפחתה7[[#This Row],[תשלומים
שנותרו]],V176),0)),0)</f>
        <v>127.1113318479219</v>
      </c>
      <c r="X175" s="13">
        <f ca="1">IFERROR(IF(AND(ValuesEntered3,הפחתה7[[#This Row],[תאריך]]&lt;&gt;""),-PPMT(שיעור_ריבית3/12,1,תקופת_ההלוואה3-ROWS($C$4:U175)+1,הפחתה7[[#This Row],[יתרת פתיחה]]),""),0)</f>
        <v>456.01044480849356</v>
      </c>
      <c r="Y175" s="13">
        <f ca="1">(הפחתה7[[#This Row],[יתרת פתיחה]])*(מדד3/12)</f>
        <v>111.1064329310322</v>
      </c>
      <c r="Z175" s="13">
        <f ca="1">IF(הפחתה7[[#This Row],[תאריך]]="",0,הפחתה7[[#This Row],[ריבית]]+הפחתה7[[#This Row],[קרן]]+הפחתה7[[#This Row],[מדד]])</f>
        <v>694.22820958744774</v>
      </c>
      <c r="AA175" s="13">
        <f ca="1">IF(הפחתה7[[#This Row],[תאריך]]="",0,הפחתה7[[#This Row],[יתרת פתיחה]]-הפחתה7[[#This Row],[קרן]]+הפחתה7[[#This Row],[מדד]])</f>
        <v>66318.955746741864</v>
      </c>
      <c r="AB175" s="11">
        <f ca="1">IF(הפחתה7[[#This Row],[יתרת
סגירה]]&gt;0,LastRow3-ROW(),0)</f>
        <v>128</v>
      </c>
      <c r="AC175" s="17">
        <f>ROWS($AC$4:AC175)</f>
        <v>172</v>
      </c>
      <c r="AD175" s="18" t="str">
        <f ca="1">IF(ValuesEntered4,IF(הפחתה8[[#This Row],[מס'']]&lt;=תקופת_ההלוואה4,IF(ROW()-ROW(הפחתה8[[#Headers],[תאריך]])=1,LoanStart4,IF(AJ174&gt;0,EDATE(AD174,1),"")),""),"")</f>
        <v/>
      </c>
      <c r="AE175" s="19">
        <f ca="1">IF(ROW()-ROW(הפחתה8[[#Headers],[יתרת פתיחה]])=1,סכום_הלוואה4,IF(הפחתה8[[#This Row],[תאריך]]="",0,INDEX(הפחתה8[], ROW()-4,8)))</f>
        <v>0</v>
      </c>
      <c r="AF175" s="19">
        <f ca="1">IF(ValuesEntered4,IF(ROW()-ROW(הפחתה8[[#Headers],[ריבית]])=1,-IPMT(שיעור_ריבית4/12,1,תקופת_ההלוואה4-ROWS($C$4:AD175)+1,הפחתה8[[#This Row],[יתרת פתיחה]]),IFERROR(-IPMT(שיעור_ריבית4/12,1,הפחתה8[[#This Row],[תשלומים
שנותרו]],AE176),0)),0)</f>
        <v>0</v>
      </c>
      <c r="AG175" s="19" t="str">
        <f ca="1">IFERROR(IF(AND(ValuesEntered4,הפחתה8[[#This Row],[תאריך]]&lt;&gt;""),-PPMT(שיעור_ריבית4/12,1,תקופת_ההלוואה4-ROWS($C$4:AD175)+1,הפחתה8[[#This Row],[יתרת פתיחה]]),""),0)</f>
        <v/>
      </c>
      <c r="AH175" s="19">
        <f ca="1">(הפחתה8[[#This Row],[יתרת פתיחה]])*(מדד4/12)</f>
        <v>0</v>
      </c>
      <c r="AI175" s="19">
        <f ca="1">IF(הפחתה8[[#This Row],[תאריך]]="",0,הפחתה8[[#This Row],[ריבית]]+הפחתה8[[#This Row],[קרן]]+הפחתה8[[#This Row],[מדד]])</f>
        <v>0</v>
      </c>
      <c r="AJ175" s="19">
        <f ca="1">IF(הפחתה8[[#This Row],[תאריך]]="",0,הפחתה8[[#This Row],[יתרת פתיחה]]-הפחתה8[[#This Row],[קרן]])</f>
        <v>0</v>
      </c>
      <c r="AK175" s="20">
        <f ca="1">IF(הפחתה8[[#This Row],[יתרת
סגירה]]&gt;0,LastRow4-ROW(),0)</f>
        <v>0</v>
      </c>
    </row>
    <row r="176" spans="1:37" ht="15" customHeight="1" x14ac:dyDescent="0.25">
      <c r="A176" s="8"/>
      <c r="B176" s="11">
        <f>ROWS($B$4:B176)</f>
        <v>173</v>
      </c>
      <c r="C176" s="12">
        <f>IF(ValuesEntered,IF(הפחתה[[#This Row],[מס'']]&lt;=תקופת_ההלוואה,IF(ROW()-ROW(הפחתה[[#Headers],[תאריך]])=1,LoanStart,IF(I175&gt;0,EDATE(C175,1),"")),""),"")</f>
        <v>50618</v>
      </c>
      <c r="D176" s="13">
        <f>IF(ROW()-ROW(הפחתה[[#Headers],[יתרת פתיחה]])=1,סכום_הלוואה,IF(הפחתה[[#This Row],[תאריך]]="",0,INDEX(הפחתה[], ROW()-4,8)))</f>
        <v>424938.8373229701</v>
      </c>
      <c r="E176" s="13">
        <f>IF(ValuesEntered,IF(ROW()-ROW(הפחתה[[#Headers],[ריבית]])=1,-IPMT(שיעור_ריבית/12,1,תקופת_ההלוואה-ROWS($C$4:C176)+1,הפחתה[[#This Row],[יתרת פתיחה]]),IFERROR(-IPMT(שיעור_ריבית/12,1,הפחתה[[#This Row],[תשלומים
שנותרו]],D177),0)),0)</f>
        <v>1870.3868831798625</v>
      </c>
      <c r="F176" s="13">
        <f>IFERROR(IF(AND(ValuesEntered,הפחתה[[#This Row],[תאריך]]&lt;&gt;""),-PPMT(שיעור_ריבית/12,1,תקופת_ההלוואה-ROWS($C$4:C176)+1,הפחתה[[#This Row],[יתרת פתיחה]]),""),0)</f>
        <v>1455.0147162087687</v>
      </c>
      <c r="G176" s="13">
        <f>(הפחתה[[#This Row],[יתרת פתיחה]])*(מדד/12)</f>
        <v>0</v>
      </c>
      <c r="H176" s="13">
        <f>IF(הפחתה[[#This Row],[תאריך]]="",0,הפחתה[[#This Row],[ריבית]]+הפחתה[[#This Row],[קרן]]+הפחתה[[#This Row],[מדד]])</f>
        <v>3325.4015993886314</v>
      </c>
      <c r="I176" s="13">
        <f>IF(הפחתה[[#This Row],[תאריך]]="",0,הפחתה[[#This Row],[יתרת פתיחה]]-הפחתה[[#This Row],[קרן]]+הפחתה[[#This Row],[מדד]])</f>
        <v>423483.8226067613</v>
      </c>
      <c r="J176" s="11">
        <f>IF(הפחתה[[#This Row],[יתרת
סגירה]]&gt;0,LastRow-ROW(),0)</f>
        <v>187</v>
      </c>
      <c r="K176" s="11">
        <f>ROWS($K$4:K176)</f>
        <v>173</v>
      </c>
      <c r="L176" s="12">
        <f>IF(ValuesEntered2,IF(הפחתה5[[#This Row],[מס'']]&lt;=תקופת_ההלוואה2,IF(ROW()-ROW(הפחתה5[[#Headers],[תאריך]])=1,LoanStart2,IF(R175&gt;0,EDATE(L175,1),"")),""),"")</f>
        <v>50618</v>
      </c>
      <c r="M176" s="13">
        <f>IF(ROW()-ROW(הפחתה5[[#Headers],[יתרת פתיחה]])=1,סכום_הלוואה2,IF(הפחתה5[[#This Row],[תאריך]]="",0,INDEX(הפחתה5[], ROW()-4,8)))</f>
        <v>171050.11996508064</v>
      </c>
      <c r="N176" s="13">
        <f>IF(ValuesEntered2,IF(ROW()-ROW(הפחתה5[[#Headers],[ריבית]])=1,-IPMT(שיעור_ריבית2/12,1,תקופת_ההלוואה2-ROWS($L$4:L176)+1,הפחתה5[[#This Row],[יתרת פתיחה]]),IFERROR(-IPMT(שיעור_ריבית2/12,1,הפחתה5[[#This Row],[תשלומים
שנותרו]],M177),0)),0)</f>
        <v>665.90512759461581</v>
      </c>
      <c r="O176" s="13">
        <f>IFERROR(IF(AND(ValuesEntered2,הפחתה5[[#This Row],[תאריך]]&lt;&gt;""),-PPMT(שיעור_ריבית2/12,1,תקופת_ההלוואה2-ROWS($L$4:L176)+1,הפחתה5[[#This Row],[יתרת פתיחה]]),""),0)</f>
        <v>1031.7895153914931</v>
      </c>
      <c r="P176" s="13">
        <f>(הפחתה5[[#This Row],[יתרת פתיחה]])*(מדד2/12)</f>
        <v>0</v>
      </c>
      <c r="Q176" s="13">
        <f>IF(הפחתה5[[#This Row],[תאריך]]="",0,הפחתה5[[#This Row],[ריבית]]+הפחתה5[[#This Row],[קרן]]+הפחתה5[[#This Row],[מדד]])</f>
        <v>1697.6946429861089</v>
      </c>
      <c r="R176" s="13">
        <f>IF(הפחתה5[[#This Row],[תאריך]]="",0,הפחתה5[[#This Row],[יתרת פתיחה]]-הפחתה5[[#This Row],[קרן]]+הפחתה5[[#This Row],[מדד]])</f>
        <v>170018.33044968915</v>
      </c>
      <c r="S176" s="11">
        <f>IF(הפחתה5[[#This Row],[יתרת
סגירה]]&gt;0,LastRow2-ROW(),0)</f>
        <v>127</v>
      </c>
      <c r="T176" s="11">
        <f>ROWS($T$4:T176)</f>
        <v>173</v>
      </c>
      <c r="U176" s="12">
        <f ca="1">IF(ValuesEntered3,IF(הפחתה7[[#This Row],[מס'']]&lt;=תקופת_ההלוואה3,IF(ROW()-ROW(הפחתה7[[#Headers],[תאריך]])=1,LoanStart3,IF(AA175&gt;0,EDATE(U175,1),"")),""),"")</f>
        <v>50854</v>
      </c>
      <c r="V176" s="13">
        <f ca="1">IF(ROW()-ROW(הפחתה7[[#Headers],[יתרת פתיחה]])=1,סכום_הלוואה3,IF(הפחתה7[[#This Row],[תאריך]]="",0,INDEX(הפחתה7[], ROW()-4,8)))</f>
        <v>66318.955746741864</v>
      </c>
      <c r="W176" s="13">
        <f ca="1">IF(ValuesEntered3,IF(ROW()-ROW(הפחתה7[[#Headers],[ריבית]])=1,-IPMT(שיעור_ריבית3/12,1,תקופת_ההלוואה3-ROWS($C$4:U176)+1,הפחתה7[[#This Row],[יתרת פתיחה]]),IFERROR(-IPMT(שיעור_ריבית3/12,1,הפחתה7[[#This Row],[תשלומים
שנותרו]],V177),0)),0)</f>
        <v>126.44601929903787</v>
      </c>
      <c r="X176" s="13">
        <f ca="1">IFERROR(IF(AND(ValuesEntered3,הפחתה7[[#This Row],[תאריך]]&lt;&gt;""),-PPMT(שיעור_ריבית3/12,1,תקופת_ההלוואה3-ROWS($C$4:U176)+1,הפחתה7[[#This Row],[יתרת פתיחה]]),""),0)</f>
        <v>457.65118363333062</v>
      </c>
      <c r="Y176" s="13">
        <f ca="1">(הפחתה7[[#This Row],[יתרת פתיחה]])*(מדד3/12)</f>
        <v>110.53159291123644</v>
      </c>
      <c r="Z176" s="13">
        <f ca="1">IF(הפחתה7[[#This Row],[תאריך]]="",0,הפחתה7[[#This Row],[ריבית]]+הפחתה7[[#This Row],[קרן]]+הפחתה7[[#This Row],[מדד]])</f>
        <v>694.62879584360496</v>
      </c>
      <c r="AA176" s="13">
        <f ca="1">IF(הפחתה7[[#This Row],[תאריך]]="",0,הפחתה7[[#This Row],[יתרת פתיחה]]-הפחתה7[[#This Row],[קרן]]+הפחתה7[[#This Row],[מדד]])</f>
        <v>65971.836156019766</v>
      </c>
      <c r="AB176" s="11">
        <f ca="1">IF(הפחתה7[[#This Row],[יתרת
סגירה]]&gt;0,LastRow3-ROW(),0)</f>
        <v>127</v>
      </c>
      <c r="AC176" s="17">
        <f>ROWS($AC$4:AC176)</f>
        <v>173</v>
      </c>
      <c r="AD176" s="18" t="str">
        <f ca="1">IF(ValuesEntered4,IF(הפחתה8[[#This Row],[מס'']]&lt;=תקופת_ההלוואה4,IF(ROW()-ROW(הפחתה8[[#Headers],[תאריך]])=1,LoanStart4,IF(AJ175&gt;0,EDATE(AD175,1),"")),""),"")</f>
        <v/>
      </c>
      <c r="AE176" s="19">
        <f ca="1">IF(ROW()-ROW(הפחתה8[[#Headers],[יתרת פתיחה]])=1,סכום_הלוואה4,IF(הפחתה8[[#This Row],[תאריך]]="",0,INDEX(הפחתה8[], ROW()-4,8)))</f>
        <v>0</v>
      </c>
      <c r="AF176" s="19">
        <f ca="1">IF(ValuesEntered4,IF(ROW()-ROW(הפחתה8[[#Headers],[ריבית]])=1,-IPMT(שיעור_ריבית4/12,1,תקופת_ההלוואה4-ROWS($C$4:AD176)+1,הפחתה8[[#This Row],[יתרת פתיחה]]),IFERROR(-IPMT(שיעור_ריבית4/12,1,הפחתה8[[#This Row],[תשלומים
שנותרו]],AE177),0)),0)</f>
        <v>0</v>
      </c>
      <c r="AG176" s="19" t="str">
        <f ca="1">IFERROR(IF(AND(ValuesEntered4,הפחתה8[[#This Row],[תאריך]]&lt;&gt;""),-PPMT(שיעור_ריבית4/12,1,תקופת_ההלוואה4-ROWS($C$4:AD176)+1,הפחתה8[[#This Row],[יתרת פתיחה]]),""),0)</f>
        <v/>
      </c>
      <c r="AH176" s="19">
        <f ca="1">(הפחתה8[[#This Row],[יתרת פתיחה]])*(מדד4/12)</f>
        <v>0</v>
      </c>
      <c r="AI176" s="19">
        <f ca="1">IF(הפחתה8[[#This Row],[תאריך]]="",0,הפחתה8[[#This Row],[ריבית]]+הפחתה8[[#This Row],[קרן]]+הפחתה8[[#This Row],[מדד]])</f>
        <v>0</v>
      </c>
      <c r="AJ176" s="19">
        <f ca="1">IF(הפחתה8[[#This Row],[תאריך]]="",0,הפחתה8[[#This Row],[יתרת פתיחה]]-הפחתה8[[#This Row],[קרן]])</f>
        <v>0</v>
      </c>
      <c r="AK176" s="20">
        <f ca="1">IF(הפחתה8[[#This Row],[יתרת
סגירה]]&gt;0,LastRow4-ROW(),0)</f>
        <v>0</v>
      </c>
    </row>
    <row r="177" spans="1:37" ht="15" customHeight="1" x14ac:dyDescent="0.25">
      <c r="A177" s="8"/>
      <c r="B177" s="11">
        <f>ROWS($B$4:B177)</f>
        <v>174</v>
      </c>
      <c r="C177" s="12">
        <f>IF(ValuesEntered,IF(הפחתה[[#This Row],[מס'']]&lt;=תקופת_ההלוואה,IF(ROW()-ROW(הפחתה[[#Headers],[תאריך]])=1,LoanStart,IF(I176&gt;0,EDATE(C176,1),"")),""),"")</f>
        <v>50649</v>
      </c>
      <c r="D177" s="13">
        <f>IF(ROW()-ROW(הפחתה[[#Headers],[יתרת פתיחה]])=1,סכום_הלוואה,IF(הפחתה[[#This Row],[תאריך]]="",0,INDEX(הפחתה[], ROW()-4,8)))</f>
        <v>423483.8226067613</v>
      </c>
      <c r="E177" s="13">
        <f>IF(ValuesEntered,IF(ROW()-ROW(הפחתה[[#Headers],[ריבית]])=1,-IPMT(שיעור_ריבית/12,1,תקופת_ההלוואה-ROWS($C$4:C177)+1,הפחתה[[#This Row],[יתרת פתיחה]]),IFERROR(-IPMT(שיעור_ריבית/12,1,הפחתה[[#This Row],[תשלומים
שנותרו]],D178),0)),0)</f>
        <v>1863.9321852920389</v>
      </c>
      <c r="F177" s="13">
        <f>IFERROR(IF(AND(ValuesEntered,הפחתה[[#This Row],[תאריך]]&lt;&gt;""),-PPMT(שיעור_ריבית/12,1,תקופת_ההלוואה-ROWS($C$4:C177)+1,הפחתה[[#This Row],[יתרת פתיחה]]),""),0)</f>
        <v>1461.4410312053571</v>
      </c>
      <c r="G177" s="13">
        <f>(הפחתה[[#This Row],[יתרת פתיחה]])*(מדד/12)</f>
        <v>0</v>
      </c>
      <c r="H177" s="13">
        <f>IF(הפחתה[[#This Row],[תאריך]]="",0,הפחתה[[#This Row],[ריבית]]+הפחתה[[#This Row],[קרן]]+הפחתה[[#This Row],[מדד]])</f>
        <v>3325.3732164973962</v>
      </c>
      <c r="I177" s="13">
        <f>IF(הפחתה[[#This Row],[תאריך]]="",0,הפחתה[[#This Row],[יתרת פתיחה]]-הפחתה[[#This Row],[קרן]]+הפחתה[[#This Row],[מדד]])</f>
        <v>422022.38157555595</v>
      </c>
      <c r="J177" s="11">
        <f>IF(הפחתה[[#This Row],[יתרת
סגירה]]&gt;0,LastRow-ROW(),0)</f>
        <v>186</v>
      </c>
      <c r="K177" s="11">
        <f>ROWS($K$4:K177)</f>
        <v>174</v>
      </c>
      <c r="L177" s="12">
        <f>IF(ValuesEntered2,IF(הפחתה5[[#This Row],[מס'']]&lt;=תקופת_ההלוואה2,IF(ROW()-ROW(הפחתה5[[#Headers],[תאריך]])=1,LoanStart2,IF(R176&gt;0,EDATE(L176,1),"")),""),"")</f>
        <v>50649</v>
      </c>
      <c r="M177" s="13">
        <f>IF(ROW()-ROW(הפחתה5[[#Headers],[יתרת פתיחה]])=1,סכום_הלוואה2,IF(הפחתה5[[#This Row],[תאריך]]="",0,INDEX(הפחתה5[], ROW()-4,8)))</f>
        <v>170018.33044968915</v>
      </c>
      <c r="N177" s="13">
        <f>IF(ValuesEntered2,IF(ROW()-ROW(הפחתה5[[#Headers],[ריבית]])=1,-IPMT(שיעור_ריבית2/12,1,תקופת_ההלוואה2-ROWS($L$4:L177)+1,הפחתה5[[#This Row],[יתרת פתיחה]]),IFERROR(-IPMT(שיעור_ריבית2/12,1,הפחתה5[[#This Row],[תשלומים
שנותרו]],M178),0)),0)</f>
        <v>661.84812405489151</v>
      </c>
      <c r="O177" s="13">
        <f>IFERROR(IF(AND(ValuesEntered2,הפחתה5[[#This Row],[תאריך]]&lt;&gt;""),-PPMT(שיעור_ריבית2/12,1,תקופת_ההלוואה2-ROWS($L$4:L177)+1,הפחתה5[[#This Row],[יתרת פתיחה]]),""),0)</f>
        <v>1035.8306909934431</v>
      </c>
      <c r="P177" s="13">
        <f>(הפחתה5[[#This Row],[יתרת פתיחה]])*(מדד2/12)</f>
        <v>0</v>
      </c>
      <c r="Q177" s="13">
        <f>IF(הפחתה5[[#This Row],[תאריך]]="",0,הפחתה5[[#This Row],[ריבית]]+הפחתה5[[#This Row],[קרן]]+הפחתה5[[#This Row],[מדד]])</f>
        <v>1697.6788150483346</v>
      </c>
      <c r="R177" s="13">
        <f>IF(הפחתה5[[#This Row],[תאריך]]="",0,הפחתה5[[#This Row],[יתרת פתיחה]]-הפחתה5[[#This Row],[קרן]]+הפחתה5[[#This Row],[מדד]])</f>
        <v>168982.49975869572</v>
      </c>
      <c r="S177" s="11">
        <f>IF(הפחתה5[[#This Row],[יתרת
סגירה]]&gt;0,LastRow2-ROW(),0)</f>
        <v>126</v>
      </c>
      <c r="T177" s="11">
        <f>ROWS($T$4:T177)</f>
        <v>174</v>
      </c>
      <c r="U177" s="12">
        <f ca="1">IF(ValuesEntered3,IF(הפחתה7[[#This Row],[מס'']]&lt;=תקופת_ההלוואה3,IF(ROW()-ROW(הפחתה7[[#Headers],[תאריך]])=1,LoanStart3,IF(AA176&gt;0,EDATE(U176,1),"")),""),"")</f>
        <v>50885</v>
      </c>
      <c r="V177" s="13">
        <f ca="1">IF(ROW()-ROW(הפחתה7[[#Headers],[יתרת פתיחה]])=1,סכום_הלוואה3,IF(הפחתה7[[#This Row],[תאריך]]="",0,INDEX(הפחתה7[], ROW()-4,8)))</f>
        <v>65971.836156019766</v>
      </c>
      <c r="W177" s="13">
        <f ca="1">IF(ValuesEntered3,IF(ROW()-ROW(הפחתה7[[#Headers],[ריבית]])=1,-IPMT(שיעור_ריבית3/12,1,תקופת_ההלוואה3-ROWS($C$4:U177)+1,הפחתה7[[#This Row],[יתרת פתיחה]]),IFERROR(-IPMT(שיעור_ריבית3/12,1,הפחתה7[[#This Row],[תשלומים
שנותרו]],V178),0)),0)</f>
        <v>125.77644174201893</v>
      </c>
      <c r="X177" s="13">
        <f ca="1">IFERROR(IF(AND(ValuesEntered3,הפחתה7[[#This Row],[תאריך]]&lt;&gt;""),-PPMT(שיעור_ריבית3/12,1,תקופת_ההלוואה3-ROWS($C$4:U177)+1,הפחתה7[[#This Row],[יתרת פתיחה]]),""),0)</f>
        <v>459.29787261773595</v>
      </c>
      <c r="Y177" s="13">
        <f ca="1">(הפחתה7[[#This Row],[יתרת פתיחה]])*(מדד3/12)</f>
        <v>109.95306026003296</v>
      </c>
      <c r="Z177" s="13">
        <f ca="1">IF(הפחתה7[[#This Row],[תאריך]]="",0,הפחתה7[[#This Row],[ריבית]]+הפחתה7[[#This Row],[קרן]]+הפחתה7[[#This Row],[מדד]])</f>
        <v>695.02737461978791</v>
      </c>
      <c r="AA177" s="13">
        <f ca="1">IF(הפחתה7[[#This Row],[תאריך]]="",0,הפחתה7[[#This Row],[יתרת פתיחה]]-הפחתה7[[#This Row],[קרן]]+הפחתה7[[#This Row],[מדד]])</f>
        <v>65622.491343662055</v>
      </c>
      <c r="AB177" s="11">
        <f ca="1">IF(הפחתה7[[#This Row],[יתרת
סגירה]]&gt;0,LastRow3-ROW(),0)</f>
        <v>126</v>
      </c>
      <c r="AC177" s="17">
        <f>ROWS($AC$4:AC177)</f>
        <v>174</v>
      </c>
      <c r="AD177" s="18" t="str">
        <f ca="1">IF(ValuesEntered4,IF(הפחתה8[[#This Row],[מס'']]&lt;=תקופת_ההלוואה4,IF(ROW()-ROW(הפחתה8[[#Headers],[תאריך]])=1,LoanStart4,IF(AJ176&gt;0,EDATE(AD176,1),"")),""),"")</f>
        <v/>
      </c>
      <c r="AE177" s="19">
        <f ca="1">IF(ROW()-ROW(הפחתה8[[#Headers],[יתרת פתיחה]])=1,סכום_הלוואה4,IF(הפחתה8[[#This Row],[תאריך]]="",0,INDEX(הפחתה8[], ROW()-4,8)))</f>
        <v>0</v>
      </c>
      <c r="AF177" s="19">
        <f ca="1">IF(ValuesEntered4,IF(ROW()-ROW(הפחתה8[[#Headers],[ריבית]])=1,-IPMT(שיעור_ריבית4/12,1,תקופת_ההלוואה4-ROWS($C$4:AD177)+1,הפחתה8[[#This Row],[יתרת פתיחה]]),IFERROR(-IPMT(שיעור_ריבית4/12,1,הפחתה8[[#This Row],[תשלומים
שנותרו]],AE178),0)),0)</f>
        <v>0</v>
      </c>
      <c r="AG177" s="19" t="str">
        <f ca="1">IFERROR(IF(AND(ValuesEntered4,הפחתה8[[#This Row],[תאריך]]&lt;&gt;""),-PPMT(שיעור_ריבית4/12,1,תקופת_ההלוואה4-ROWS($C$4:AD177)+1,הפחתה8[[#This Row],[יתרת פתיחה]]),""),0)</f>
        <v/>
      </c>
      <c r="AH177" s="19">
        <f ca="1">(הפחתה8[[#This Row],[יתרת פתיחה]])*(מדד4/12)</f>
        <v>0</v>
      </c>
      <c r="AI177" s="19">
        <f ca="1">IF(הפחתה8[[#This Row],[תאריך]]="",0,הפחתה8[[#This Row],[ריבית]]+הפחתה8[[#This Row],[קרן]]+הפחתה8[[#This Row],[מדד]])</f>
        <v>0</v>
      </c>
      <c r="AJ177" s="19">
        <f ca="1">IF(הפחתה8[[#This Row],[תאריך]]="",0,הפחתה8[[#This Row],[יתרת פתיחה]]-הפחתה8[[#This Row],[קרן]])</f>
        <v>0</v>
      </c>
      <c r="AK177" s="20">
        <f ca="1">IF(הפחתה8[[#This Row],[יתרת
סגירה]]&gt;0,LastRow4-ROW(),0)</f>
        <v>0</v>
      </c>
    </row>
    <row r="178" spans="1:37" ht="15" customHeight="1" x14ac:dyDescent="0.25">
      <c r="A178" s="8"/>
      <c r="B178" s="11">
        <f>ROWS($B$4:B178)</f>
        <v>175</v>
      </c>
      <c r="C178" s="12">
        <f>IF(ValuesEntered,IF(הפחתה[[#This Row],[מס'']]&lt;=תקופת_ההלוואה,IF(ROW()-ROW(הפחתה[[#Headers],[תאריך]])=1,LoanStart,IF(I177&gt;0,EDATE(C177,1),"")),""),"")</f>
        <v>50679</v>
      </c>
      <c r="D178" s="13">
        <f>IF(ROW()-ROW(הפחתה[[#Headers],[יתרת פתיחה]])=1,סכום_הלוואה,IF(הפחתה[[#This Row],[תאריך]]="",0,INDEX(הפחתה[], ROW()-4,8)))</f>
        <v>422022.38157555595</v>
      </c>
      <c r="E178" s="13">
        <f>IF(ValuesEntered,IF(ROW()-ROW(הפחתה[[#Headers],[ריבית]])=1,-IPMT(שיעור_ריבית/12,1,תקופת_ההלוואה-ROWS($C$4:C178)+1,הפחתה[[#This Row],[יתרת פתיחה]]),IFERROR(-IPMT(שיעור_ריבית/12,1,הפחתה[[#This Row],[תשלומים
שנותרו]],D179),0)),0)</f>
        <v>1857.4489791552107</v>
      </c>
      <c r="F178" s="13">
        <f>IFERROR(IF(AND(ValuesEntered,הפחתה[[#This Row],[תאריך]]&lt;&gt;""),-PPMT(שיעור_ריבית/12,1,תקופת_ההלוואה-ROWS($C$4:C178)+1,הפחתה[[#This Row],[יתרת פתיחה]]),""),0)</f>
        <v>1467.8957290931805</v>
      </c>
      <c r="G178" s="13">
        <f>(הפחתה[[#This Row],[יתרת פתיחה]])*(מדד/12)</f>
        <v>0</v>
      </c>
      <c r="H178" s="13">
        <f>IF(הפחתה[[#This Row],[תאריך]]="",0,הפחתה[[#This Row],[ריבית]]+הפחתה[[#This Row],[קרן]]+הפחתה[[#This Row],[מדד]])</f>
        <v>3325.3447082483913</v>
      </c>
      <c r="I178" s="13">
        <f>IF(הפחתה[[#This Row],[תאריך]]="",0,הפחתה[[#This Row],[יתרת פתיחה]]-הפחתה[[#This Row],[קרן]]+הפחתה[[#This Row],[מדד]])</f>
        <v>420554.48584646278</v>
      </c>
      <c r="J178" s="11">
        <f>IF(הפחתה[[#This Row],[יתרת
סגירה]]&gt;0,LastRow-ROW(),0)</f>
        <v>185</v>
      </c>
      <c r="K178" s="11">
        <f>ROWS($K$4:K178)</f>
        <v>175</v>
      </c>
      <c r="L178" s="12">
        <f>IF(ValuesEntered2,IF(הפחתה5[[#This Row],[מס'']]&lt;=תקופת_ההלוואה2,IF(ROW()-ROW(הפחתה5[[#Headers],[תאריך]])=1,LoanStart2,IF(R177&gt;0,EDATE(L177,1),"")),""),"")</f>
        <v>50679</v>
      </c>
      <c r="M178" s="13">
        <f>IF(ROW()-ROW(הפחתה5[[#Headers],[יתרת פתיחה]])=1,סכום_הלוואה2,IF(הפחתה5[[#This Row],[תאריך]]="",0,INDEX(הפחתה5[], ROW()-4,8)))</f>
        <v>168982.49975869572</v>
      </c>
      <c r="N178" s="13">
        <f>IF(ValuesEntered2,IF(ROW()-ROW(הפחתה5[[#Headers],[ריבית]])=1,-IPMT(שיעור_ריבית2/12,1,תקופת_ההלוואה2-ROWS($L$4:L178)+1,הפחתה5[[#This Row],[יתרת פתיחה]]),IFERROR(-IPMT(שיעור_ריבית2/12,1,הפחתה5[[#This Row],[תשלומים
שנותרו]],M179),0)),0)</f>
        <v>657.77523058463669</v>
      </c>
      <c r="O178" s="13">
        <f>IFERROR(IF(AND(ValuesEntered2,הפחתה5[[#This Row],[תאריך]]&lt;&gt;""),-PPMT(שיעור_ריבית2/12,1,תקופת_ההלוואה2-ROWS($L$4:L178)+1,הפחתה5[[#This Row],[יתרת פתיחה]]),""),0)</f>
        <v>1039.8876945331674</v>
      </c>
      <c r="P178" s="13">
        <f>(הפחתה5[[#This Row],[יתרת פתיחה]])*(מדד2/12)</f>
        <v>0</v>
      </c>
      <c r="Q178" s="13">
        <f>IF(הפחתה5[[#This Row],[תאריך]]="",0,הפחתה5[[#This Row],[ריבית]]+הפחתה5[[#This Row],[קרן]]+הפחתה5[[#This Row],[מדד]])</f>
        <v>1697.6629251178042</v>
      </c>
      <c r="R178" s="13">
        <f>IF(הפחתה5[[#This Row],[תאריך]]="",0,הפחתה5[[#This Row],[יתרת פתיחה]]-הפחתה5[[#This Row],[קרן]]+הפחתה5[[#This Row],[מדד]])</f>
        <v>167942.61206416256</v>
      </c>
      <c r="S178" s="11">
        <f>IF(הפחתה5[[#This Row],[יתרת
סגירה]]&gt;0,LastRow2-ROW(),0)</f>
        <v>125</v>
      </c>
      <c r="T178" s="11">
        <f>ROWS($T$4:T178)</f>
        <v>175</v>
      </c>
      <c r="U178" s="12">
        <f ca="1">IF(ValuesEntered3,IF(הפחתה7[[#This Row],[מס'']]&lt;=תקופת_ההלוואה3,IF(ROW()-ROW(הפחתה7[[#Headers],[תאריך]])=1,LoanStart3,IF(AA177&gt;0,EDATE(U177,1),"")),""),"")</f>
        <v>50915</v>
      </c>
      <c r="V178" s="13">
        <f ca="1">IF(ROW()-ROW(הפחתה7[[#Headers],[יתרת פתיחה]])=1,סכום_הלוואה3,IF(הפחתה7[[#This Row],[תאריך]]="",0,INDEX(הפחתה7[], ROW()-4,8)))</f>
        <v>65622.491343662055</v>
      </c>
      <c r="W178" s="13">
        <f ca="1">IF(ValuesEntered3,IF(ROW()-ROW(הפחתה7[[#Headers],[ריבית]])=1,-IPMT(שיעור_ריבית3/12,1,תקופת_ההלוואה3-ROWS($C$4:U178)+1,הפחתה7[[#This Row],[יתרת פתיחה]]),IFERROR(-IPMT(שיעור_ריבית3/12,1,הפחתה7[[#This Row],[תשלומים
שנותרו]],V179),0)),0)</f>
        <v>125.10258062093348</v>
      </c>
      <c r="X178" s="13">
        <f ca="1">IFERROR(IF(AND(ValuesEntered3,הפחתה7[[#This Row],[תאריך]]&lt;&gt;""),-PPMT(שיעור_ריבית3/12,1,תקופת_ההלוואה3-ROWS($C$4:U178)+1,הפחתה7[[#This Row],[יתרת פתיחה]]),""),0)</f>
        <v>460.95053425503062</v>
      </c>
      <c r="Y178" s="13">
        <f ca="1">(הפחתה7[[#This Row],[יתרת פתיחה]])*(מדד3/12)</f>
        <v>109.37081890610344</v>
      </c>
      <c r="Z178" s="13">
        <f ca="1">IF(הפחתה7[[#This Row],[תאריך]]="",0,הפחתה7[[#This Row],[ריבית]]+הפחתה7[[#This Row],[קרן]]+הפחתה7[[#This Row],[מדד]])</f>
        <v>695.42393378206748</v>
      </c>
      <c r="AA178" s="13">
        <f ca="1">IF(הפחתה7[[#This Row],[תאריך]]="",0,הפחתה7[[#This Row],[יתרת פתיחה]]-הפחתה7[[#This Row],[קרן]]+הפחתה7[[#This Row],[מדד]])</f>
        <v>65270.911628313122</v>
      </c>
      <c r="AB178" s="11">
        <f ca="1">IF(הפחתה7[[#This Row],[יתרת
סגירה]]&gt;0,LastRow3-ROW(),0)</f>
        <v>125</v>
      </c>
      <c r="AC178" s="17">
        <f>ROWS($AC$4:AC178)</f>
        <v>175</v>
      </c>
      <c r="AD178" s="18" t="str">
        <f ca="1">IF(ValuesEntered4,IF(הפחתה8[[#This Row],[מס'']]&lt;=תקופת_ההלוואה4,IF(ROW()-ROW(הפחתה8[[#Headers],[תאריך]])=1,LoanStart4,IF(AJ177&gt;0,EDATE(AD177,1),"")),""),"")</f>
        <v/>
      </c>
      <c r="AE178" s="19">
        <f ca="1">IF(ROW()-ROW(הפחתה8[[#Headers],[יתרת פתיחה]])=1,סכום_הלוואה4,IF(הפחתה8[[#This Row],[תאריך]]="",0,INDEX(הפחתה8[], ROW()-4,8)))</f>
        <v>0</v>
      </c>
      <c r="AF178" s="19">
        <f ca="1">IF(ValuesEntered4,IF(ROW()-ROW(הפחתה8[[#Headers],[ריבית]])=1,-IPMT(שיעור_ריבית4/12,1,תקופת_ההלוואה4-ROWS($C$4:AD178)+1,הפחתה8[[#This Row],[יתרת פתיחה]]),IFERROR(-IPMT(שיעור_ריבית4/12,1,הפחתה8[[#This Row],[תשלומים
שנותרו]],AE179),0)),0)</f>
        <v>0</v>
      </c>
      <c r="AG178" s="19" t="str">
        <f ca="1">IFERROR(IF(AND(ValuesEntered4,הפחתה8[[#This Row],[תאריך]]&lt;&gt;""),-PPMT(שיעור_ריבית4/12,1,תקופת_ההלוואה4-ROWS($C$4:AD178)+1,הפחתה8[[#This Row],[יתרת פתיחה]]),""),0)</f>
        <v/>
      </c>
      <c r="AH178" s="19">
        <f ca="1">(הפחתה8[[#This Row],[יתרת פתיחה]])*(מדד4/12)</f>
        <v>0</v>
      </c>
      <c r="AI178" s="19">
        <f ca="1">IF(הפחתה8[[#This Row],[תאריך]]="",0,הפחתה8[[#This Row],[ריבית]]+הפחתה8[[#This Row],[קרן]]+הפחתה8[[#This Row],[מדד]])</f>
        <v>0</v>
      </c>
      <c r="AJ178" s="19">
        <f ca="1">IF(הפחתה8[[#This Row],[תאריך]]="",0,הפחתה8[[#This Row],[יתרת פתיחה]]-הפחתה8[[#This Row],[קרן]])</f>
        <v>0</v>
      </c>
      <c r="AK178" s="20">
        <f ca="1">IF(הפחתה8[[#This Row],[יתרת
סגירה]]&gt;0,LastRow4-ROW(),0)</f>
        <v>0</v>
      </c>
    </row>
    <row r="179" spans="1:37" ht="15" customHeight="1" x14ac:dyDescent="0.25">
      <c r="A179" s="8"/>
      <c r="B179" s="11">
        <f>ROWS($B$4:B179)</f>
        <v>176</v>
      </c>
      <c r="C179" s="12">
        <f>IF(ValuesEntered,IF(הפחתה[[#This Row],[מס'']]&lt;=תקופת_ההלוואה,IF(ROW()-ROW(הפחתה[[#Headers],[תאריך]])=1,LoanStart,IF(I178&gt;0,EDATE(C178,1),"")),""),"")</f>
        <v>50710</v>
      </c>
      <c r="D179" s="13">
        <f>IF(ROW()-ROW(הפחתה[[#Headers],[יתרת פתיחה]])=1,סכום_הלוואה,IF(הפחתה[[#This Row],[תאריך]]="",0,INDEX(הפחתה[], ROW()-4,8)))</f>
        <v>420554.48584646278</v>
      </c>
      <c r="E179" s="13">
        <f>IF(ValuesEntered,IF(ROW()-ROW(הפחתה[[#Headers],[ריבית]])=1,-IPMT(שיעור_ריבית/12,1,תקופת_ההלוואה-ROWS($C$4:C179)+1,הפחתה[[#This Row],[יתרת פתיחה]]),IFERROR(-IPMT(שיעור_ריבית/12,1,הפחתה[[#This Row],[תשלומים
שנותרו]],D180),0)),0)</f>
        <v>1850.9371388579448</v>
      </c>
      <c r="F179" s="13">
        <f>IFERROR(IF(AND(ValuesEntered,הפחתה[[#This Row],[תאריך]]&lt;&gt;""),-PPMT(שיעור_ריבית/12,1,תקופת_ההלוואה-ROWS($C$4:C179)+1,הפחתה[[#This Row],[יתרת פתיחה]]),""),0)</f>
        <v>1474.3789352300093</v>
      </c>
      <c r="G179" s="13">
        <f>(הפחתה[[#This Row],[יתרת פתיחה]])*(מדד/12)</f>
        <v>0</v>
      </c>
      <c r="H179" s="13">
        <f>IF(הפחתה[[#This Row],[תאריך]]="",0,הפחתה[[#This Row],[ריבית]]+הפחתה[[#This Row],[קרן]]+הפחתה[[#This Row],[מדד]])</f>
        <v>3325.3160740879539</v>
      </c>
      <c r="I179" s="13">
        <f>IF(הפחתה[[#This Row],[תאריך]]="",0,הפחתה[[#This Row],[יתרת פתיחה]]-הפחתה[[#This Row],[קרן]]+הפחתה[[#This Row],[מדד]])</f>
        <v>419080.10691123275</v>
      </c>
      <c r="J179" s="11">
        <f>IF(הפחתה[[#This Row],[יתרת
סגירה]]&gt;0,LastRow-ROW(),0)</f>
        <v>184</v>
      </c>
      <c r="K179" s="11">
        <f>ROWS($K$4:K179)</f>
        <v>176</v>
      </c>
      <c r="L179" s="12">
        <f>IF(ValuesEntered2,IF(הפחתה5[[#This Row],[מס'']]&lt;=תקופת_ההלוואה2,IF(ROW()-ROW(הפחתה5[[#Headers],[תאריך]])=1,LoanStart2,IF(R178&gt;0,EDATE(L178,1),"")),""),"")</f>
        <v>50710</v>
      </c>
      <c r="M179" s="13">
        <f>IF(ROW()-ROW(הפחתה5[[#Headers],[יתרת פתיחה]])=1,סכום_הלוואה2,IF(הפחתה5[[#This Row],[תאריך]]="",0,INDEX(הפחתה5[], ROW()-4,8)))</f>
        <v>167942.61206416256</v>
      </c>
      <c r="N179" s="13">
        <f>IF(ValuesEntered2,IF(ROW()-ROW(הפחתה5[[#Headers],[ריבית]])=1,-IPMT(שיעור_ריבית2/12,1,תקופת_ההלוואה2-ROWS($L$4:L179)+1,הפחתה5[[#This Row],[יתרת פתיחה]]),IFERROR(-IPMT(שיעור_ריבית2/12,1,הפחתה5[[#This Row],[תשלומים
שנותרו]],M180),0)),0)</f>
        <v>653.68638494828997</v>
      </c>
      <c r="O179" s="13">
        <f>IFERROR(IF(AND(ValuesEntered2,הפחתה5[[#This Row],[תאריך]]&lt;&gt;""),-PPMT(שיעור_ריבית2/12,1,תקופת_ההלוואה2-ROWS($L$4:L179)+1,הפחתה5[[#This Row],[יתרת פתיחה]]),""),0)</f>
        <v>1043.9605880034223</v>
      </c>
      <c r="P179" s="13">
        <f>(הפחתה5[[#This Row],[יתרת פתיחה]])*(מדד2/12)</f>
        <v>0</v>
      </c>
      <c r="Q179" s="13">
        <f>IF(הפחתה5[[#This Row],[תאריך]]="",0,הפחתה5[[#This Row],[ריבית]]+הפחתה5[[#This Row],[קרן]]+הפחתה5[[#This Row],[מדד]])</f>
        <v>1697.6469729517123</v>
      </c>
      <c r="R179" s="13">
        <f>IF(הפחתה5[[#This Row],[תאריך]]="",0,הפחתה5[[#This Row],[יתרת פתיחה]]-הפחתה5[[#This Row],[קרן]]+הפחתה5[[#This Row],[מדד]])</f>
        <v>166898.65147615914</v>
      </c>
      <c r="S179" s="11">
        <f>IF(הפחתה5[[#This Row],[יתרת
סגירה]]&gt;0,LastRow2-ROW(),0)</f>
        <v>124</v>
      </c>
      <c r="T179" s="11">
        <f>ROWS($T$4:T179)</f>
        <v>176</v>
      </c>
      <c r="U179" s="12">
        <f ca="1">IF(ValuesEntered3,IF(הפחתה7[[#This Row],[מס'']]&lt;=תקופת_ההלוואה3,IF(ROW()-ROW(הפחתה7[[#Headers],[תאריך]])=1,LoanStart3,IF(AA178&gt;0,EDATE(U178,1),"")),""),"")</f>
        <v>50946</v>
      </c>
      <c r="V179" s="13">
        <f ca="1">IF(ROW()-ROW(הפחתה7[[#Headers],[יתרת פתיחה]])=1,סכום_הלוואה3,IF(הפחתה7[[#This Row],[תאריך]]="",0,INDEX(הפחתה7[], ROW()-4,8)))</f>
        <v>65270.911628313122</v>
      </c>
      <c r="W179" s="13">
        <f ca="1">IF(ValuesEntered3,IF(ROW()-ROW(הפחתה7[[#Headers],[ריבית]])=1,-IPMT(שיעור_ריבית3/12,1,תקופת_ההלוואה3-ROWS($C$4:U179)+1,הפחתה7[[#This Row],[יתרת פתיחה]]),IFERROR(-IPMT(שיעור_ריבית3/12,1,הפחתה7[[#This Row],[תשלומים
שנותרו]],V180),0)),0)</f>
        <v>124.42441730560253</v>
      </c>
      <c r="X179" s="13">
        <f ca="1">IFERROR(IF(AND(ValuesEntered3,הפחתה7[[#This Row],[תאריך]]&lt;&gt;""),-PPMT(שיעור_ריבית3/12,1,תקופת_ההלוואה3-ROWS($C$4:U179)+1,הפחתה7[[#This Row],[יתרת פתיחה]]),""),0)</f>
        <v>462.60919114739454</v>
      </c>
      <c r="Y179" s="13">
        <f ca="1">(הפחתה7[[#This Row],[יתרת פתיחה]])*(מדד3/12)</f>
        <v>108.78485271385522</v>
      </c>
      <c r="Z179" s="13">
        <f ca="1">IF(הפחתה7[[#This Row],[תאריך]]="",0,הפחתה7[[#This Row],[ריבית]]+הפחתה7[[#This Row],[קרן]]+הפחתה7[[#This Row],[מדד]])</f>
        <v>695.81846116685233</v>
      </c>
      <c r="AA179" s="13">
        <f ca="1">IF(הפחתה7[[#This Row],[תאריך]]="",0,הפחתה7[[#This Row],[יתרת פתיחה]]-הפחתה7[[#This Row],[קרן]]+הפחתה7[[#This Row],[מדד]])</f>
        <v>64917.087289879586</v>
      </c>
      <c r="AB179" s="11">
        <f ca="1">IF(הפחתה7[[#This Row],[יתרת
סגירה]]&gt;0,LastRow3-ROW(),0)</f>
        <v>124</v>
      </c>
      <c r="AC179" s="17">
        <f>ROWS($AC$4:AC179)</f>
        <v>176</v>
      </c>
      <c r="AD179" s="18" t="str">
        <f ca="1">IF(ValuesEntered4,IF(הפחתה8[[#This Row],[מס'']]&lt;=תקופת_ההלוואה4,IF(ROW()-ROW(הפחתה8[[#Headers],[תאריך]])=1,LoanStart4,IF(AJ178&gt;0,EDATE(AD178,1),"")),""),"")</f>
        <v/>
      </c>
      <c r="AE179" s="19">
        <f ca="1">IF(ROW()-ROW(הפחתה8[[#Headers],[יתרת פתיחה]])=1,סכום_הלוואה4,IF(הפחתה8[[#This Row],[תאריך]]="",0,INDEX(הפחתה8[], ROW()-4,8)))</f>
        <v>0</v>
      </c>
      <c r="AF179" s="19">
        <f ca="1">IF(ValuesEntered4,IF(ROW()-ROW(הפחתה8[[#Headers],[ריבית]])=1,-IPMT(שיעור_ריבית4/12,1,תקופת_ההלוואה4-ROWS($C$4:AD179)+1,הפחתה8[[#This Row],[יתרת פתיחה]]),IFERROR(-IPMT(שיעור_ריבית4/12,1,הפחתה8[[#This Row],[תשלומים
שנותרו]],AE180),0)),0)</f>
        <v>0</v>
      </c>
      <c r="AG179" s="19" t="str">
        <f ca="1">IFERROR(IF(AND(ValuesEntered4,הפחתה8[[#This Row],[תאריך]]&lt;&gt;""),-PPMT(שיעור_ריבית4/12,1,תקופת_ההלוואה4-ROWS($C$4:AD179)+1,הפחתה8[[#This Row],[יתרת פתיחה]]),""),0)</f>
        <v/>
      </c>
      <c r="AH179" s="19">
        <f ca="1">(הפחתה8[[#This Row],[יתרת פתיחה]])*(מדד4/12)</f>
        <v>0</v>
      </c>
      <c r="AI179" s="19">
        <f ca="1">IF(הפחתה8[[#This Row],[תאריך]]="",0,הפחתה8[[#This Row],[ריבית]]+הפחתה8[[#This Row],[קרן]]+הפחתה8[[#This Row],[מדד]])</f>
        <v>0</v>
      </c>
      <c r="AJ179" s="19">
        <f ca="1">IF(הפחתה8[[#This Row],[תאריך]]="",0,הפחתה8[[#This Row],[יתרת פתיחה]]-הפחתה8[[#This Row],[קרן]])</f>
        <v>0</v>
      </c>
      <c r="AK179" s="20">
        <f ca="1">IF(הפחתה8[[#This Row],[יתרת
סגירה]]&gt;0,LastRow4-ROW(),0)</f>
        <v>0</v>
      </c>
    </row>
    <row r="180" spans="1:37" ht="15" customHeight="1" x14ac:dyDescent="0.25">
      <c r="A180" s="8"/>
      <c r="B180" s="11">
        <f>ROWS($B$4:B180)</f>
        <v>177</v>
      </c>
      <c r="C180" s="12">
        <f>IF(ValuesEntered,IF(הפחתה[[#This Row],[מס'']]&lt;=תקופת_ההלוואה,IF(ROW()-ROW(הפחתה[[#Headers],[תאריך]])=1,LoanStart,IF(I179&gt;0,EDATE(C179,1),"")),""),"")</f>
        <v>50740</v>
      </c>
      <c r="D180" s="13">
        <f>IF(ROW()-ROW(הפחתה[[#Headers],[יתרת פתיחה]])=1,סכום_הלוואה,IF(הפחתה[[#This Row],[תאריך]]="",0,INDEX(הפחתה[], ROW()-4,8)))</f>
        <v>419080.10691123275</v>
      </c>
      <c r="E180" s="13">
        <f>IF(ValuesEntered,IF(ROW()-ROW(הפחתה[[#Headers],[ריבית]])=1,-IPMT(שיעור_ריבית/12,1,תקופת_ההלוואה-ROWS($C$4:C180)+1,הפחתה[[#This Row],[יתרת פתיחה]]),IFERROR(-IPMT(שיעור_ריבית/12,1,הפחתה[[#This Row],[תשלומים
שנותרו]],D181),0)),0)</f>
        <v>1844.3965379326992</v>
      </c>
      <c r="F180" s="13">
        <f>IFERROR(IF(AND(ValuesEntered,הפחתה[[#This Row],[תאריך]]&lt;&gt;""),-PPMT(שיעור_ריבית/12,1,תקופת_ההלוואה-ROWS($C$4:C180)+1,הפחתה[[#This Row],[יתרת פתיחה]]),""),0)</f>
        <v>1480.8907755272746</v>
      </c>
      <c r="G180" s="13">
        <f>(הפחתה[[#This Row],[יתרת פתיחה]])*(מדד/12)</f>
        <v>0</v>
      </c>
      <c r="H180" s="13">
        <f>IF(הפחתה[[#This Row],[תאריך]]="",0,הפחתה[[#This Row],[ריבית]]+הפחתה[[#This Row],[קרן]]+הפחתה[[#This Row],[מדד]])</f>
        <v>3325.287313459974</v>
      </c>
      <c r="I180" s="13">
        <f>IF(הפחתה[[#This Row],[תאריך]]="",0,הפחתה[[#This Row],[יתרת פתיחה]]-הפחתה[[#This Row],[קרן]]+הפחתה[[#This Row],[מדד]])</f>
        <v>417599.21613570547</v>
      </c>
      <c r="J180" s="11">
        <f>IF(הפחתה[[#This Row],[יתרת
סגירה]]&gt;0,LastRow-ROW(),0)</f>
        <v>183</v>
      </c>
      <c r="K180" s="11">
        <f>ROWS($K$4:K180)</f>
        <v>177</v>
      </c>
      <c r="L180" s="12">
        <f>IF(ValuesEntered2,IF(הפחתה5[[#This Row],[מס'']]&lt;=תקופת_ההלוואה2,IF(ROW()-ROW(הפחתה5[[#Headers],[תאריך]])=1,LoanStart2,IF(R179&gt;0,EDATE(L179,1),"")),""),"")</f>
        <v>50740</v>
      </c>
      <c r="M180" s="13">
        <f>IF(ROW()-ROW(הפחתה5[[#Headers],[יתרת פתיחה]])=1,סכום_הלוואה2,IF(הפחתה5[[#This Row],[תאריך]]="",0,INDEX(הפחתה5[], ROW()-4,8)))</f>
        <v>166898.65147615914</v>
      </c>
      <c r="N180" s="13">
        <f>IF(ValuesEntered2,IF(ROW()-ROW(הפחתה5[[#Headers],[ריבית]])=1,-IPMT(שיעור_ריבית2/12,1,תקופת_ההלוואה2-ROWS($L$4:L180)+1,הפחתה5[[#This Row],[יתרת פתיחה]]),IFERROR(-IPMT(שיעור_ריבית2/12,1,הפחתה5[[#This Row],[תשלומים
שנותרו]],M181),0)),0)</f>
        <v>649.58152466653416</v>
      </c>
      <c r="O180" s="13">
        <f>IFERROR(IF(AND(ValuesEntered2,הפחתה5[[#This Row],[תאריך]]&lt;&gt;""),-PPMT(שיעור_ריבית2/12,1,תקופת_ההלוואה2-ROWS($L$4:L180)+1,הפחתה5[[#This Row],[יתרת פתיחה]]),""),0)</f>
        <v>1048.0494336397692</v>
      </c>
      <c r="P180" s="13">
        <f>(הפחתה5[[#This Row],[יתרת פתיחה]])*(מדד2/12)</f>
        <v>0</v>
      </c>
      <c r="Q180" s="13">
        <f>IF(הפחתה5[[#This Row],[תאריך]]="",0,הפחתה5[[#This Row],[ריבית]]+הפחתה5[[#This Row],[קרן]]+הפחתה5[[#This Row],[מדד]])</f>
        <v>1697.6309583063035</v>
      </c>
      <c r="R180" s="13">
        <f>IF(הפחתה5[[#This Row],[תאריך]]="",0,הפחתה5[[#This Row],[יתרת פתיחה]]-הפחתה5[[#This Row],[קרן]]+הפחתה5[[#This Row],[מדד]])</f>
        <v>165850.60204251937</v>
      </c>
      <c r="S180" s="11">
        <f>IF(הפחתה5[[#This Row],[יתרת
סגירה]]&gt;0,LastRow2-ROW(),0)</f>
        <v>123</v>
      </c>
      <c r="T180" s="11">
        <f>ROWS($T$4:T180)</f>
        <v>177</v>
      </c>
      <c r="U180" s="12">
        <f ca="1">IF(ValuesEntered3,IF(הפחתה7[[#This Row],[מס'']]&lt;=תקופת_ההלוואה3,IF(ROW()-ROW(הפחתה7[[#Headers],[תאריך]])=1,LoanStart3,IF(AA179&gt;0,EDATE(U179,1),"")),""),"")</f>
        <v>50976</v>
      </c>
      <c r="V180" s="13">
        <f ca="1">IF(ROW()-ROW(הפחתה7[[#Headers],[יתרת פתיחה]])=1,סכום_הלוואה3,IF(הפחתה7[[#This Row],[תאריך]]="",0,INDEX(הפחתה7[], ROW()-4,8)))</f>
        <v>64917.087289879586</v>
      </c>
      <c r="W180" s="13">
        <f ca="1">IF(ValuesEntered3,IF(ROW()-ROW(הפחתה7[[#Headers],[ריבית]])=1,-IPMT(שיעור_ריבית3/12,1,תקופת_ההלוואה3-ROWS($C$4:U180)+1,הפחתה7[[#This Row],[יתרת פתיחה]]),IFERROR(-IPMT(שיעור_ריבית3/12,1,הפחתה7[[#This Row],[תשלומים
שנותרו]],V181),0)),0)</f>
        <v>123.7419330912648</v>
      </c>
      <c r="X180" s="13">
        <f ca="1">IFERROR(IF(AND(ValuesEntered3,הפחתה7[[#This Row],[תאריך]]&lt;&gt;""),-PPMT(שיעור_ריבית3/12,1,תקופת_ההלוואה3-ROWS($C$4:U180)+1,הפחתה7[[#This Row],[יתרת פתיחה]]),""),0)</f>
        <v>464.27386600716846</v>
      </c>
      <c r="Y180" s="13">
        <f ca="1">(הפחתה7[[#This Row],[יתרת פתיחה]])*(מדד3/12)</f>
        <v>108.19514548313265</v>
      </c>
      <c r="Z180" s="13">
        <f ca="1">IF(הפחתה7[[#This Row],[תאריך]]="",0,הפחתה7[[#This Row],[ריבית]]+הפחתה7[[#This Row],[קרן]]+הפחתה7[[#This Row],[מדד]])</f>
        <v>696.21094458156585</v>
      </c>
      <c r="AA180" s="13">
        <f ca="1">IF(הפחתה7[[#This Row],[תאריך]]="",0,הפחתה7[[#This Row],[יתרת פתיחה]]-הפחתה7[[#This Row],[קרן]]+הפחתה7[[#This Row],[מדד]])</f>
        <v>64561.008569355552</v>
      </c>
      <c r="AB180" s="11">
        <f ca="1">IF(הפחתה7[[#This Row],[יתרת
סגירה]]&gt;0,LastRow3-ROW(),0)</f>
        <v>123</v>
      </c>
      <c r="AC180" s="17">
        <f>ROWS($AC$4:AC180)</f>
        <v>177</v>
      </c>
      <c r="AD180" s="18" t="str">
        <f ca="1">IF(ValuesEntered4,IF(הפחתה8[[#This Row],[מס'']]&lt;=תקופת_ההלוואה4,IF(ROW()-ROW(הפחתה8[[#Headers],[תאריך]])=1,LoanStart4,IF(AJ179&gt;0,EDATE(AD179,1),"")),""),"")</f>
        <v/>
      </c>
      <c r="AE180" s="19">
        <f ca="1">IF(ROW()-ROW(הפחתה8[[#Headers],[יתרת פתיחה]])=1,סכום_הלוואה4,IF(הפחתה8[[#This Row],[תאריך]]="",0,INDEX(הפחתה8[], ROW()-4,8)))</f>
        <v>0</v>
      </c>
      <c r="AF180" s="19">
        <f ca="1">IF(ValuesEntered4,IF(ROW()-ROW(הפחתה8[[#Headers],[ריבית]])=1,-IPMT(שיעור_ריבית4/12,1,תקופת_ההלוואה4-ROWS($C$4:AD180)+1,הפחתה8[[#This Row],[יתרת פתיחה]]),IFERROR(-IPMT(שיעור_ריבית4/12,1,הפחתה8[[#This Row],[תשלומים
שנותרו]],AE181),0)),0)</f>
        <v>0</v>
      </c>
      <c r="AG180" s="19" t="str">
        <f ca="1">IFERROR(IF(AND(ValuesEntered4,הפחתה8[[#This Row],[תאריך]]&lt;&gt;""),-PPMT(שיעור_ריבית4/12,1,תקופת_ההלוואה4-ROWS($C$4:AD180)+1,הפחתה8[[#This Row],[יתרת פתיחה]]),""),0)</f>
        <v/>
      </c>
      <c r="AH180" s="19">
        <f ca="1">(הפחתה8[[#This Row],[יתרת פתיחה]])*(מדד4/12)</f>
        <v>0</v>
      </c>
      <c r="AI180" s="19">
        <f ca="1">IF(הפחתה8[[#This Row],[תאריך]]="",0,הפחתה8[[#This Row],[ריבית]]+הפחתה8[[#This Row],[קרן]]+הפחתה8[[#This Row],[מדד]])</f>
        <v>0</v>
      </c>
      <c r="AJ180" s="19">
        <f ca="1">IF(הפחתה8[[#This Row],[תאריך]]="",0,הפחתה8[[#This Row],[יתרת פתיחה]]-הפחתה8[[#This Row],[קרן]])</f>
        <v>0</v>
      </c>
      <c r="AK180" s="20">
        <f ca="1">IF(הפחתה8[[#This Row],[יתרת
סגירה]]&gt;0,LastRow4-ROW(),0)</f>
        <v>0</v>
      </c>
    </row>
    <row r="181" spans="1:37" ht="15" customHeight="1" x14ac:dyDescent="0.25">
      <c r="A181" s="8"/>
      <c r="B181" s="11">
        <f>ROWS($B$4:B181)</f>
        <v>178</v>
      </c>
      <c r="C181" s="12">
        <f>IF(ValuesEntered,IF(הפחתה[[#This Row],[מס'']]&lt;=תקופת_ההלוואה,IF(ROW()-ROW(הפחתה[[#Headers],[תאריך]])=1,LoanStart,IF(I180&gt;0,EDATE(C180,1),"")),""),"")</f>
        <v>50771</v>
      </c>
      <c r="D181" s="13">
        <f>IF(ROW()-ROW(הפחתה[[#Headers],[יתרת פתיחה]])=1,סכום_הלוואה,IF(הפחתה[[#This Row],[תאריך]]="",0,INDEX(הפחתה[], ROW()-4,8)))</f>
        <v>417599.21613570547</v>
      </c>
      <c r="E181" s="13">
        <f>IF(ValuesEntered,IF(ROW()-ROW(הפחתה[[#Headers],[ריבית]])=1,-IPMT(שיעור_ריבית/12,1,תקופת_ההלוואה-ROWS($C$4:C181)+1,הפחתה[[#This Row],[יתרת פתיחה]]),IFERROR(-IPMT(שיעור_ריבית/12,1,הפחתה[[#This Row],[תשלומים
שנותרו]],D182),0)),0)</f>
        <v>1837.8270493533673</v>
      </c>
      <c r="F181" s="13">
        <f>IFERROR(IF(AND(ValuesEntered,הפחתה[[#This Row],[תאריך]]&lt;&gt;""),-PPMT(שיעור_ריבית/12,1,תקופת_ההלוואה-ROWS($C$4:C181)+1,הפחתה[[#This Row],[יתרת פתיחה]]),""),0)</f>
        <v>1487.4313764525205</v>
      </c>
      <c r="G181" s="13">
        <f>(הפחתה[[#This Row],[יתרת פתיחה]])*(מדד/12)</f>
        <v>0</v>
      </c>
      <c r="H181" s="13">
        <f>IF(הפחתה[[#This Row],[תאריך]]="",0,הפחתה[[#This Row],[ריבית]]+הפחתה[[#This Row],[קרן]]+הפחתה[[#This Row],[מדד]])</f>
        <v>3325.2584258058878</v>
      </c>
      <c r="I181" s="13">
        <f>IF(הפחתה[[#This Row],[תאריך]]="",0,הפחתה[[#This Row],[יתרת פתיחה]]-הפחתה[[#This Row],[קרן]]+הפחתה[[#This Row],[מדד]])</f>
        <v>416111.78475925297</v>
      </c>
      <c r="J181" s="11">
        <f>IF(הפחתה[[#This Row],[יתרת
סגירה]]&gt;0,LastRow-ROW(),0)</f>
        <v>182</v>
      </c>
      <c r="K181" s="11">
        <f>ROWS($K$4:K181)</f>
        <v>178</v>
      </c>
      <c r="L181" s="12">
        <f>IF(ValuesEntered2,IF(הפחתה5[[#This Row],[מס'']]&lt;=תקופת_ההלוואה2,IF(ROW()-ROW(הפחתה5[[#Headers],[תאריך]])=1,LoanStart2,IF(R180&gt;0,EDATE(L180,1),"")),""),"")</f>
        <v>50771</v>
      </c>
      <c r="M181" s="13">
        <f>IF(ROW()-ROW(הפחתה5[[#Headers],[יתרת פתיחה]])=1,סכום_הלוואה2,IF(הפחתה5[[#This Row],[תאריך]]="",0,INDEX(הפחתה5[], ROW()-4,8)))</f>
        <v>165850.60204251937</v>
      </c>
      <c r="N181" s="13">
        <f>IF(ValuesEntered2,IF(ROW()-ROW(הפחתה5[[#Headers],[ריבית]])=1,-IPMT(שיעור_ריבית2/12,1,תקופת_ההלוואה2-ROWS($L$4:L181)+1,הפחתה5[[#This Row],[יתרת פתיחה]]),IFERROR(-IPMT(שיעור_ריבית2/12,1,הפחתה5[[#This Row],[תשלומים
שנותרו]],M182),0)),0)</f>
        <v>645.46058701534162</v>
      </c>
      <c r="O181" s="13">
        <f>IFERROR(IF(AND(ValuesEntered2,הפחתה5[[#This Row],[תאריך]]&lt;&gt;""),-PPMT(שיעור_ריבית2/12,1,תקופת_ההלוואה2-ROWS($L$4:L181)+1,הפחתה5[[#This Row],[יתרת פתיחה]]),""),0)</f>
        <v>1052.1542939215251</v>
      </c>
      <c r="P181" s="13">
        <f>(הפחתה5[[#This Row],[יתרת פתיחה]])*(מדד2/12)</f>
        <v>0</v>
      </c>
      <c r="Q181" s="13">
        <f>IF(הפחתה5[[#This Row],[תאריך]]="",0,הפחתה5[[#This Row],[ריבית]]+הפחתה5[[#This Row],[קרן]]+הפחתה5[[#This Row],[מדד]])</f>
        <v>1697.6148809368667</v>
      </c>
      <c r="R181" s="13">
        <f>IF(הפחתה5[[#This Row],[תאריך]]="",0,הפחתה5[[#This Row],[יתרת פתיחה]]-הפחתה5[[#This Row],[קרן]]+הפחתה5[[#This Row],[מדד]])</f>
        <v>164798.44774859786</v>
      </c>
      <c r="S181" s="11">
        <f>IF(הפחתה5[[#This Row],[יתרת
סגירה]]&gt;0,LastRow2-ROW(),0)</f>
        <v>122</v>
      </c>
      <c r="T181" s="11">
        <f>ROWS($T$4:T181)</f>
        <v>178</v>
      </c>
      <c r="U181" s="12">
        <f ca="1">IF(ValuesEntered3,IF(הפחתה7[[#This Row],[מס'']]&lt;=תקופת_ההלוואה3,IF(ROW()-ROW(הפחתה7[[#Headers],[תאריך]])=1,LoanStart3,IF(AA180&gt;0,EDATE(U180,1),"")),""),"")</f>
        <v>51007</v>
      </c>
      <c r="V181" s="13">
        <f ca="1">IF(ROW()-ROW(הפחתה7[[#Headers],[יתרת פתיחה]])=1,סכום_הלוואה3,IF(הפחתה7[[#This Row],[תאריך]]="",0,INDEX(הפחתה7[], ROW()-4,8)))</f>
        <v>64561.008569355552</v>
      </c>
      <c r="W181" s="13">
        <f ca="1">IF(ValuesEntered3,IF(ROW()-ROW(הפחתה7[[#Headers],[ריבית]])=1,-IPMT(שיעור_ריבית3/12,1,תקופת_ההלוואה3-ROWS($C$4:U181)+1,הפחתה7[[#This Row],[יתרת פתיחה]]),IFERROR(-IPMT(שיעור_ריבית3/12,1,הפחתה7[[#This Row],[תשלומים
שנותרו]],V182),0)),0)</f>
        <v>123.05510919823868</v>
      </c>
      <c r="X181" s="13">
        <f ca="1">IFERROR(IF(AND(ValuesEntered3,הפחתה7[[#This Row],[תאריך]]&lt;&gt;""),-PPMT(שיעור_ריבית3/12,1,תקופת_ההלוואה3-ROWS($C$4:U181)+1,הפחתה7[[#This Row],[יתרת פתיחה]]),""),0)</f>
        <v>465.94458165819799</v>
      </c>
      <c r="Y181" s="13">
        <f ca="1">(הפחתה7[[#This Row],[יתרת פתיחה]])*(מדד3/12)</f>
        <v>107.60168094892593</v>
      </c>
      <c r="Z181" s="13">
        <f ca="1">IF(הפחתה7[[#This Row],[תאריך]]="",0,הפחתה7[[#This Row],[ריבית]]+הפחתה7[[#This Row],[קרן]]+הפחתה7[[#This Row],[מדד]])</f>
        <v>696.60137180536265</v>
      </c>
      <c r="AA181" s="13">
        <f ca="1">IF(הפחתה7[[#This Row],[תאריך]]="",0,הפחתה7[[#This Row],[יתרת פתיחה]]-הפחתה7[[#This Row],[קרן]]+הפחתה7[[#This Row],[מדד]])</f>
        <v>64202.665668646274</v>
      </c>
      <c r="AB181" s="11">
        <f ca="1">IF(הפחתה7[[#This Row],[יתרת
סגירה]]&gt;0,LastRow3-ROW(),0)</f>
        <v>122</v>
      </c>
      <c r="AC181" s="17">
        <f>ROWS($AC$4:AC181)</f>
        <v>178</v>
      </c>
      <c r="AD181" s="18" t="str">
        <f ca="1">IF(ValuesEntered4,IF(הפחתה8[[#This Row],[מס'']]&lt;=תקופת_ההלוואה4,IF(ROW()-ROW(הפחתה8[[#Headers],[תאריך]])=1,LoanStart4,IF(AJ180&gt;0,EDATE(AD180,1),"")),""),"")</f>
        <v/>
      </c>
      <c r="AE181" s="19">
        <f ca="1">IF(ROW()-ROW(הפחתה8[[#Headers],[יתרת פתיחה]])=1,סכום_הלוואה4,IF(הפחתה8[[#This Row],[תאריך]]="",0,INDEX(הפחתה8[], ROW()-4,8)))</f>
        <v>0</v>
      </c>
      <c r="AF181" s="19">
        <f ca="1">IF(ValuesEntered4,IF(ROW()-ROW(הפחתה8[[#Headers],[ריבית]])=1,-IPMT(שיעור_ריבית4/12,1,תקופת_ההלוואה4-ROWS($C$4:AD181)+1,הפחתה8[[#This Row],[יתרת פתיחה]]),IFERROR(-IPMT(שיעור_ריבית4/12,1,הפחתה8[[#This Row],[תשלומים
שנותרו]],AE182),0)),0)</f>
        <v>0</v>
      </c>
      <c r="AG181" s="19" t="str">
        <f ca="1">IFERROR(IF(AND(ValuesEntered4,הפחתה8[[#This Row],[תאריך]]&lt;&gt;""),-PPMT(שיעור_ריבית4/12,1,תקופת_ההלוואה4-ROWS($C$4:AD181)+1,הפחתה8[[#This Row],[יתרת פתיחה]]),""),0)</f>
        <v/>
      </c>
      <c r="AH181" s="19">
        <f ca="1">(הפחתה8[[#This Row],[יתרת פתיחה]])*(מדד4/12)</f>
        <v>0</v>
      </c>
      <c r="AI181" s="19">
        <f ca="1">IF(הפחתה8[[#This Row],[תאריך]]="",0,הפחתה8[[#This Row],[ריבית]]+הפחתה8[[#This Row],[קרן]]+הפחתה8[[#This Row],[מדד]])</f>
        <v>0</v>
      </c>
      <c r="AJ181" s="19">
        <f ca="1">IF(הפחתה8[[#This Row],[תאריך]]="",0,הפחתה8[[#This Row],[יתרת פתיחה]]-הפחתה8[[#This Row],[קרן]])</f>
        <v>0</v>
      </c>
      <c r="AK181" s="20">
        <f ca="1">IF(הפחתה8[[#This Row],[יתרת
סגירה]]&gt;0,LastRow4-ROW(),0)</f>
        <v>0</v>
      </c>
    </row>
    <row r="182" spans="1:37" ht="15" customHeight="1" x14ac:dyDescent="0.25">
      <c r="A182" s="8"/>
      <c r="B182" s="11">
        <f>ROWS($B$4:B182)</f>
        <v>179</v>
      </c>
      <c r="C182" s="12">
        <f>IF(ValuesEntered,IF(הפחתה[[#This Row],[מס'']]&lt;=תקופת_ההלוואה,IF(ROW()-ROW(הפחתה[[#Headers],[תאריך]])=1,LoanStart,IF(I181&gt;0,EDATE(C181,1),"")),""),"")</f>
        <v>50802</v>
      </c>
      <c r="D182" s="13">
        <f>IF(ROW()-ROW(הפחתה[[#Headers],[יתרת פתיחה]])=1,סכום_הלוואה,IF(הפחתה[[#This Row],[תאריך]]="",0,INDEX(הפחתה[], ROW()-4,8)))</f>
        <v>416111.78475925297</v>
      </c>
      <c r="E182" s="13">
        <f>IF(ValuesEntered,IF(ROW()-ROW(הפחתה[[#Headers],[ריבית]])=1,-IPMT(שיעור_ריבית/12,1,תקופת_ההלוואה-ROWS($C$4:C182)+1,הפחתה[[#This Row],[יתרת פתיחה]]),IFERROR(-IPMT(שיעור_ריבית/12,1,הפחתה[[#This Row],[תשלומים
שנותרו]],D183),0)),0)</f>
        <v>1831.2285455328101</v>
      </c>
      <c r="F182" s="13">
        <f>IFERROR(IF(AND(ValuesEntered,הפחתה[[#This Row],[תאריך]]&lt;&gt;""),-PPMT(שיעור_ריבית/12,1,תקופת_ההלוואה-ROWS($C$4:C182)+1,הפחתה[[#This Row],[יתרת פתיחה]]),""),0)</f>
        <v>1494.0008650318523</v>
      </c>
      <c r="G182" s="13">
        <f>(הפחתה[[#This Row],[יתרת פתיחה]])*(מדד/12)</f>
        <v>0</v>
      </c>
      <c r="H182" s="13">
        <f>IF(הפחתה[[#This Row],[תאריך]]="",0,הפחתה[[#This Row],[ריבית]]+הפחתה[[#This Row],[קרן]]+הפחתה[[#This Row],[מדד]])</f>
        <v>3325.2294105646624</v>
      </c>
      <c r="I182" s="13">
        <f>IF(הפחתה[[#This Row],[תאריך]]="",0,הפחתה[[#This Row],[יתרת פתיחה]]-הפחתה[[#This Row],[קרן]]+הפחתה[[#This Row],[מדד]])</f>
        <v>414617.78389422112</v>
      </c>
      <c r="J182" s="11">
        <f>IF(הפחתה[[#This Row],[יתרת
סגירה]]&gt;0,LastRow-ROW(),0)</f>
        <v>181</v>
      </c>
      <c r="K182" s="11">
        <f>ROWS($K$4:K182)</f>
        <v>179</v>
      </c>
      <c r="L182" s="12">
        <f>IF(ValuesEntered2,IF(הפחתה5[[#This Row],[מס'']]&lt;=תקופת_ההלוואה2,IF(ROW()-ROW(הפחתה5[[#Headers],[תאריך]])=1,LoanStart2,IF(R181&gt;0,EDATE(L181,1),"")),""),"")</f>
        <v>50802</v>
      </c>
      <c r="M182" s="13">
        <f>IF(ROW()-ROW(הפחתה5[[#Headers],[יתרת פתיחה]])=1,סכום_הלוואה2,IF(הפחתה5[[#This Row],[תאריך]]="",0,INDEX(הפחתה5[], ROW()-4,8)))</f>
        <v>164798.44774859786</v>
      </c>
      <c r="N182" s="13">
        <f>IF(ValuesEntered2,IF(ROW()-ROW(הפחתה5[[#Headers],[ריבית]])=1,-IPMT(שיעור_ריבית2/12,1,תקופת_ההלוואה2-ROWS($L$4:L182)+1,הפחתה5[[#This Row],[יתרת פתיחה]]),IFERROR(-IPMT(שיעור_ריבית2/12,1,הפחתה5[[#This Row],[תשלומים
שנותרו]],M183),0)),0)</f>
        <v>641.32350902501514</v>
      </c>
      <c r="O182" s="13">
        <f>IFERROR(IF(AND(ValuesEntered2,הפחתה5[[#This Row],[תאריך]]&lt;&gt;""),-PPMT(שיעור_ריבית2/12,1,תקופת_ההלוואה2-ROWS($L$4:L182)+1,הפחתה5[[#This Row],[יתרת פתיחה]]),""),0)</f>
        <v>1056.2752315727175</v>
      </c>
      <c r="P182" s="13">
        <f>(הפחתה5[[#This Row],[יתרת פתיחה]])*(מדד2/12)</f>
        <v>0</v>
      </c>
      <c r="Q182" s="13">
        <f>IF(הפחתה5[[#This Row],[תאריך]]="",0,הפחתה5[[#This Row],[ריבית]]+הפחתה5[[#This Row],[קרן]]+הפחתה5[[#This Row],[מדד]])</f>
        <v>1697.5987405977326</v>
      </c>
      <c r="R182" s="13">
        <f>IF(הפחתה5[[#This Row],[תאריך]]="",0,הפחתה5[[#This Row],[יתרת פתיחה]]-הפחתה5[[#This Row],[קרן]]+הפחתה5[[#This Row],[מדד]])</f>
        <v>163742.17251702514</v>
      </c>
      <c r="S182" s="11">
        <f>IF(הפחתה5[[#This Row],[יתרת
סגירה]]&gt;0,LastRow2-ROW(),0)</f>
        <v>121</v>
      </c>
      <c r="T182" s="11">
        <f>ROWS($T$4:T182)</f>
        <v>179</v>
      </c>
      <c r="U182" s="12">
        <f ca="1">IF(ValuesEntered3,IF(הפחתה7[[#This Row],[מס'']]&lt;=תקופת_ההלוואה3,IF(ROW()-ROW(הפחתה7[[#Headers],[תאריך]])=1,LoanStart3,IF(AA181&gt;0,EDATE(U181,1),"")),""),"")</f>
        <v>51038</v>
      </c>
      <c r="V182" s="13">
        <f ca="1">IF(ROW()-ROW(הפחתה7[[#Headers],[יתרת פתיחה]])=1,סכום_הלוואה3,IF(הפחתה7[[#This Row],[תאריך]]="",0,INDEX(הפחתה7[], ROW()-4,8)))</f>
        <v>64202.665668646274</v>
      </c>
      <c r="W182" s="13">
        <f ca="1">IF(ValuesEntered3,IF(ROW()-ROW(הפחתה7[[#Headers],[ריבית]])=1,-IPMT(שיעור_ריבית3/12,1,תקופת_ההלוואה3-ROWS($C$4:U182)+1,הפחתה7[[#This Row],[יתרת פתיחה]]),IFERROR(-IPMT(שיעור_ריבית3/12,1,הפחתה7[[#This Row],[תשלומים
שנותרו]],V183),0)),0)</f>
        <v>122.36392677158109</v>
      </c>
      <c r="X182" s="13">
        <f ca="1">IFERROR(IF(AND(ValuesEntered3,הפחתה7[[#This Row],[תאריך]]&lt;&gt;""),-PPMT(שיעור_ריבית3/12,1,תקופת_ההלוואה3-ROWS($C$4:U182)+1,הפחתה7[[#This Row],[יתרת פתיחה]]),""),0)</f>
        <v>467.62136103722111</v>
      </c>
      <c r="Y182" s="13">
        <f ca="1">(הפחתה7[[#This Row],[יתרת פתיחה]])*(מדד3/12)</f>
        <v>107.00444278107713</v>
      </c>
      <c r="Z182" s="13">
        <f ca="1">IF(הפחתה7[[#This Row],[תאריך]]="",0,הפחתה7[[#This Row],[ריבית]]+הפחתה7[[#This Row],[קרן]]+הפחתה7[[#This Row],[מדד]])</f>
        <v>696.9897305898794</v>
      </c>
      <c r="AA182" s="13">
        <f ca="1">IF(הפחתה7[[#This Row],[תאריך]]="",0,הפחתה7[[#This Row],[יתרת פתיחה]]-הפחתה7[[#This Row],[קרן]]+הפחתה7[[#This Row],[מדד]])</f>
        <v>63842.048750390131</v>
      </c>
      <c r="AB182" s="11">
        <f ca="1">IF(הפחתה7[[#This Row],[יתרת
סגירה]]&gt;0,LastRow3-ROW(),0)</f>
        <v>121</v>
      </c>
      <c r="AC182" s="17">
        <f>ROWS($AC$4:AC182)</f>
        <v>179</v>
      </c>
      <c r="AD182" s="18" t="str">
        <f ca="1">IF(ValuesEntered4,IF(הפחתה8[[#This Row],[מס'']]&lt;=תקופת_ההלוואה4,IF(ROW()-ROW(הפחתה8[[#Headers],[תאריך]])=1,LoanStart4,IF(AJ181&gt;0,EDATE(AD181,1),"")),""),"")</f>
        <v/>
      </c>
      <c r="AE182" s="19">
        <f ca="1">IF(ROW()-ROW(הפחתה8[[#Headers],[יתרת פתיחה]])=1,סכום_הלוואה4,IF(הפחתה8[[#This Row],[תאריך]]="",0,INDEX(הפחתה8[], ROW()-4,8)))</f>
        <v>0</v>
      </c>
      <c r="AF182" s="19">
        <f ca="1">IF(ValuesEntered4,IF(ROW()-ROW(הפחתה8[[#Headers],[ריבית]])=1,-IPMT(שיעור_ריבית4/12,1,תקופת_ההלוואה4-ROWS($C$4:AD182)+1,הפחתה8[[#This Row],[יתרת פתיחה]]),IFERROR(-IPMT(שיעור_ריבית4/12,1,הפחתה8[[#This Row],[תשלומים
שנותרו]],AE183),0)),0)</f>
        <v>0</v>
      </c>
      <c r="AG182" s="19" t="str">
        <f ca="1">IFERROR(IF(AND(ValuesEntered4,הפחתה8[[#This Row],[תאריך]]&lt;&gt;""),-PPMT(שיעור_ריבית4/12,1,תקופת_ההלוואה4-ROWS($C$4:AD182)+1,הפחתה8[[#This Row],[יתרת פתיחה]]),""),0)</f>
        <v/>
      </c>
      <c r="AH182" s="19">
        <f ca="1">(הפחתה8[[#This Row],[יתרת פתיחה]])*(מדד4/12)</f>
        <v>0</v>
      </c>
      <c r="AI182" s="19">
        <f ca="1">IF(הפחתה8[[#This Row],[תאריך]]="",0,הפחתה8[[#This Row],[ריבית]]+הפחתה8[[#This Row],[קרן]]+הפחתה8[[#This Row],[מדד]])</f>
        <v>0</v>
      </c>
      <c r="AJ182" s="19">
        <f ca="1">IF(הפחתה8[[#This Row],[תאריך]]="",0,הפחתה8[[#This Row],[יתרת פתיחה]]-הפחתה8[[#This Row],[קרן]])</f>
        <v>0</v>
      </c>
      <c r="AK182" s="20">
        <f ca="1">IF(הפחתה8[[#This Row],[יתרת
סגירה]]&gt;0,LastRow4-ROW(),0)</f>
        <v>0</v>
      </c>
    </row>
    <row r="183" spans="1:37" ht="15" customHeight="1" x14ac:dyDescent="0.25">
      <c r="A183" s="8"/>
      <c r="B183" s="11">
        <f>ROWS($B$4:B183)</f>
        <v>180</v>
      </c>
      <c r="C183" s="12">
        <f>IF(ValuesEntered,IF(הפחתה[[#This Row],[מס'']]&lt;=תקופת_ההלוואה,IF(ROW()-ROW(הפחתה[[#Headers],[תאריך]])=1,LoanStart,IF(I182&gt;0,EDATE(C182,1),"")),""),"")</f>
        <v>50830</v>
      </c>
      <c r="D183" s="13">
        <f>IF(ROW()-ROW(הפחתה[[#Headers],[יתרת פתיחה]])=1,סכום_הלוואה,IF(הפחתה[[#This Row],[תאריך]]="",0,INDEX(הפחתה[], ROW()-4,8)))</f>
        <v>414617.78389422112</v>
      </c>
      <c r="E183" s="13">
        <f>IF(ValuesEntered,IF(ROW()-ROW(הפחתה[[#Headers],[ריבית]])=1,-IPMT(שיעור_ריבית/12,1,תקופת_ההלוואה-ROWS($C$4:C183)+1,הפחתה[[#This Row],[יתרת פתיחה]]),IFERROR(-IPMT(שיעור_ריבית/12,1,הפחתה[[#This Row],[תשלומים
שנותרו]],D184),0)),0)</f>
        <v>1824.6008983203787</v>
      </c>
      <c r="F183" s="13">
        <f>IFERROR(IF(AND(ValuesEntered,הפחתה[[#This Row],[תאריך]]&lt;&gt;""),-PPMT(שיעור_ריבית/12,1,תקופת_ההלוואה-ROWS($C$4:C183)+1,הפחתה[[#This Row],[יתרת פתיחה]]),""),0)</f>
        <v>1500.5993688524095</v>
      </c>
      <c r="G183" s="13">
        <f>(הפחתה[[#This Row],[יתרת פתיחה]])*(מדד/12)</f>
        <v>0</v>
      </c>
      <c r="H183" s="13">
        <f>IF(הפחתה[[#This Row],[תאריך]]="",0,הפחתה[[#This Row],[ריבית]]+הפחתה[[#This Row],[קרן]]+הפחתה[[#This Row],[מדד]])</f>
        <v>3325.2002671727882</v>
      </c>
      <c r="I183" s="13">
        <f>IF(הפחתה[[#This Row],[תאריך]]="",0,הפחתה[[#This Row],[יתרת פתיחה]]-הפחתה[[#This Row],[קרן]]+הפחתה[[#This Row],[מדד]])</f>
        <v>413117.18452536874</v>
      </c>
      <c r="J183" s="11">
        <f>IF(הפחתה[[#This Row],[יתרת
סגירה]]&gt;0,LastRow-ROW(),0)</f>
        <v>180</v>
      </c>
      <c r="K183" s="11">
        <f>ROWS($K$4:K183)</f>
        <v>180</v>
      </c>
      <c r="L183" s="12">
        <f>IF(ValuesEntered2,IF(הפחתה5[[#This Row],[מס'']]&lt;=תקופת_ההלוואה2,IF(ROW()-ROW(הפחתה5[[#Headers],[תאריך]])=1,LoanStart2,IF(R182&gt;0,EDATE(L182,1),"")),""),"")</f>
        <v>50830</v>
      </c>
      <c r="M183" s="13">
        <f>IF(ROW()-ROW(הפחתה5[[#Headers],[יתרת פתיחה]])=1,סכום_הלוואה2,IF(הפחתה5[[#This Row],[תאריך]]="",0,INDEX(הפחתה5[], ROW()-4,8)))</f>
        <v>163742.17251702514</v>
      </c>
      <c r="N183" s="13">
        <f>IF(ValuesEntered2,IF(ROW()-ROW(הפחתה5[[#Headers],[ריבית]])=1,-IPMT(שיעור_ריבית2/12,1,תקופת_ההלוואה2-ROWS($L$4:L183)+1,הפחתה5[[#This Row],[יתרת פתיחה]]),IFERROR(-IPMT(שיעור_ריבית2/12,1,הפחתה5[[#This Row],[תשלומים
שנותרו]],M184),0)),0)</f>
        <v>637.17022747922647</v>
      </c>
      <c r="O183" s="13">
        <f>IFERROR(IF(AND(ValuesEntered2,הפחתה5[[#This Row],[תאריך]]&lt;&gt;""),-PPMT(שיעור_ריבית2/12,1,תקופת_ההלוואה2-ROWS($L$4:L183)+1,הפחתה5[[#This Row],[יתרת פתיחה]]),""),0)</f>
        <v>1060.4123095630441</v>
      </c>
      <c r="P183" s="13">
        <f>(הפחתה5[[#This Row],[יתרת פתיחה]])*(מדד2/12)</f>
        <v>0</v>
      </c>
      <c r="Q183" s="13">
        <f>IF(הפחתה5[[#This Row],[תאריך]]="",0,הפחתה5[[#This Row],[ריבית]]+הפחתה5[[#This Row],[קרן]]+הפחתה5[[#This Row],[מדד]])</f>
        <v>1697.5825370422706</v>
      </c>
      <c r="R183" s="13">
        <f>IF(הפחתה5[[#This Row],[תאריך]]="",0,הפחתה5[[#This Row],[יתרת פתיחה]]-הפחתה5[[#This Row],[קרן]]+הפחתה5[[#This Row],[מדד]])</f>
        <v>162681.7602074621</v>
      </c>
      <c r="S183" s="11">
        <f>IF(הפחתה5[[#This Row],[יתרת
סגירה]]&gt;0,LastRow2-ROW(),0)</f>
        <v>120</v>
      </c>
      <c r="T183" s="11">
        <f>ROWS($T$4:T183)</f>
        <v>180</v>
      </c>
      <c r="U183" s="12">
        <f ca="1">IF(ValuesEntered3,IF(הפחתה7[[#This Row],[מס'']]&lt;=תקופת_ההלוואה3,IF(ROW()-ROW(הפחתה7[[#Headers],[תאריך]])=1,LoanStart3,IF(AA182&gt;0,EDATE(U182,1),"")),""),"")</f>
        <v>51068</v>
      </c>
      <c r="V183" s="13">
        <f ca="1">IF(ROW()-ROW(הפחתה7[[#Headers],[יתרת פתיחה]])=1,סכום_הלוואה3,IF(הפחתה7[[#This Row],[תאריך]]="",0,INDEX(הפחתה7[], ROW()-4,8)))</f>
        <v>63842.048750390131</v>
      </c>
      <c r="W183" s="13">
        <f ca="1">IF(ValuesEntered3,IF(ROW()-ROW(הפחתה7[[#Headers],[ריבית]])=1,-IPMT(שיעור_ריבית3/12,1,תקופת_ההלוואה3-ROWS($C$4:U183)+1,הפחתה7[[#This Row],[יתרת פתיחה]]),IFERROR(-IPMT(שיעור_ריבית3/12,1,הפחתה7[[#This Row],[תשלומים
שנותרו]],V184),0)),0)</f>
        <v>121.66836688074272</v>
      </c>
      <c r="X183" s="13">
        <f ca="1">IFERROR(IF(AND(ValuesEntered3,הפחתה7[[#This Row],[תאריך]]&lt;&gt;""),-PPMT(שיעור_ריבית3/12,1,תקופת_ההלוואה3-ROWS($C$4:U183)+1,הפחתה7[[#This Row],[יתרת פתיחה]]),""),0)</f>
        <v>469.3042271953027</v>
      </c>
      <c r="Y183" s="13">
        <f ca="1">(הפחתה7[[#This Row],[יתרת פתיחה]])*(מדד3/12)</f>
        <v>106.40341458398356</v>
      </c>
      <c r="Z183" s="13">
        <f ca="1">IF(הפחתה7[[#This Row],[תאריך]]="",0,הפחתה7[[#This Row],[ריבית]]+הפחתה7[[#This Row],[קרן]]+הפחתה7[[#This Row],[מדד]])</f>
        <v>697.37600866002902</v>
      </c>
      <c r="AA183" s="13">
        <f ca="1">IF(הפחתה7[[#This Row],[תאריך]]="",0,הפחתה7[[#This Row],[יתרת פתיחה]]-הפחתה7[[#This Row],[קרן]]+הפחתה7[[#This Row],[מדד]])</f>
        <v>63479.147937778813</v>
      </c>
      <c r="AB183" s="11">
        <f ca="1">IF(הפחתה7[[#This Row],[יתרת
סגירה]]&gt;0,LastRow3-ROW(),0)</f>
        <v>120</v>
      </c>
      <c r="AC183" s="17">
        <f>ROWS($AC$4:AC183)</f>
        <v>180</v>
      </c>
      <c r="AD183" s="18" t="str">
        <f ca="1">IF(ValuesEntered4,IF(הפחתה8[[#This Row],[מס'']]&lt;=תקופת_ההלוואה4,IF(ROW()-ROW(הפחתה8[[#Headers],[תאריך]])=1,LoanStart4,IF(AJ182&gt;0,EDATE(AD182,1),"")),""),"")</f>
        <v/>
      </c>
      <c r="AE183" s="19">
        <f ca="1">IF(ROW()-ROW(הפחתה8[[#Headers],[יתרת פתיחה]])=1,סכום_הלוואה4,IF(הפחתה8[[#This Row],[תאריך]]="",0,INDEX(הפחתה8[], ROW()-4,8)))</f>
        <v>0</v>
      </c>
      <c r="AF183" s="19">
        <f ca="1">IF(ValuesEntered4,IF(ROW()-ROW(הפחתה8[[#Headers],[ריבית]])=1,-IPMT(שיעור_ריבית4/12,1,תקופת_ההלוואה4-ROWS($C$4:AD183)+1,הפחתה8[[#This Row],[יתרת פתיחה]]),IFERROR(-IPMT(שיעור_ריבית4/12,1,הפחתה8[[#This Row],[תשלומים
שנותרו]],AE184),0)),0)</f>
        <v>0</v>
      </c>
      <c r="AG183" s="19" t="str">
        <f ca="1">IFERROR(IF(AND(ValuesEntered4,הפחתה8[[#This Row],[תאריך]]&lt;&gt;""),-PPMT(שיעור_ריבית4/12,1,תקופת_ההלוואה4-ROWS($C$4:AD183)+1,הפחתה8[[#This Row],[יתרת פתיחה]]),""),0)</f>
        <v/>
      </c>
      <c r="AH183" s="19">
        <f ca="1">(הפחתה8[[#This Row],[יתרת פתיחה]])*(מדד4/12)</f>
        <v>0</v>
      </c>
      <c r="AI183" s="19">
        <f ca="1">IF(הפחתה8[[#This Row],[תאריך]]="",0,הפחתה8[[#This Row],[ריבית]]+הפחתה8[[#This Row],[קרן]]+הפחתה8[[#This Row],[מדד]])</f>
        <v>0</v>
      </c>
      <c r="AJ183" s="19">
        <f ca="1">IF(הפחתה8[[#This Row],[תאריך]]="",0,הפחתה8[[#This Row],[יתרת פתיחה]]-הפחתה8[[#This Row],[קרן]])</f>
        <v>0</v>
      </c>
      <c r="AK183" s="20">
        <f ca="1">IF(הפחתה8[[#This Row],[יתרת
סגירה]]&gt;0,LastRow4-ROW(),0)</f>
        <v>0</v>
      </c>
    </row>
    <row r="184" spans="1:37" ht="15" customHeight="1" x14ac:dyDescent="0.25">
      <c r="A184" s="8"/>
      <c r="B184" s="11">
        <f>ROWS($B$4:B184)</f>
        <v>181</v>
      </c>
      <c r="C184" s="12">
        <f>IF(ValuesEntered,IF(הפחתה[[#This Row],[מס'']]&lt;=תקופת_ההלוואה,IF(ROW()-ROW(הפחתה[[#Headers],[תאריך]])=1,LoanStart,IF(I183&gt;0,EDATE(C183,1),"")),""),"")</f>
        <v>50861</v>
      </c>
      <c r="D184" s="13">
        <f>IF(ROW()-ROW(הפחתה[[#Headers],[יתרת פתיחה]])=1,סכום_הלוואה,IF(הפחתה[[#This Row],[תאריך]]="",0,INDEX(הפחתה[], ROW()-4,8)))</f>
        <v>413117.18452536874</v>
      </c>
      <c r="E184" s="13">
        <f>IF(ValuesEntered,IF(ROW()-ROW(הפחתה[[#Headers],[ריבית]])=1,-IPMT(שיעור_ריבית/12,1,תקופת_ההלוואה-ROWS($C$4:C184)+1,הפחתה[[#This Row],[יתרת פתיחה]]),IFERROR(-IPMT(שיעור_ריבית/12,1,הפחתה[[#This Row],[תשלומים
שנותרו]],D185),0)),0)</f>
        <v>1817.9439789994256</v>
      </c>
      <c r="F184" s="13">
        <f>IFERROR(IF(AND(ValuesEntered,הפחתה[[#This Row],[תאריך]]&lt;&gt;""),-PPMT(שיעור_ריבית/12,1,תקופת_ההלוואה-ROWS($C$4:C184)+1,הפחתה[[#This Row],[יתרת פתיחה]]),""),0)</f>
        <v>1507.2270160648413</v>
      </c>
      <c r="G184" s="13">
        <f>(הפחתה[[#This Row],[יתרת פתיחה]])*(מדד/12)</f>
        <v>0</v>
      </c>
      <c r="H184" s="13">
        <f>IF(הפחתה[[#This Row],[תאריך]]="",0,הפחתה[[#This Row],[ריבית]]+הפחתה[[#This Row],[קרן]]+הפחתה[[#This Row],[מדד]])</f>
        <v>3325.1709950642671</v>
      </c>
      <c r="I184" s="13">
        <f>IF(הפחתה[[#This Row],[תאריך]]="",0,הפחתה[[#This Row],[יתרת פתיחה]]-הפחתה[[#This Row],[קרן]]+הפחתה[[#This Row],[מדד]])</f>
        <v>411609.95750930387</v>
      </c>
      <c r="J184" s="11">
        <f>IF(הפחתה[[#This Row],[יתרת
סגירה]]&gt;0,LastRow-ROW(),0)</f>
        <v>179</v>
      </c>
      <c r="K184" s="11">
        <f>ROWS($K$4:K184)</f>
        <v>181</v>
      </c>
      <c r="L184" s="12">
        <f>IF(ValuesEntered2,IF(הפחתה5[[#This Row],[מס'']]&lt;=תקופת_ההלוואה2,IF(ROW()-ROW(הפחתה5[[#Headers],[תאריך]])=1,LoanStart2,IF(R183&gt;0,EDATE(L183,1),"")),""),"")</f>
        <v>50861</v>
      </c>
      <c r="M184" s="13">
        <f>IF(ROW()-ROW(הפחתה5[[#Headers],[יתרת פתיחה]])=1,סכום_הלוואה2,IF(הפחתה5[[#This Row],[תאריך]]="",0,INDEX(הפחתה5[], ROW()-4,8)))</f>
        <v>162681.7602074621</v>
      </c>
      <c r="N184" s="13">
        <f>IF(ValuesEntered2,IF(ROW()-ROW(הפחתה5[[#Headers],[ריבית]])=1,-IPMT(שיעור_ריבית2/12,1,תקופת_ההלוואה2-ROWS($L$4:L184)+1,הפחתה5[[#This Row],[יתרת פתיחה]]),IFERROR(-IPMT(שיעור_ריבית2/12,1,הפחתה5[[#This Row],[תשלומים
שנותרו]],M185),0)),0)</f>
        <v>633.00067891405024</v>
      </c>
      <c r="O184" s="13">
        <f>IFERROR(IF(AND(ValuesEntered2,הפחתה5[[#This Row],[תאריך]]&lt;&gt;""),-PPMT(שיעור_ריבית2/12,1,תקופת_ההלוואה2-ROWS($L$4:L184)+1,הפחתה5[[#This Row],[יתרת פתיחה]]),""),0)</f>
        <v>1064.5655911088329</v>
      </c>
      <c r="P184" s="13">
        <f>(הפחתה5[[#This Row],[יתרת פתיחה]])*(מדד2/12)</f>
        <v>0</v>
      </c>
      <c r="Q184" s="13">
        <f>IF(הפחתה5[[#This Row],[תאריך]]="",0,הפחתה5[[#This Row],[ריבית]]+הפחתה5[[#This Row],[קרן]]+הפחתה5[[#This Row],[מדד]])</f>
        <v>1697.5662700228831</v>
      </c>
      <c r="R184" s="13">
        <f>IF(הפחתה5[[#This Row],[תאריך]]="",0,הפחתה5[[#This Row],[יתרת פתיחה]]-הפחתה5[[#This Row],[קרן]]+הפחתה5[[#This Row],[מדד]])</f>
        <v>161617.19461635326</v>
      </c>
      <c r="S184" s="11">
        <f>IF(הפחתה5[[#This Row],[יתרת
סגירה]]&gt;0,LastRow2-ROW(),0)</f>
        <v>119</v>
      </c>
      <c r="T184" s="11">
        <f>ROWS($T$4:T184)</f>
        <v>181</v>
      </c>
      <c r="U184" s="12">
        <f ca="1">IF(ValuesEntered3,IF(הפחתה7[[#This Row],[מס'']]&lt;=תקופת_ההלוואה3,IF(ROW()-ROW(הפחתה7[[#Headers],[תאריך]])=1,LoanStart3,IF(AA183&gt;0,EDATE(U183,1),"")),""),"")</f>
        <v>51099</v>
      </c>
      <c r="V184" s="13">
        <f ca="1">IF(ROW()-ROW(הפחתה7[[#Headers],[יתרת פתיחה]])=1,סכום_הלוואה3,IF(הפחתה7[[#This Row],[תאריך]]="",0,INDEX(הפחתה7[], ROW()-4,8)))</f>
        <v>63479.147937778813</v>
      </c>
      <c r="W184" s="13">
        <f ca="1">IF(ValuesEntered3,IF(ROW()-ROW(הפחתה7[[#Headers],[ריבית]])=1,-IPMT(שיעור_ריבית3/12,1,תקופת_ההלוואה3-ROWS($C$4:U184)+1,הפחתה7[[#This Row],[יתרת פתיחה]]),IFERROR(-IPMT(שיעור_ריבית3/12,1,הפחתה7[[#This Row],[תשלומים
שנותרו]],V185),0)),0)</f>
        <v>120.96841051922027</v>
      </c>
      <c r="X184" s="13">
        <f ca="1">IFERROR(IF(AND(ValuesEntered3,הפחתה7[[#This Row],[תאריך]]&lt;&gt;""),-PPMT(שיעור_ריבית3/12,1,תקופת_ההלוואה3-ROWS($C$4:U184)+1,הפחתה7[[#This Row],[יתרת פתיחה]]),""),0)</f>
        <v>470.99320329931521</v>
      </c>
      <c r="Y184" s="13">
        <f ca="1">(הפחתה7[[#This Row],[יתרת פתיחה]])*(מדד3/12)</f>
        <v>105.79857989629802</v>
      </c>
      <c r="Z184" s="13">
        <f ca="1">IF(הפחתה7[[#This Row],[תאריך]]="",0,הפחתה7[[#This Row],[ריבית]]+הפחתה7[[#This Row],[קרן]]+הפחתה7[[#This Row],[מדד]])</f>
        <v>697.76019371483358</v>
      </c>
      <c r="AA184" s="13">
        <f ca="1">IF(הפחתה7[[#This Row],[תאריך]]="",0,הפחתה7[[#This Row],[יתרת פתיחה]]-הפחתה7[[#This Row],[קרן]]+הפחתה7[[#This Row],[מדד]])</f>
        <v>63113.953314375794</v>
      </c>
      <c r="AB184" s="11">
        <f ca="1">IF(הפחתה7[[#This Row],[יתרת
סגירה]]&gt;0,LastRow3-ROW(),0)</f>
        <v>119</v>
      </c>
      <c r="AC184" s="17">
        <f>ROWS($AC$4:AC184)</f>
        <v>181</v>
      </c>
      <c r="AD184" s="18" t="str">
        <f ca="1">IF(ValuesEntered4,IF(הפחתה8[[#This Row],[מס'']]&lt;=תקופת_ההלוואה4,IF(ROW()-ROW(הפחתה8[[#Headers],[תאריך]])=1,LoanStart4,IF(AJ183&gt;0,EDATE(AD183,1),"")),""),"")</f>
        <v/>
      </c>
      <c r="AE184" s="19">
        <f ca="1">IF(ROW()-ROW(הפחתה8[[#Headers],[יתרת פתיחה]])=1,סכום_הלוואה4,IF(הפחתה8[[#This Row],[תאריך]]="",0,INDEX(הפחתה8[], ROW()-4,8)))</f>
        <v>0</v>
      </c>
      <c r="AF184" s="19">
        <f ca="1">IF(ValuesEntered4,IF(ROW()-ROW(הפחתה8[[#Headers],[ריבית]])=1,-IPMT(שיעור_ריבית4/12,1,תקופת_ההלוואה4-ROWS($C$4:AD184)+1,הפחתה8[[#This Row],[יתרת פתיחה]]),IFERROR(-IPMT(שיעור_ריבית4/12,1,הפחתה8[[#This Row],[תשלומים
שנותרו]],AE185),0)),0)</f>
        <v>0</v>
      </c>
      <c r="AG184" s="19" t="str">
        <f ca="1">IFERROR(IF(AND(ValuesEntered4,הפחתה8[[#This Row],[תאריך]]&lt;&gt;""),-PPMT(שיעור_ריבית4/12,1,תקופת_ההלוואה4-ROWS($C$4:AD184)+1,הפחתה8[[#This Row],[יתרת פתיחה]]),""),0)</f>
        <v/>
      </c>
      <c r="AH184" s="19">
        <f ca="1">(הפחתה8[[#This Row],[יתרת פתיחה]])*(מדד4/12)</f>
        <v>0</v>
      </c>
      <c r="AI184" s="19">
        <f ca="1">IF(הפחתה8[[#This Row],[תאריך]]="",0,הפחתה8[[#This Row],[ריבית]]+הפחתה8[[#This Row],[קרן]]+הפחתה8[[#This Row],[מדד]])</f>
        <v>0</v>
      </c>
      <c r="AJ184" s="19">
        <f ca="1">IF(הפחתה8[[#This Row],[תאריך]]="",0,הפחתה8[[#This Row],[יתרת פתיחה]]-הפחתה8[[#This Row],[קרן]])</f>
        <v>0</v>
      </c>
      <c r="AK184" s="20">
        <f ca="1">IF(הפחתה8[[#This Row],[יתרת
סגירה]]&gt;0,LastRow4-ROW(),0)</f>
        <v>0</v>
      </c>
    </row>
    <row r="185" spans="1:37" ht="15" customHeight="1" x14ac:dyDescent="0.25">
      <c r="A185" s="8"/>
      <c r="B185" s="11">
        <f>ROWS($B$4:B185)</f>
        <v>182</v>
      </c>
      <c r="C185" s="12">
        <f>IF(ValuesEntered,IF(הפחתה[[#This Row],[מס'']]&lt;=תקופת_ההלוואה,IF(ROW()-ROW(הפחתה[[#Headers],[תאריך]])=1,LoanStart,IF(I184&gt;0,EDATE(C184,1),"")),""),"")</f>
        <v>50891</v>
      </c>
      <c r="D185" s="13">
        <f>IF(ROW()-ROW(הפחתה[[#Headers],[יתרת פתיחה]])=1,סכום_הלוואה,IF(הפחתה[[#This Row],[תאריך]]="",0,INDEX(הפחתה[], ROW()-4,8)))</f>
        <v>411609.95750930387</v>
      </c>
      <c r="E185" s="13">
        <f>IF(ValuesEntered,IF(ROW()-ROW(הפחתה[[#Headers],[ריבית]])=1,-IPMT(שיעור_ריבית/12,1,תקופת_ההלוואה-ROWS($C$4:C185)+1,הפחתה[[#This Row],[יתרת פתיחה]]),IFERROR(-IPMT(שיעור_ריבית/12,1,הפחתה[[#This Row],[תשלומים
שנותרו]],D186),0)),0)</f>
        <v>1811.2576582848048</v>
      </c>
      <c r="F185" s="13">
        <f>IFERROR(IF(AND(ValuesEntered,הפחתה[[#This Row],[תאריך]]&lt;&gt;""),-PPMT(שיעור_ריבית/12,1,תקופת_ההלוואה-ROWS($C$4:C185)+1,הפחתה[[#This Row],[יתרת פתיחה]]),""),0)</f>
        <v>1513.8839353857938</v>
      </c>
      <c r="G185" s="13">
        <f>(הפחתה[[#This Row],[יתרת פתיחה]])*(מדד/12)</f>
        <v>0</v>
      </c>
      <c r="H185" s="13">
        <f>IF(הפחתה[[#This Row],[תאריך]]="",0,הפחתה[[#This Row],[ריבית]]+הפחתה[[#This Row],[קרן]]+הפחתה[[#This Row],[מדד]])</f>
        <v>3325.1415936705989</v>
      </c>
      <c r="I185" s="13">
        <f>IF(הפחתה[[#This Row],[תאריך]]="",0,הפחתה[[#This Row],[יתרת פתיחה]]-הפחתה[[#This Row],[קרן]]+הפחתה[[#This Row],[מדד]])</f>
        <v>410096.07357391808</v>
      </c>
      <c r="J185" s="11">
        <f>IF(הפחתה[[#This Row],[יתרת
סגירה]]&gt;0,LastRow-ROW(),0)</f>
        <v>178</v>
      </c>
      <c r="K185" s="11">
        <f>ROWS($K$4:K185)</f>
        <v>182</v>
      </c>
      <c r="L185" s="12">
        <f>IF(ValuesEntered2,IF(הפחתה5[[#This Row],[מס'']]&lt;=תקופת_ההלוואה2,IF(ROW()-ROW(הפחתה5[[#Headers],[תאריך]])=1,LoanStart2,IF(R184&gt;0,EDATE(L184,1),"")),""),"")</f>
        <v>50891</v>
      </c>
      <c r="M185" s="13">
        <f>IF(ROW()-ROW(הפחתה5[[#Headers],[יתרת פתיחה]])=1,סכום_הלוואה2,IF(הפחתה5[[#This Row],[תאריך]]="",0,INDEX(הפחתה5[], ROW()-4,8)))</f>
        <v>161617.19461635326</v>
      </c>
      <c r="N185" s="13">
        <f>IF(ValuesEntered2,IF(ROW()-ROW(הפחתה5[[#Headers],[ריבית]])=1,-IPMT(שיעור_ריבית2/12,1,תקופת_ההלוואה2-ROWS($L$4:L185)+1,הפחתה5[[#This Row],[יתרת פתיחה]]),IFERROR(-IPMT(שיעור_ריבית2/12,1,הפחתה5[[#This Row],[תשלומים
שנותרו]],M186),0)),0)</f>
        <v>628.8147996169937</v>
      </c>
      <c r="O185" s="13">
        <f>IFERROR(IF(AND(ValuesEntered2,הפחתה5[[#This Row],[תאריך]]&lt;&gt;""),-PPMT(שיעור_ריבית2/12,1,תקופת_ההלוואה2-ROWS($L$4:L185)+1,הפחתה5[[#This Row],[יתרת פתיחה]]),""),0)</f>
        <v>1068.7351396740089</v>
      </c>
      <c r="P185" s="13">
        <f>(הפחתה5[[#This Row],[יתרת פתיחה]])*(מדד2/12)</f>
        <v>0</v>
      </c>
      <c r="Q185" s="13">
        <f>IF(הפחתה5[[#This Row],[תאריך]]="",0,הפחתה5[[#This Row],[ריבית]]+הפחתה5[[#This Row],[קרן]]+הפחתה5[[#This Row],[מדד]])</f>
        <v>1697.5499392910026</v>
      </c>
      <c r="R185" s="13">
        <f>IF(הפחתה5[[#This Row],[תאריך]]="",0,הפחתה5[[#This Row],[יתרת פתיחה]]-הפחתה5[[#This Row],[קרן]]+הפחתה5[[#This Row],[מדד]])</f>
        <v>160548.45947667924</v>
      </c>
      <c r="S185" s="11">
        <f>IF(הפחתה5[[#This Row],[יתרת
סגירה]]&gt;0,LastRow2-ROW(),0)</f>
        <v>118</v>
      </c>
      <c r="T185" s="11">
        <f>ROWS($T$4:T185)</f>
        <v>182</v>
      </c>
      <c r="U185" s="12">
        <f ca="1">IF(ValuesEntered3,IF(הפחתה7[[#This Row],[מס'']]&lt;=תקופת_ההלוואה3,IF(ROW()-ROW(הפחתה7[[#Headers],[תאריך]])=1,LoanStart3,IF(AA184&gt;0,EDATE(U184,1),"")),""),"")</f>
        <v>51129</v>
      </c>
      <c r="V185" s="13">
        <f ca="1">IF(ROW()-ROW(הפחתה7[[#Headers],[יתרת פתיחה]])=1,סכום_הלוואה3,IF(הפחתה7[[#This Row],[תאריך]]="",0,INDEX(הפחתה7[], ROW()-4,8)))</f>
        <v>63113.953314375794</v>
      </c>
      <c r="W185" s="13">
        <f ca="1">IF(ValuesEntered3,IF(ROW()-ROW(הפחתה7[[#Headers],[ריבית]])=1,-IPMT(שיעור_ריבית3/12,1,תקופת_ההלוואה3-ROWS($C$4:U185)+1,הפחתה7[[#This Row],[יתרת פתיחה]]),IFERROR(-IPMT(שיעור_ריבית3/12,1,הפחתה7[[#This Row],[תשלומים
שנותרו]],V186),0)),0)</f>
        <v>120.26403860420481</v>
      </c>
      <c r="X185" s="13">
        <f ca="1">IFERROR(IF(AND(ValuesEntered3,הפחתה7[[#This Row],[תאריך]]&lt;&gt;""),-PPMT(שיעור_ריבית3/12,1,תקופת_ההלוואה3-ROWS($C$4:U185)+1,הפחתה7[[#This Row],[יתרת פתיחה]]),""),0)</f>
        <v>472.68831263347084</v>
      </c>
      <c r="Y185" s="13">
        <f ca="1">(הפחתה7[[#This Row],[יתרת פתיחה]])*(מדד3/12)</f>
        <v>105.18992219062633</v>
      </c>
      <c r="Z185" s="13">
        <f ca="1">IF(הפחתה7[[#This Row],[תאריך]]="",0,הפחתה7[[#This Row],[ריבית]]+הפחתה7[[#This Row],[קרן]]+הפחתה7[[#This Row],[מדד]])</f>
        <v>698.14227342830202</v>
      </c>
      <c r="AA185" s="13">
        <f ca="1">IF(הפחתה7[[#This Row],[תאריך]]="",0,הפחתה7[[#This Row],[יתרת פתיחה]]-הפחתה7[[#This Row],[קרן]]+הפחתה7[[#This Row],[מדד]])</f>
        <v>62746.45492393295</v>
      </c>
      <c r="AB185" s="11">
        <f ca="1">IF(הפחתה7[[#This Row],[יתרת
סגירה]]&gt;0,LastRow3-ROW(),0)</f>
        <v>118</v>
      </c>
      <c r="AC185" s="17">
        <f>ROWS($AC$4:AC185)</f>
        <v>182</v>
      </c>
      <c r="AD185" s="18" t="str">
        <f ca="1">IF(ValuesEntered4,IF(הפחתה8[[#This Row],[מס'']]&lt;=תקופת_ההלוואה4,IF(ROW()-ROW(הפחתה8[[#Headers],[תאריך]])=1,LoanStart4,IF(AJ184&gt;0,EDATE(AD184,1),"")),""),"")</f>
        <v/>
      </c>
      <c r="AE185" s="19">
        <f ca="1">IF(ROW()-ROW(הפחתה8[[#Headers],[יתרת פתיחה]])=1,סכום_הלוואה4,IF(הפחתה8[[#This Row],[תאריך]]="",0,INDEX(הפחתה8[], ROW()-4,8)))</f>
        <v>0</v>
      </c>
      <c r="AF185" s="19">
        <f ca="1">IF(ValuesEntered4,IF(ROW()-ROW(הפחתה8[[#Headers],[ריבית]])=1,-IPMT(שיעור_ריבית4/12,1,תקופת_ההלוואה4-ROWS($C$4:AD185)+1,הפחתה8[[#This Row],[יתרת פתיחה]]),IFERROR(-IPMT(שיעור_ריבית4/12,1,הפחתה8[[#This Row],[תשלומים
שנותרו]],AE186),0)),0)</f>
        <v>0</v>
      </c>
      <c r="AG185" s="19" t="str">
        <f ca="1">IFERROR(IF(AND(ValuesEntered4,הפחתה8[[#This Row],[תאריך]]&lt;&gt;""),-PPMT(שיעור_ריבית4/12,1,תקופת_ההלוואה4-ROWS($C$4:AD185)+1,הפחתה8[[#This Row],[יתרת פתיחה]]),""),0)</f>
        <v/>
      </c>
      <c r="AH185" s="19">
        <f ca="1">(הפחתה8[[#This Row],[יתרת פתיחה]])*(מדד4/12)</f>
        <v>0</v>
      </c>
      <c r="AI185" s="19">
        <f ca="1">IF(הפחתה8[[#This Row],[תאריך]]="",0,הפחתה8[[#This Row],[ריבית]]+הפחתה8[[#This Row],[קרן]]+הפחתה8[[#This Row],[מדד]])</f>
        <v>0</v>
      </c>
      <c r="AJ185" s="19">
        <f ca="1">IF(הפחתה8[[#This Row],[תאריך]]="",0,הפחתה8[[#This Row],[יתרת פתיחה]]-הפחתה8[[#This Row],[קרן]])</f>
        <v>0</v>
      </c>
      <c r="AK185" s="20">
        <f ca="1">IF(הפחתה8[[#This Row],[יתרת
סגירה]]&gt;0,LastRow4-ROW(),0)</f>
        <v>0</v>
      </c>
    </row>
    <row r="186" spans="1:37" ht="15" customHeight="1" x14ac:dyDescent="0.25">
      <c r="A186" s="8"/>
      <c r="B186" s="11">
        <f>ROWS($B$4:B186)</f>
        <v>183</v>
      </c>
      <c r="C186" s="12">
        <f>IF(ValuesEntered,IF(הפחתה[[#This Row],[מס'']]&lt;=תקופת_ההלוואה,IF(ROW()-ROW(הפחתה[[#Headers],[תאריך]])=1,LoanStart,IF(I185&gt;0,EDATE(C185,1),"")),""),"")</f>
        <v>50922</v>
      </c>
      <c r="D186" s="13">
        <f>IF(ROW()-ROW(הפחתה[[#Headers],[יתרת פתיחה]])=1,סכום_הלוואה,IF(הפחתה[[#This Row],[תאריך]]="",0,INDEX(הפחתה[], ROW()-4,8)))</f>
        <v>410096.07357391808</v>
      </c>
      <c r="E186" s="13">
        <f>IF(ValuesEntered,IF(ROW()-ROW(הפחתה[[#Headers],[ריבית]])=1,-IPMT(שיעור_ריבית/12,1,תקופת_ההלוואה-ROWS($C$4:C186)+1,הפחתה[[#This Row],[יתרת פתיחה]]),IFERROR(-IPMT(שיעור_ריבית/12,1,הפחתה[[#This Row],[תשלומים
שנותרו]],D187),0)),0)</f>
        <v>1804.5418063203615</v>
      </c>
      <c r="F186" s="13">
        <f>IFERROR(IF(AND(ValuesEntered,הפחתה[[#This Row],[תאריך]]&lt;&gt;""),-PPMT(שיעור_ריבית/12,1,תקופת_ההלוואה-ROWS($C$4:C186)+1,הפחתה[[#This Row],[יתרת פתיחה]]),""),0)</f>
        <v>1520.5702561004143</v>
      </c>
      <c r="G186" s="13">
        <f>(הפחתה[[#This Row],[יתרת פתיחה]])*(מדד/12)</f>
        <v>0</v>
      </c>
      <c r="H186" s="13">
        <f>IF(הפחתה[[#This Row],[תאריך]]="",0,הפחתה[[#This Row],[ריבית]]+הפחתה[[#This Row],[קרן]]+הפחתה[[#This Row],[מדד]])</f>
        <v>3325.1120624207761</v>
      </c>
      <c r="I186" s="13">
        <f>IF(הפחתה[[#This Row],[תאריך]]="",0,הפחתה[[#This Row],[יתרת פתיחה]]-הפחתה[[#This Row],[קרן]]+הפחתה[[#This Row],[מדד]])</f>
        <v>408575.5033178177</v>
      </c>
      <c r="J186" s="11">
        <f>IF(הפחתה[[#This Row],[יתרת
סגירה]]&gt;0,LastRow-ROW(),0)</f>
        <v>177</v>
      </c>
      <c r="K186" s="11">
        <f>ROWS($K$4:K186)</f>
        <v>183</v>
      </c>
      <c r="L186" s="12">
        <f>IF(ValuesEntered2,IF(הפחתה5[[#This Row],[מס'']]&lt;=תקופת_ההלוואה2,IF(ROW()-ROW(הפחתה5[[#Headers],[תאריך]])=1,LoanStart2,IF(R185&gt;0,EDATE(L185,1),"")),""),"")</f>
        <v>50922</v>
      </c>
      <c r="M186" s="13">
        <f>IF(ROW()-ROW(הפחתה5[[#Headers],[יתרת פתיחה]])=1,סכום_הלוואה2,IF(הפחתה5[[#This Row],[תאריך]]="",0,INDEX(הפחתה5[], ROW()-4,8)))</f>
        <v>160548.45947667924</v>
      </c>
      <c r="N186" s="13">
        <f>IF(ValuesEntered2,IF(ROW()-ROW(הפחתה5[[#Headers],[ריבית]])=1,-IPMT(שיעור_ריבית2/12,1,תקופת_ההלוואה2-ROWS($L$4:L186)+1,הפחתה5[[#This Row],[יתרת פתיחה]]),IFERROR(-IPMT(שיעור_ריבית2/12,1,הפחתה5[[#This Row],[תשלומים
שנותרו]],M187),0)),0)</f>
        <v>624.61252562602363</v>
      </c>
      <c r="O186" s="13">
        <f>IFERROR(IF(AND(ValuesEntered2,הפחתה5[[#This Row],[תאריך]]&lt;&gt;""),-PPMT(שיעור_ריבית2/12,1,תקופת_ההלוואה2-ROWS($L$4:L186)+1,הפחתה5[[#This Row],[יתרת פתיחה]]),""),0)</f>
        <v>1072.9210189710655</v>
      </c>
      <c r="P186" s="13">
        <f>(הפחתה5[[#This Row],[יתרת פתיחה]])*(מדד2/12)</f>
        <v>0</v>
      </c>
      <c r="Q186" s="13">
        <f>IF(הפחתה5[[#This Row],[תאריך]]="",0,הפחתה5[[#This Row],[ריבית]]+הפחתה5[[#This Row],[קרן]]+הפחתה5[[#This Row],[מדד]])</f>
        <v>1697.5335445970891</v>
      </c>
      <c r="R186" s="13">
        <f>IF(הפחתה5[[#This Row],[תאריך]]="",0,הפחתה5[[#This Row],[יתרת פתיחה]]-הפחתה5[[#This Row],[קרן]]+הפחתה5[[#This Row],[מדד]])</f>
        <v>159475.53845770817</v>
      </c>
      <c r="S186" s="11">
        <f>IF(הפחתה5[[#This Row],[יתרת
סגירה]]&gt;0,LastRow2-ROW(),0)</f>
        <v>117</v>
      </c>
      <c r="T186" s="11">
        <f>ROWS($T$4:T186)</f>
        <v>183</v>
      </c>
      <c r="U186" s="12">
        <f ca="1">IF(ValuesEntered3,IF(הפחתה7[[#This Row],[מס'']]&lt;=תקופת_ההלוואה3,IF(ROW()-ROW(הפחתה7[[#Headers],[תאריך]])=1,LoanStart3,IF(AA185&gt;0,EDATE(U185,1),"")),""),"")</f>
        <v>51160</v>
      </c>
      <c r="V186" s="13">
        <f ca="1">IF(ROW()-ROW(הפחתה7[[#Headers],[יתרת פתיחה]])=1,סכום_הלוואה3,IF(הפחתה7[[#This Row],[תאריך]]="",0,INDEX(הפחתה7[], ROW()-4,8)))</f>
        <v>62746.45492393295</v>
      </c>
      <c r="W186" s="13">
        <f ca="1">IF(ValuesEntered3,IF(ROW()-ROW(הפחתה7[[#Headers],[ריבית]])=1,-IPMT(שיעור_ריבית3/12,1,תקופת_ההלוואה3-ROWS($C$4:U186)+1,הפחתה7[[#This Row],[יתרת פתיחה]]),IFERROR(-IPMT(שיעור_ריבית3/12,1,הפחתה7[[#This Row],[תשלומים
שנותרו]],V187),0)),0)</f>
        <v>119.55523197622674</v>
      </c>
      <c r="X186" s="13">
        <f ca="1">IFERROR(IF(AND(ValuesEntered3,הפחתה7[[#This Row],[תאריך]]&lt;&gt;""),-PPMT(שיעור_ריבית3/12,1,תקופת_ההלוואה3-ROWS($C$4:U186)+1,הפחתה7[[#This Row],[יתרת פתיחה]]),""),0)</f>
        <v>474.3895786009075</v>
      </c>
      <c r="Y186" s="13">
        <f ca="1">(הפחתה7[[#This Row],[יתרת פתיחה]])*(מדד3/12)</f>
        <v>104.57742487322159</v>
      </c>
      <c r="Z186" s="13">
        <f ca="1">IF(הפחתה7[[#This Row],[תאריך]]="",0,הפחתה7[[#This Row],[ריבית]]+הפחתה7[[#This Row],[קרן]]+הפחתה7[[#This Row],[מדד]])</f>
        <v>698.52223545035588</v>
      </c>
      <c r="AA186" s="13">
        <f ca="1">IF(הפחתה7[[#This Row],[תאריך]]="",0,הפחתה7[[#This Row],[יתרת פתיחה]]-הפחתה7[[#This Row],[קרן]]+הפחתה7[[#This Row],[מדד]])</f>
        <v>62376.642770205261</v>
      </c>
      <c r="AB186" s="11">
        <f ca="1">IF(הפחתה7[[#This Row],[יתרת
סגירה]]&gt;0,LastRow3-ROW(),0)</f>
        <v>117</v>
      </c>
      <c r="AC186" s="17">
        <f>ROWS($AC$4:AC186)</f>
        <v>183</v>
      </c>
      <c r="AD186" s="18" t="str">
        <f ca="1">IF(ValuesEntered4,IF(הפחתה8[[#This Row],[מס'']]&lt;=תקופת_ההלוואה4,IF(ROW()-ROW(הפחתה8[[#Headers],[תאריך]])=1,LoanStart4,IF(AJ185&gt;0,EDATE(AD185,1),"")),""),"")</f>
        <v/>
      </c>
      <c r="AE186" s="19">
        <f ca="1">IF(ROW()-ROW(הפחתה8[[#Headers],[יתרת פתיחה]])=1,סכום_הלוואה4,IF(הפחתה8[[#This Row],[תאריך]]="",0,INDEX(הפחתה8[], ROW()-4,8)))</f>
        <v>0</v>
      </c>
      <c r="AF186" s="19">
        <f ca="1">IF(ValuesEntered4,IF(ROW()-ROW(הפחתה8[[#Headers],[ריבית]])=1,-IPMT(שיעור_ריבית4/12,1,תקופת_ההלוואה4-ROWS($C$4:AD186)+1,הפחתה8[[#This Row],[יתרת פתיחה]]),IFERROR(-IPMT(שיעור_ריבית4/12,1,הפחתה8[[#This Row],[תשלומים
שנותרו]],AE187),0)),0)</f>
        <v>0</v>
      </c>
      <c r="AG186" s="19" t="str">
        <f ca="1">IFERROR(IF(AND(ValuesEntered4,הפחתה8[[#This Row],[תאריך]]&lt;&gt;""),-PPMT(שיעור_ריבית4/12,1,תקופת_ההלוואה4-ROWS($C$4:AD186)+1,הפחתה8[[#This Row],[יתרת פתיחה]]),""),0)</f>
        <v/>
      </c>
      <c r="AH186" s="19">
        <f ca="1">(הפחתה8[[#This Row],[יתרת פתיחה]])*(מדד4/12)</f>
        <v>0</v>
      </c>
      <c r="AI186" s="19">
        <f ca="1">IF(הפחתה8[[#This Row],[תאריך]]="",0,הפחתה8[[#This Row],[ריבית]]+הפחתה8[[#This Row],[קרן]]+הפחתה8[[#This Row],[מדד]])</f>
        <v>0</v>
      </c>
      <c r="AJ186" s="19">
        <f ca="1">IF(הפחתה8[[#This Row],[תאריך]]="",0,הפחתה8[[#This Row],[יתרת פתיחה]]-הפחתה8[[#This Row],[קרן]])</f>
        <v>0</v>
      </c>
      <c r="AK186" s="20">
        <f ca="1">IF(הפחתה8[[#This Row],[יתרת
סגירה]]&gt;0,LastRow4-ROW(),0)</f>
        <v>0</v>
      </c>
    </row>
    <row r="187" spans="1:37" ht="15" customHeight="1" x14ac:dyDescent="0.25">
      <c r="A187" s="8"/>
      <c r="B187" s="11">
        <f>ROWS($B$4:B187)</f>
        <v>184</v>
      </c>
      <c r="C187" s="12">
        <f>IF(ValuesEntered,IF(הפחתה[[#This Row],[מס'']]&lt;=תקופת_ההלוואה,IF(ROW()-ROW(הפחתה[[#Headers],[תאריך]])=1,LoanStart,IF(I186&gt;0,EDATE(C186,1),"")),""),"")</f>
        <v>50952</v>
      </c>
      <c r="D187" s="13">
        <f>IF(ROW()-ROW(הפחתה[[#Headers],[יתרת פתיחה]])=1,סכום_הלוואה,IF(הפחתה[[#This Row],[תאריך]]="",0,INDEX(הפחתה[], ROW()-4,8)))</f>
        <v>408575.5033178177</v>
      </c>
      <c r="E187" s="13">
        <f>IF(ValuesEntered,IF(ROW()-ROW(הפחתה[[#Headers],[ריבית]])=1,-IPMT(שיעור_ריבית/12,1,תקופת_ההלוואה-ROWS($C$4:C187)+1,הפחתה[[#This Row],[יתרת פתיחה]]),IFERROR(-IPMT(שיעור_ריבית/12,1,הפחתה[[#This Row],[תשלומים
שנותרו]],D188),0)),0)</f>
        <v>1797.7962926764085</v>
      </c>
      <c r="F187" s="13">
        <f>IFERROR(IF(AND(ValuesEntered,הפחתה[[#This Row],[תאריך]]&lt;&gt;""),-PPMT(שיעור_ריבית/12,1,תקופת_ההלוואה-ROWS($C$4:C187)+1,הפחתה[[#This Row],[יתרת פתיחה]]),""),0)</f>
        <v>1527.2861080648581</v>
      </c>
      <c r="G187" s="13">
        <f>(הפחתה[[#This Row],[יתרת פתיחה]])*(מדד/12)</f>
        <v>0</v>
      </c>
      <c r="H187" s="13">
        <f>IF(הפחתה[[#This Row],[תאריך]]="",0,הפחתה[[#This Row],[ריבית]]+הפחתה[[#This Row],[קרן]]+הפחתה[[#This Row],[מדד]])</f>
        <v>3325.0824007412666</v>
      </c>
      <c r="I187" s="13">
        <f>IF(הפחתה[[#This Row],[תאריך]]="",0,הפחתה[[#This Row],[יתרת פתיחה]]-הפחתה[[#This Row],[קרן]]+הפחתה[[#This Row],[מדד]])</f>
        <v>407048.21720975282</v>
      </c>
      <c r="J187" s="11">
        <f>IF(הפחתה[[#This Row],[יתרת
סגירה]]&gt;0,LastRow-ROW(),0)</f>
        <v>176</v>
      </c>
      <c r="K187" s="11">
        <f>ROWS($K$4:K187)</f>
        <v>184</v>
      </c>
      <c r="L187" s="12">
        <f>IF(ValuesEntered2,IF(הפחתה5[[#This Row],[מס'']]&lt;=תקופת_ההלוואה2,IF(ROW()-ROW(הפחתה5[[#Headers],[תאריך]])=1,LoanStart2,IF(R186&gt;0,EDATE(L186,1),"")),""),"")</f>
        <v>50952</v>
      </c>
      <c r="M187" s="13">
        <f>IF(ROW()-ROW(הפחתה5[[#Headers],[יתרת פתיחה]])=1,סכום_הלוואה2,IF(הפחתה5[[#This Row],[תאריך]]="",0,INDEX(הפחתה5[], ROW()-4,8)))</f>
        <v>159475.53845770817</v>
      </c>
      <c r="N187" s="13">
        <f>IF(ValuesEntered2,IF(ROW()-ROW(הפחתה5[[#Headers],[ריבית]])=1,-IPMT(שיעור_ריבית2/12,1,תקופת_ההלוואה2-ROWS($L$4:L187)+1,הפחתה5[[#This Row],[יתרת פתיחה]]),IFERROR(-IPMT(שיעור_ריבית2/12,1,הפחתה5[[#This Row],[תשלומים
שנותרו]],M188),0)),0)</f>
        <v>620.39379272858901</v>
      </c>
      <c r="O187" s="13">
        <f>IFERROR(IF(AND(ValuesEntered2,הפחתה5[[#This Row],[תאריך]]&lt;&gt;""),-PPMT(שיעור_ריבית2/12,1,תקופת_ההלוואה2-ROWS($L$4:L187)+1,הפחתה5[[#This Row],[יתרת פתיחה]]),""),0)</f>
        <v>1077.1232929620355</v>
      </c>
      <c r="P187" s="13">
        <f>(הפחתה5[[#This Row],[יתרת פתיחה]])*(מדד2/12)</f>
        <v>0</v>
      </c>
      <c r="Q187" s="13">
        <f>IF(הפחתה5[[#This Row],[תאריך]]="",0,הפחתה5[[#This Row],[ריבית]]+הפחתה5[[#This Row],[קרן]]+הפחתה5[[#This Row],[מדד]])</f>
        <v>1697.5170856906245</v>
      </c>
      <c r="R187" s="13">
        <f>IF(הפחתה5[[#This Row],[תאריך]]="",0,הפחתה5[[#This Row],[יתרת פתיחה]]-הפחתה5[[#This Row],[קרן]]+הפחתה5[[#This Row],[מדד]])</f>
        <v>158398.41516474614</v>
      </c>
      <c r="S187" s="11">
        <f>IF(הפחתה5[[#This Row],[יתרת
סגירה]]&gt;0,LastRow2-ROW(),0)</f>
        <v>116</v>
      </c>
      <c r="T187" s="11">
        <f>ROWS($T$4:T187)</f>
        <v>184</v>
      </c>
      <c r="U187" s="12">
        <f ca="1">IF(ValuesEntered3,IF(הפחתה7[[#This Row],[מס'']]&lt;=תקופת_ההלוואה3,IF(ROW()-ROW(הפחתה7[[#Headers],[תאריך]])=1,LoanStart3,IF(AA186&gt;0,EDATE(U186,1),"")),""),"")</f>
        <v>51191</v>
      </c>
      <c r="V187" s="13">
        <f ca="1">IF(ROW()-ROW(הפחתה7[[#Headers],[יתרת פתיחה]])=1,סכום_הלוואה3,IF(הפחתה7[[#This Row],[תאריך]]="",0,INDEX(הפחתה7[], ROW()-4,8)))</f>
        <v>62376.642770205261</v>
      </c>
      <c r="W187" s="13">
        <f ca="1">IF(ValuesEntered3,IF(ROW()-ROW(הפחתה7[[#Headers],[ריבית]])=1,-IPMT(שיעור_ריבית3/12,1,תקופת_ההלוואה3-ROWS($C$4:U187)+1,הפחתה7[[#This Row],[יתרת פתיחה]]),IFERROR(-IPMT(שיעור_ריבית3/12,1,הפחתה7[[#This Row],[תשלומים
שנותרו]],V188),0)),0)</f>
        <v>118.8419713987969</v>
      </c>
      <c r="X187" s="13">
        <f ca="1">IFERROR(IF(AND(ValuesEntered3,הפחתה7[[#This Row],[תאריך]]&lt;&gt;""),-PPMT(שיעור_ריבית3/12,1,תקופת_ההלוואה3-ROWS($C$4:U187)+1,הפחתה7[[#This Row],[יתרת פתיחה]]),""),0)</f>
        <v>476.0970247253274</v>
      </c>
      <c r="Y187" s="13">
        <f ca="1">(הפחתה7[[#This Row],[יתרת פתיחה]])*(מדד3/12)</f>
        <v>103.96107128367544</v>
      </c>
      <c r="Z187" s="13">
        <f ca="1">IF(הפחתה7[[#This Row],[תאריך]]="",0,הפחתה7[[#This Row],[ריבית]]+הפחתה7[[#This Row],[קרן]]+הפחתה7[[#This Row],[מדד]])</f>
        <v>698.90006740779972</v>
      </c>
      <c r="AA187" s="13">
        <f ca="1">IF(הפחתה7[[#This Row],[תאריך]]="",0,הפחתה7[[#This Row],[יתרת פתיחה]]-הפחתה7[[#This Row],[קרן]]+הפחתה7[[#This Row],[מדד]])</f>
        <v>62004.506816763605</v>
      </c>
      <c r="AB187" s="11">
        <f ca="1">IF(הפחתה7[[#This Row],[יתרת
סגירה]]&gt;0,LastRow3-ROW(),0)</f>
        <v>116</v>
      </c>
      <c r="AC187" s="17">
        <f>ROWS($AC$4:AC187)</f>
        <v>184</v>
      </c>
      <c r="AD187" s="18" t="str">
        <f ca="1">IF(ValuesEntered4,IF(הפחתה8[[#This Row],[מס'']]&lt;=תקופת_ההלוואה4,IF(ROW()-ROW(הפחתה8[[#Headers],[תאריך]])=1,LoanStart4,IF(AJ186&gt;0,EDATE(AD186,1),"")),""),"")</f>
        <v/>
      </c>
      <c r="AE187" s="19">
        <f ca="1">IF(ROW()-ROW(הפחתה8[[#Headers],[יתרת פתיחה]])=1,סכום_הלוואה4,IF(הפחתה8[[#This Row],[תאריך]]="",0,INDEX(הפחתה8[], ROW()-4,8)))</f>
        <v>0</v>
      </c>
      <c r="AF187" s="19">
        <f ca="1">IF(ValuesEntered4,IF(ROW()-ROW(הפחתה8[[#Headers],[ריבית]])=1,-IPMT(שיעור_ריבית4/12,1,תקופת_ההלוואה4-ROWS($C$4:AD187)+1,הפחתה8[[#This Row],[יתרת פתיחה]]),IFERROR(-IPMT(שיעור_ריבית4/12,1,הפחתה8[[#This Row],[תשלומים
שנותרו]],AE188),0)),0)</f>
        <v>0</v>
      </c>
      <c r="AG187" s="19" t="str">
        <f ca="1">IFERROR(IF(AND(ValuesEntered4,הפחתה8[[#This Row],[תאריך]]&lt;&gt;""),-PPMT(שיעור_ריבית4/12,1,תקופת_ההלוואה4-ROWS($C$4:AD187)+1,הפחתה8[[#This Row],[יתרת פתיחה]]),""),0)</f>
        <v/>
      </c>
      <c r="AH187" s="19">
        <f ca="1">(הפחתה8[[#This Row],[יתרת פתיחה]])*(מדד4/12)</f>
        <v>0</v>
      </c>
      <c r="AI187" s="19">
        <f ca="1">IF(הפחתה8[[#This Row],[תאריך]]="",0,הפחתה8[[#This Row],[ריבית]]+הפחתה8[[#This Row],[קרן]]+הפחתה8[[#This Row],[מדד]])</f>
        <v>0</v>
      </c>
      <c r="AJ187" s="19">
        <f ca="1">IF(הפחתה8[[#This Row],[תאריך]]="",0,הפחתה8[[#This Row],[יתרת פתיחה]]-הפחתה8[[#This Row],[קרן]])</f>
        <v>0</v>
      </c>
      <c r="AK187" s="20">
        <f ca="1">IF(הפחתה8[[#This Row],[יתרת
סגירה]]&gt;0,LastRow4-ROW(),0)</f>
        <v>0</v>
      </c>
    </row>
    <row r="188" spans="1:37" ht="15" customHeight="1" x14ac:dyDescent="0.25">
      <c r="A188" s="8"/>
      <c r="B188" s="11">
        <f>ROWS($B$4:B188)</f>
        <v>185</v>
      </c>
      <c r="C188" s="12">
        <f>IF(ValuesEntered,IF(הפחתה[[#This Row],[מס'']]&lt;=תקופת_ההלוואה,IF(ROW()-ROW(הפחתה[[#Headers],[תאריך]])=1,LoanStart,IF(I187&gt;0,EDATE(C187,1),"")),""),"")</f>
        <v>50983</v>
      </c>
      <c r="D188" s="13">
        <f>IF(ROW()-ROW(הפחתה[[#Headers],[יתרת פתיחה]])=1,סכום_הלוואה,IF(הפחתה[[#This Row],[תאריך]]="",0,INDEX(הפחתה[], ROW()-4,8)))</f>
        <v>407048.21720975282</v>
      </c>
      <c r="E188" s="13">
        <f>IF(ValuesEntered,IF(ROW()-ROW(הפחתה[[#Headers],[ריבית]])=1,-IPMT(שיעור_ריבית/12,1,תקופת_ההלוואה-ROWS($C$4:C188)+1,הפחתה[[#This Row],[יתרת פתיחה]]),IFERROR(-IPMT(שיעור_ריבית/12,1,הפחתה[[#This Row],[תשלומים
שנותרו]],D189),0)),0)</f>
        <v>1791.0209863471944</v>
      </c>
      <c r="F188" s="13">
        <f>IFERROR(IF(AND(ValuesEntered,הפחתה[[#This Row],[תאריך]]&lt;&gt;""),-PPMT(שיעור_ריבית/12,1,תקופת_ההלוואה-ROWS($C$4:C188)+1,הפחתה[[#This Row],[יתרת פתיחה]]),""),0)</f>
        <v>1534.0316217088116</v>
      </c>
      <c r="G188" s="13">
        <f>(הפחתה[[#This Row],[יתרת פתיחה]])*(מדד/12)</f>
        <v>0</v>
      </c>
      <c r="H188" s="13">
        <f>IF(הפחתה[[#This Row],[תאריך]]="",0,הפחתה[[#This Row],[ריבית]]+הפחתה[[#This Row],[קרן]]+הפחתה[[#This Row],[מדד]])</f>
        <v>3325.0526080560057</v>
      </c>
      <c r="I188" s="13">
        <f>IF(הפחתה[[#This Row],[תאריך]]="",0,הפחתה[[#This Row],[יתרת פתיחה]]-הפחתה[[#This Row],[קרן]]+הפחתה[[#This Row],[מדד]])</f>
        <v>405514.185588044</v>
      </c>
      <c r="J188" s="11">
        <f>IF(הפחתה[[#This Row],[יתרת
סגירה]]&gt;0,LastRow-ROW(),0)</f>
        <v>175</v>
      </c>
      <c r="K188" s="11">
        <f>ROWS($K$4:K188)</f>
        <v>185</v>
      </c>
      <c r="L188" s="12">
        <f>IF(ValuesEntered2,IF(הפחתה5[[#This Row],[מס'']]&lt;=תקופת_ההלוואה2,IF(ROW()-ROW(הפחתה5[[#Headers],[תאריך]])=1,LoanStart2,IF(R187&gt;0,EDATE(L187,1),"")),""),"")</f>
        <v>50983</v>
      </c>
      <c r="M188" s="13">
        <f>IF(ROW()-ROW(הפחתה5[[#Headers],[יתרת פתיחה]])=1,סכום_הלוואה2,IF(הפחתה5[[#This Row],[תאריך]]="",0,INDEX(הפחתה5[], ROW()-4,8)))</f>
        <v>158398.41516474614</v>
      </c>
      <c r="N188" s="13">
        <f>IF(ValuesEntered2,IF(ROW()-ROW(הפחתה5[[#Headers],[ריבית]])=1,-IPMT(שיעור_ריבית2/12,1,תקופת_ההלוואה2-ROWS($L$4:L188)+1,הפחתה5[[#This Row],[יתרת פתיחה]]),IFERROR(-IPMT(שיעור_ריבית2/12,1,הפחתה5[[#This Row],[תשלומים
שנותרו]],M189),0)),0)</f>
        <v>616.15853646063943</v>
      </c>
      <c r="O188" s="13">
        <f>IFERROR(IF(AND(ValuesEntered2,הפחתה5[[#This Row],[תאריך]]&lt;&gt;""),-PPMT(שיעור_ריבית2/12,1,תקופת_ההלוואה2-ROWS($L$4:L188)+1,הפחתה5[[#This Row],[יתרת פתיחה]]),""),0)</f>
        <v>1081.3420258594701</v>
      </c>
      <c r="P188" s="13">
        <f>(הפחתה5[[#This Row],[יתרת פתיחה]])*(מדד2/12)</f>
        <v>0</v>
      </c>
      <c r="Q188" s="13">
        <f>IF(הפחתה5[[#This Row],[תאריך]]="",0,הפחתה5[[#This Row],[ריבית]]+הפחתה5[[#This Row],[קרן]]+הפחתה5[[#This Row],[מדד]])</f>
        <v>1697.5005623201096</v>
      </c>
      <c r="R188" s="13">
        <f>IF(הפחתה5[[#This Row],[תאריך]]="",0,הפחתה5[[#This Row],[יתרת פתיחה]]-הפחתה5[[#This Row],[קרן]]+הפחתה5[[#This Row],[מדד]])</f>
        <v>157317.07313888668</v>
      </c>
      <c r="S188" s="11">
        <f>IF(הפחתה5[[#This Row],[יתרת
סגירה]]&gt;0,LastRow2-ROW(),0)</f>
        <v>115</v>
      </c>
      <c r="T188" s="11">
        <f>ROWS($T$4:T188)</f>
        <v>185</v>
      </c>
      <c r="U188" s="12">
        <f ca="1">IF(ValuesEntered3,IF(הפחתה7[[#This Row],[מס'']]&lt;=תקופת_ההלוואה3,IF(ROW()-ROW(הפחתה7[[#Headers],[תאריך]])=1,LoanStart3,IF(AA187&gt;0,EDATE(U187,1),"")),""),"")</f>
        <v>51220</v>
      </c>
      <c r="V188" s="13">
        <f ca="1">IF(ROW()-ROW(הפחתה7[[#Headers],[יתרת פתיחה]])=1,סכום_הלוואה3,IF(הפחתה7[[#This Row],[תאריך]]="",0,INDEX(הפחתה7[], ROW()-4,8)))</f>
        <v>62004.506816763605</v>
      </c>
      <c r="W188" s="13">
        <f ca="1">IF(ValuesEntered3,IF(ROW()-ROW(הפחתה7[[#Headers],[ריבית]])=1,-IPMT(שיעור_ריבית3/12,1,תקופת_ההלוואה3-ROWS($C$4:U188)+1,הפחתה7[[#This Row],[יתרת פתיחה]]),IFERROR(-IPMT(שיעור_ריבית3/12,1,הפחתה7[[#This Row],[תשלומים
שנותרו]],V189),0)),0)</f>
        <v>118.1242375580439</v>
      </c>
      <c r="X188" s="13">
        <f ca="1">IFERROR(IF(AND(ValuesEntered3,הפחתה7[[#This Row],[תאריך]]&lt;&gt;""),-PPMT(שיעור_ריבית3/12,1,תקופת_ההלוואה3-ROWS($C$4:U188)+1,הפחתה7[[#This Row],[יתרת פתיחה]]),""),0)</f>
        <v>477.81067465269695</v>
      </c>
      <c r="Y188" s="13">
        <f ca="1">(הפחתה7[[#This Row],[יתרת פתיחה]])*(מדד3/12)</f>
        <v>103.34084469460602</v>
      </c>
      <c r="Z188" s="13">
        <f ca="1">IF(הפחתה7[[#This Row],[תאריך]]="",0,הפחתה7[[#This Row],[ריבית]]+הפחתה7[[#This Row],[קרן]]+הפחתה7[[#This Row],[מדד]])</f>
        <v>699.27575690534695</v>
      </c>
      <c r="AA188" s="13">
        <f ca="1">IF(הפחתה7[[#This Row],[תאריך]]="",0,הפחתה7[[#This Row],[יתרת פתיחה]]-הפחתה7[[#This Row],[קרן]]+הפחתה7[[#This Row],[מדד]])</f>
        <v>61630.036986805513</v>
      </c>
      <c r="AB188" s="11">
        <f ca="1">IF(הפחתה7[[#This Row],[יתרת
סגירה]]&gt;0,LastRow3-ROW(),0)</f>
        <v>115</v>
      </c>
      <c r="AC188" s="17">
        <f>ROWS($AC$4:AC188)</f>
        <v>185</v>
      </c>
      <c r="AD188" s="18" t="str">
        <f ca="1">IF(ValuesEntered4,IF(הפחתה8[[#This Row],[מס'']]&lt;=תקופת_ההלוואה4,IF(ROW()-ROW(הפחתה8[[#Headers],[תאריך]])=1,LoanStart4,IF(AJ187&gt;0,EDATE(AD187,1),"")),""),"")</f>
        <v/>
      </c>
      <c r="AE188" s="19">
        <f ca="1">IF(ROW()-ROW(הפחתה8[[#Headers],[יתרת פתיחה]])=1,סכום_הלוואה4,IF(הפחתה8[[#This Row],[תאריך]]="",0,INDEX(הפחתה8[], ROW()-4,8)))</f>
        <v>0</v>
      </c>
      <c r="AF188" s="19">
        <f ca="1">IF(ValuesEntered4,IF(ROW()-ROW(הפחתה8[[#Headers],[ריבית]])=1,-IPMT(שיעור_ריבית4/12,1,תקופת_ההלוואה4-ROWS($C$4:AD188)+1,הפחתה8[[#This Row],[יתרת פתיחה]]),IFERROR(-IPMT(שיעור_ריבית4/12,1,הפחתה8[[#This Row],[תשלומים
שנותרו]],AE189),0)),0)</f>
        <v>0</v>
      </c>
      <c r="AG188" s="19" t="str">
        <f ca="1">IFERROR(IF(AND(ValuesEntered4,הפחתה8[[#This Row],[תאריך]]&lt;&gt;""),-PPMT(שיעור_ריבית4/12,1,תקופת_ההלוואה4-ROWS($C$4:AD188)+1,הפחתה8[[#This Row],[יתרת פתיחה]]),""),0)</f>
        <v/>
      </c>
      <c r="AH188" s="19">
        <f ca="1">(הפחתה8[[#This Row],[יתרת פתיחה]])*(מדד4/12)</f>
        <v>0</v>
      </c>
      <c r="AI188" s="19">
        <f ca="1">IF(הפחתה8[[#This Row],[תאריך]]="",0,הפחתה8[[#This Row],[ריבית]]+הפחתה8[[#This Row],[קרן]]+הפחתה8[[#This Row],[מדד]])</f>
        <v>0</v>
      </c>
      <c r="AJ188" s="19">
        <f ca="1">IF(הפחתה8[[#This Row],[תאריך]]="",0,הפחתה8[[#This Row],[יתרת פתיחה]]-הפחתה8[[#This Row],[קרן]])</f>
        <v>0</v>
      </c>
      <c r="AK188" s="20">
        <f ca="1">IF(הפחתה8[[#This Row],[יתרת
סגירה]]&gt;0,LastRow4-ROW(),0)</f>
        <v>0</v>
      </c>
    </row>
    <row r="189" spans="1:37" ht="15" customHeight="1" x14ac:dyDescent="0.25">
      <c r="A189" s="8"/>
      <c r="B189" s="11">
        <f>ROWS($B$4:B189)</f>
        <v>186</v>
      </c>
      <c r="C189" s="12">
        <f>IF(ValuesEntered,IF(הפחתה[[#This Row],[מס'']]&lt;=תקופת_ההלוואה,IF(ROW()-ROW(הפחתה[[#Headers],[תאריך]])=1,LoanStart,IF(I188&gt;0,EDATE(C188,1),"")),""),"")</f>
        <v>51014</v>
      </c>
      <c r="D189" s="13">
        <f>IF(ROW()-ROW(הפחתה[[#Headers],[יתרת פתיחה]])=1,סכום_הלוואה,IF(הפחתה[[#This Row],[תאריך]]="",0,INDEX(הפחתה[], ROW()-4,8)))</f>
        <v>405514.185588044</v>
      </c>
      <c r="E189" s="13">
        <f>IF(ValuesEntered,IF(ROW()-ROW(הפחתה[[#Headers],[ריבית]])=1,-IPMT(שיעור_ריבית/12,1,תקופת_ההלוואה-ROWS($C$4:C189)+1,הפחתה[[#This Row],[יתרת פתיחה]]),IFERROR(-IPMT(שיעור_ריבית/12,1,הפחתה[[#This Row],[תשלומים
שנותרו]],D190),0)),0)</f>
        <v>1784.2157557483599</v>
      </c>
      <c r="F189" s="13">
        <f>IFERROR(IF(AND(ValuesEntered,הפחתה[[#This Row],[תאריך]]&lt;&gt;""),-PPMT(שיעור_ריבית/12,1,תקופת_ההלוואה-ROWS($C$4:C189)+1,הפחתה[[#This Row],[יתרת פתיחה]]),""),0)</f>
        <v>1540.8069280380253</v>
      </c>
      <c r="G189" s="13">
        <f>(הפחתה[[#This Row],[יתרת פתיחה]])*(מדד/12)</f>
        <v>0</v>
      </c>
      <c r="H189" s="13">
        <f>IF(הפחתה[[#This Row],[תאריך]]="",0,הפחתה[[#This Row],[ריבית]]+הפחתה[[#This Row],[קרן]]+הפחתה[[#This Row],[מדד]])</f>
        <v>3325.0226837863852</v>
      </c>
      <c r="I189" s="13">
        <f>IF(הפחתה[[#This Row],[תאריך]]="",0,הפחתה[[#This Row],[יתרת פתיחה]]-הפחתה[[#This Row],[קרן]]+הפחתה[[#This Row],[מדד]])</f>
        <v>403973.37866000598</v>
      </c>
      <c r="J189" s="11">
        <f>IF(הפחתה[[#This Row],[יתרת
סגירה]]&gt;0,LastRow-ROW(),0)</f>
        <v>174</v>
      </c>
      <c r="K189" s="11">
        <f>ROWS($K$4:K189)</f>
        <v>186</v>
      </c>
      <c r="L189" s="12">
        <f>IF(ValuesEntered2,IF(הפחתה5[[#This Row],[מס'']]&lt;=תקופת_ההלוואה2,IF(ROW()-ROW(הפחתה5[[#Headers],[תאריך]])=1,LoanStart2,IF(R188&gt;0,EDATE(L188,1),"")),""),"")</f>
        <v>51014</v>
      </c>
      <c r="M189" s="13">
        <f>IF(ROW()-ROW(הפחתה5[[#Headers],[יתרת פתיחה]])=1,סכום_הלוואה2,IF(הפחתה5[[#This Row],[תאריך]]="",0,INDEX(הפחתה5[], ROW()-4,8)))</f>
        <v>157317.07313888668</v>
      </c>
      <c r="N189" s="13">
        <f>IF(ValuesEntered2,IF(ROW()-ROW(הפחתה5[[#Headers],[ריבית]])=1,-IPMT(שיעור_ריבית2/12,1,תקופת_ההלוואה2-ROWS($L$4:L189)+1,הפחתה5[[#This Row],[יתרת פתיחה]]),IFERROR(-IPMT(שיעור_ריבית2/12,1,הפחתה5[[#This Row],[תשלומים
שנותרו]],M190),0)),0)</f>
        <v>611.90669210564033</v>
      </c>
      <c r="O189" s="13">
        <f>IFERROR(IF(AND(ValuesEntered2,הפחתה5[[#This Row],[תאריך]]&lt;&gt;""),-PPMT(שיעור_ריבית2/12,1,תקופת_ההלוואה2-ROWS($L$4:L189)+1,הפחתה5[[#This Row],[יתרת פתיחה]]),""),0)</f>
        <v>1085.5772821274197</v>
      </c>
      <c r="P189" s="13">
        <f>(הפחתה5[[#This Row],[יתרת פתיחה]])*(מדד2/12)</f>
        <v>0</v>
      </c>
      <c r="Q189" s="13">
        <f>IF(הפחתה5[[#This Row],[תאריך]]="",0,הפחתה5[[#This Row],[ריבית]]+הפחתה5[[#This Row],[קרן]]+הפחתה5[[#This Row],[מדד]])</f>
        <v>1697.4839742330601</v>
      </c>
      <c r="R189" s="13">
        <f>IF(הפחתה5[[#This Row],[תאריך]]="",0,הפחתה5[[#This Row],[יתרת פתיחה]]-הפחתה5[[#This Row],[קרן]]+הפחתה5[[#This Row],[מדד]])</f>
        <v>156231.49585675925</v>
      </c>
      <c r="S189" s="11">
        <f>IF(הפחתה5[[#This Row],[יתרת
סגירה]]&gt;0,LastRow2-ROW(),0)</f>
        <v>114</v>
      </c>
      <c r="T189" s="11">
        <f>ROWS($T$4:T189)</f>
        <v>186</v>
      </c>
      <c r="U189" s="12">
        <f ca="1">IF(ValuesEntered3,IF(הפחתה7[[#This Row],[מס'']]&lt;=תקופת_ההלוואה3,IF(ROW()-ROW(הפחתה7[[#Headers],[תאריך]])=1,LoanStart3,IF(AA188&gt;0,EDATE(U188,1),"")),""),"")</f>
        <v>51251</v>
      </c>
      <c r="V189" s="13">
        <f ca="1">IF(ROW()-ROW(הפחתה7[[#Headers],[יתרת פתיחה]])=1,סכום_הלוואה3,IF(הפחתה7[[#This Row],[תאריך]]="",0,INDEX(הפחתה7[], ROW()-4,8)))</f>
        <v>61630.036986805513</v>
      </c>
      <c r="W189" s="13">
        <f ca="1">IF(ValuesEntered3,IF(ROW()-ROW(הפחתה7[[#Headers],[ריבית]])=1,-IPMT(שיעור_ריבית3/12,1,תקופת_ההלוואה3-ROWS($C$4:U189)+1,הפחתה7[[#This Row],[יתרת פתיחה]]),IFERROR(-IPMT(שיעור_ריבית3/12,1,הפחתה7[[#This Row],[תשלומים
שנותרו]],V190),0)),0)</f>
        <v>117.40201106234738</v>
      </c>
      <c r="X189" s="13">
        <f ca="1">IFERROR(IF(AND(ValuesEntered3,הפחתה7[[#This Row],[תאריך]]&lt;&gt;""),-PPMT(שיעור_ריבית3/12,1,תקופת_ההלוואה3-ROWS($C$4:U189)+1,הפחתה7[[#This Row],[יתרת פתיחה]]),""),0)</f>
        <v>479.5305521530056</v>
      </c>
      <c r="Y189" s="13">
        <f ca="1">(הפחתה7[[#This Row],[יתרת פתיחה]])*(מדד3/12)</f>
        <v>102.71672831134254</v>
      </c>
      <c r="Z189" s="13">
        <f ca="1">IF(הפחתה7[[#This Row],[תאריך]]="",0,הפחתה7[[#This Row],[ריבית]]+הפחתה7[[#This Row],[קרן]]+הפחתה7[[#This Row],[מדד]])</f>
        <v>699.64929152669549</v>
      </c>
      <c r="AA189" s="13">
        <f ca="1">IF(הפחתה7[[#This Row],[תאריך]]="",0,הפחתה7[[#This Row],[יתרת פתיחה]]-הפחתה7[[#This Row],[קרן]]+הפחתה7[[#This Row],[מדד]])</f>
        <v>61253.223162963855</v>
      </c>
      <c r="AB189" s="11">
        <f ca="1">IF(הפחתה7[[#This Row],[יתרת
סגירה]]&gt;0,LastRow3-ROW(),0)</f>
        <v>114</v>
      </c>
      <c r="AC189" s="17">
        <f>ROWS($AC$4:AC189)</f>
        <v>186</v>
      </c>
      <c r="AD189" s="18" t="str">
        <f ca="1">IF(ValuesEntered4,IF(הפחתה8[[#This Row],[מס'']]&lt;=תקופת_ההלוואה4,IF(ROW()-ROW(הפחתה8[[#Headers],[תאריך]])=1,LoanStart4,IF(AJ188&gt;0,EDATE(AD188,1),"")),""),"")</f>
        <v/>
      </c>
      <c r="AE189" s="19">
        <f ca="1">IF(ROW()-ROW(הפחתה8[[#Headers],[יתרת פתיחה]])=1,סכום_הלוואה4,IF(הפחתה8[[#This Row],[תאריך]]="",0,INDEX(הפחתה8[], ROW()-4,8)))</f>
        <v>0</v>
      </c>
      <c r="AF189" s="19">
        <f ca="1">IF(ValuesEntered4,IF(ROW()-ROW(הפחתה8[[#Headers],[ריבית]])=1,-IPMT(שיעור_ריבית4/12,1,תקופת_ההלוואה4-ROWS($C$4:AD189)+1,הפחתה8[[#This Row],[יתרת פתיחה]]),IFERROR(-IPMT(שיעור_ריבית4/12,1,הפחתה8[[#This Row],[תשלומים
שנותרו]],AE190),0)),0)</f>
        <v>0</v>
      </c>
      <c r="AG189" s="19" t="str">
        <f ca="1">IFERROR(IF(AND(ValuesEntered4,הפחתה8[[#This Row],[תאריך]]&lt;&gt;""),-PPMT(שיעור_ריבית4/12,1,תקופת_ההלוואה4-ROWS($C$4:AD189)+1,הפחתה8[[#This Row],[יתרת פתיחה]]),""),0)</f>
        <v/>
      </c>
      <c r="AH189" s="19">
        <f ca="1">(הפחתה8[[#This Row],[יתרת פתיחה]])*(מדד4/12)</f>
        <v>0</v>
      </c>
      <c r="AI189" s="19">
        <f ca="1">IF(הפחתה8[[#This Row],[תאריך]]="",0,הפחתה8[[#This Row],[ריבית]]+הפחתה8[[#This Row],[קרן]]+הפחתה8[[#This Row],[מדד]])</f>
        <v>0</v>
      </c>
      <c r="AJ189" s="19">
        <f ca="1">IF(הפחתה8[[#This Row],[תאריך]]="",0,הפחתה8[[#This Row],[יתרת פתיחה]]-הפחתה8[[#This Row],[קרן]])</f>
        <v>0</v>
      </c>
      <c r="AK189" s="20">
        <f ca="1">IF(הפחתה8[[#This Row],[יתרת
סגירה]]&gt;0,LastRow4-ROW(),0)</f>
        <v>0</v>
      </c>
    </row>
    <row r="190" spans="1:37" ht="15" customHeight="1" x14ac:dyDescent="0.25">
      <c r="A190" s="8"/>
      <c r="B190" s="11">
        <f>ROWS($B$4:B190)</f>
        <v>187</v>
      </c>
      <c r="C190" s="12">
        <f>IF(ValuesEntered,IF(הפחתה[[#This Row],[מס'']]&lt;=תקופת_ההלוואה,IF(ROW()-ROW(הפחתה[[#Headers],[תאריך]])=1,LoanStart,IF(I189&gt;0,EDATE(C189,1),"")),""),"")</f>
        <v>51044</v>
      </c>
      <c r="D190" s="13">
        <f>IF(ROW()-ROW(הפחתה[[#Headers],[יתרת פתיחה]])=1,סכום_הלוואה,IF(הפחתה[[#This Row],[תאריך]]="",0,INDEX(הפחתה[], ROW()-4,8)))</f>
        <v>403973.37866000598</v>
      </c>
      <c r="E190" s="13">
        <f>IF(ValuesEntered,IF(ROW()-ROW(הפחתה[[#Headers],[ריבית]])=1,-IPMT(שיעור_ריבית/12,1,תקופת_ההלוואה-ROWS($C$4:C190)+1,הפחתה[[#This Row],[יתרת פתיחה]]),IFERROR(-IPMT(שיעור_ריבית/12,1,הפחתה[[#This Row],[תשלומים
שנותרו]],D191),0)),0)</f>
        <v>1777.3804687143804</v>
      </c>
      <c r="F190" s="13">
        <f>IFERROR(IF(AND(ValuesEntered,הפחתה[[#This Row],[תאריך]]&lt;&gt;""),-PPMT(שיעור_ריבית/12,1,תקופת_ההלוואה-ROWS($C$4:C190)+1,הפחתה[[#This Row],[יתרת פתיחה]]),""),0)</f>
        <v>1547.6121586368597</v>
      </c>
      <c r="G190" s="13">
        <f>(הפחתה[[#This Row],[יתרת פתיחה]])*(מדד/12)</f>
        <v>0</v>
      </c>
      <c r="H190" s="13">
        <f>IF(הפחתה[[#This Row],[תאריך]]="",0,הפחתה[[#This Row],[ריבית]]+הפחתה[[#This Row],[קרן]]+הפחתה[[#This Row],[מדד]])</f>
        <v>3324.9926273512401</v>
      </c>
      <c r="I190" s="13">
        <f>IF(הפחתה[[#This Row],[תאריך]]="",0,הפחתה[[#This Row],[יתרת פתיחה]]-הפחתה[[#This Row],[קרן]]+הפחתה[[#This Row],[מדד]])</f>
        <v>402425.76650136913</v>
      </c>
      <c r="J190" s="11">
        <f>IF(הפחתה[[#This Row],[יתרת
סגירה]]&gt;0,LastRow-ROW(),0)</f>
        <v>173</v>
      </c>
      <c r="K190" s="11">
        <f>ROWS($K$4:K190)</f>
        <v>187</v>
      </c>
      <c r="L190" s="12">
        <f>IF(ValuesEntered2,IF(הפחתה5[[#This Row],[מס'']]&lt;=תקופת_ההלוואה2,IF(ROW()-ROW(הפחתה5[[#Headers],[תאריך]])=1,LoanStart2,IF(R189&gt;0,EDATE(L189,1),"")),""),"")</f>
        <v>51044</v>
      </c>
      <c r="M190" s="13">
        <f>IF(ROW()-ROW(הפחתה5[[#Headers],[יתרת פתיחה]])=1,סכום_הלוואה2,IF(הפחתה5[[#This Row],[תאריך]]="",0,INDEX(הפחתה5[], ROW()-4,8)))</f>
        <v>156231.49585675925</v>
      </c>
      <c r="N190" s="13">
        <f>IF(ValuesEntered2,IF(ROW()-ROW(הפחתה5[[#Headers],[ריבית]])=1,-IPMT(שיעור_ריבית2/12,1,תקופת_ההלוואה2-ROWS($L$4:L190)+1,הפחתה5[[#This Row],[יתרת פתיחה]]),IFERROR(-IPMT(שיעור_ריבית2/12,1,הפחתה5[[#This Row],[תשלומים
שנותרו]],M191),0)),0)</f>
        <v>607.63819469358418</v>
      </c>
      <c r="O190" s="13">
        <f>IFERROR(IF(AND(ValuesEntered2,הפחתה5[[#This Row],[תאריך]]&lt;&gt;""),-PPMT(שיעור_ריבית2/12,1,תקופת_ההלוואה2-ROWS($L$4:L190)+1,הפחתה5[[#This Row],[יתרת פתיחה]]),""),0)</f>
        <v>1089.8291264824188</v>
      </c>
      <c r="P190" s="13">
        <f>(הפחתה5[[#This Row],[יתרת פתיחה]])*(מדד2/12)</f>
        <v>0</v>
      </c>
      <c r="Q190" s="13">
        <f>IF(הפחתה5[[#This Row],[תאריך]]="",0,הפחתה5[[#This Row],[ריבית]]+הפחתה5[[#This Row],[קרן]]+הפחתה5[[#This Row],[מדד]])</f>
        <v>1697.467321176003</v>
      </c>
      <c r="R190" s="13">
        <f>IF(הפחתה5[[#This Row],[תאריך]]="",0,הפחתה5[[#This Row],[יתרת פתיחה]]-הפחתה5[[#This Row],[קרן]]+הפחתה5[[#This Row],[מדד]])</f>
        <v>155141.66673027683</v>
      </c>
      <c r="S190" s="11">
        <f>IF(הפחתה5[[#This Row],[יתרת
סגירה]]&gt;0,LastRow2-ROW(),0)</f>
        <v>113</v>
      </c>
      <c r="T190" s="11">
        <f>ROWS($T$4:T190)</f>
        <v>187</v>
      </c>
      <c r="U190" s="12">
        <f ca="1">IF(ValuesEntered3,IF(הפחתה7[[#This Row],[מס'']]&lt;=תקופת_ההלוואה3,IF(ROW()-ROW(הפחתה7[[#Headers],[תאריך]])=1,LoanStart3,IF(AA189&gt;0,EDATE(U189,1),"")),""),"")</f>
        <v>51281</v>
      </c>
      <c r="V190" s="13">
        <f ca="1">IF(ROW()-ROW(הפחתה7[[#Headers],[יתרת פתיחה]])=1,סכום_הלוואה3,IF(הפחתה7[[#This Row],[תאריך]]="",0,INDEX(הפחתה7[], ROW()-4,8)))</f>
        <v>61253.223162963855</v>
      </c>
      <c r="W190" s="13">
        <f ca="1">IF(ValuesEntered3,IF(ROW()-ROW(הפחתה7[[#Headers],[ריבית]])=1,-IPMT(שיעור_ריבית3/12,1,תקופת_ההלוואה3-ROWS($C$4:U190)+1,הפחתה7[[#This Row],[יתרת פתיחה]]),IFERROR(-IPMT(שיעור_ריבית3/12,1,הפחתה7[[#This Row],[תשלומים
שנותרו]],V191),0)),0)</f>
        <v>116.67527244196729</v>
      </c>
      <c r="X190" s="13">
        <f ca="1">IFERROR(IF(AND(ValuesEntered3,הפחתה7[[#This Row],[תאריך]]&lt;&gt;""),-PPMT(שיעור_ריבית3/12,1,תקופת_ההלוואה3-ROWS($C$4:U190)+1,הפחתה7[[#This Row],[יתרת פתיחה]]),""),0)</f>
        <v>481.25668112209104</v>
      </c>
      <c r="Y190" s="13">
        <f ca="1">(הפחתה7[[#This Row],[יתרת פתיחה]])*(מדד3/12)</f>
        <v>102.08870527160643</v>
      </c>
      <c r="Z190" s="13">
        <f ca="1">IF(הפחתה7[[#This Row],[תאריך]]="",0,הפחתה7[[#This Row],[ריבית]]+הפחתה7[[#This Row],[קרן]]+הפחתה7[[#This Row],[מדד]])</f>
        <v>700.02065883566468</v>
      </c>
      <c r="AA190" s="13">
        <f ca="1">IF(הפחתה7[[#This Row],[תאריך]]="",0,הפחתה7[[#This Row],[יתרת פתיחה]]-הפחתה7[[#This Row],[קרן]]+הפחתה7[[#This Row],[מדד]])</f>
        <v>60874.055187113372</v>
      </c>
      <c r="AB190" s="11">
        <f ca="1">IF(הפחתה7[[#This Row],[יתרת
סגירה]]&gt;0,LastRow3-ROW(),0)</f>
        <v>113</v>
      </c>
      <c r="AC190" s="17">
        <f>ROWS($AC$4:AC190)</f>
        <v>187</v>
      </c>
      <c r="AD190" s="18" t="str">
        <f ca="1">IF(ValuesEntered4,IF(הפחתה8[[#This Row],[מס'']]&lt;=תקופת_ההלוואה4,IF(ROW()-ROW(הפחתה8[[#Headers],[תאריך]])=1,LoanStart4,IF(AJ189&gt;0,EDATE(AD189,1),"")),""),"")</f>
        <v/>
      </c>
      <c r="AE190" s="19">
        <f ca="1">IF(ROW()-ROW(הפחתה8[[#Headers],[יתרת פתיחה]])=1,סכום_הלוואה4,IF(הפחתה8[[#This Row],[תאריך]]="",0,INDEX(הפחתה8[], ROW()-4,8)))</f>
        <v>0</v>
      </c>
      <c r="AF190" s="19">
        <f ca="1">IF(ValuesEntered4,IF(ROW()-ROW(הפחתה8[[#Headers],[ריבית]])=1,-IPMT(שיעור_ריבית4/12,1,תקופת_ההלוואה4-ROWS($C$4:AD190)+1,הפחתה8[[#This Row],[יתרת פתיחה]]),IFERROR(-IPMT(שיעור_ריבית4/12,1,הפחתה8[[#This Row],[תשלומים
שנותרו]],AE191),0)),0)</f>
        <v>0</v>
      </c>
      <c r="AG190" s="19" t="str">
        <f ca="1">IFERROR(IF(AND(ValuesEntered4,הפחתה8[[#This Row],[תאריך]]&lt;&gt;""),-PPMT(שיעור_ריבית4/12,1,תקופת_ההלוואה4-ROWS($C$4:AD190)+1,הפחתה8[[#This Row],[יתרת פתיחה]]),""),0)</f>
        <v/>
      </c>
      <c r="AH190" s="19">
        <f ca="1">(הפחתה8[[#This Row],[יתרת פתיחה]])*(מדד4/12)</f>
        <v>0</v>
      </c>
      <c r="AI190" s="19">
        <f ca="1">IF(הפחתה8[[#This Row],[תאריך]]="",0,הפחתה8[[#This Row],[ריבית]]+הפחתה8[[#This Row],[קרן]]+הפחתה8[[#This Row],[מדד]])</f>
        <v>0</v>
      </c>
      <c r="AJ190" s="19">
        <f ca="1">IF(הפחתה8[[#This Row],[תאריך]]="",0,הפחתה8[[#This Row],[יתרת פתיחה]]-הפחתה8[[#This Row],[קרן]])</f>
        <v>0</v>
      </c>
      <c r="AK190" s="20">
        <f ca="1">IF(הפחתה8[[#This Row],[יתרת
סגירה]]&gt;0,LastRow4-ROW(),0)</f>
        <v>0</v>
      </c>
    </row>
    <row r="191" spans="1:37" ht="15" customHeight="1" x14ac:dyDescent="0.25">
      <c r="A191" s="8"/>
      <c r="B191" s="11">
        <f>ROWS($B$4:B191)</f>
        <v>188</v>
      </c>
      <c r="C191" s="12">
        <f>IF(ValuesEntered,IF(הפחתה[[#This Row],[מס'']]&lt;=תקופת_ההלוואה,IF(ROW()-ROW(הפחתה[[#Headers],[תאריך]])=1,LoanStart,IF(I190&gt;0,EDATE(C190,1),"")),""),"")</f>
        <v>51075</v>
      </c>
      <c r="D191" s="13">
        <f>IF(ROW()-ROW(הפחתה[[#Headers],[יתרת פתיחה]])=1,סכום_הלוואה,IF(הפחתה[[#This Row],[תאריך]]="",0,INDEX(הפחתה[], ROW()-4,8)))</f>
        <v>402425.76650136913</v>
      </c>
      <c r="E191" s="13">
        <f>IF(ValuesEntered,IF(ROW()-ROW(הפחתה[[#Headers],[ריבית]])=1,-IPMT(שיעור_ריבית/12,1,תקופת_ההלוואה-ROWS($C$4:C191)+1,הפחתה[[#This Row],[יתרת פתיחה]]),IFERROR(-IPMT(שיעור_ריבית/12,1,הפחתה[[#This Row],[תשלומים
שנותרו]],D192),0)),0)</f>
        <v>1770.5149924960008</v>
      </c>
      <c r="F191" s="13">
        <f>IFERROR(IF(AND(ValuesEntered,הפחתה[[#This Row],[תאריך]]&lt;&gt;""),-PPMT(שיעור_ריבית/12,1,תקופת_ההלוואה-ROWS($C$4:C191)+1,הפחתה[[#This Row],[יתרת פתיחה]]),""),0)</f>
        <v>1554.4474456708397</v>
      </c>
      <c r="G191" s="13">
        <f>(הפחתה[[#This Row],[יתרת פתיחה]])*(מדד/12)</f>
        <v>0</v>
      </c>
      <c r="H191" s="13">
        <f>IF(הפחתה[[#This Row],[תאריך]]="",0,הפחתה[[#This Row],[ריבית]]+הפחתה[[#This Row],[קרן]]+הפחתה[[#This Row],[מדד]])</f>
        <v>3324.9624381668405</v>
      </c>
      <c r="I191" s="13">
        <f>IF(הפחתה[[#This Row],[תאריך]]="",0,הפחתה[[#This Row],[יתרת פתיחה]]-הפחתה[[#This Row],[קרן]]+הפחתה[[#This Row],[מדד]])</f>
        <v>400871.31905569829</v>
      </c>
      <c r="J191" s="11">
        <f>IF(הפחתה[[#This Row],[יתרת
סגירה]]&gt;0,LastRow-ROW(),0)</f>
        <v>172</v>
      </c>
      <c r="K191" s="11">
        <f>ROWS($K$4:K191)</f>
        <v>188</v>
      </c>
      <c r="L191" s="12">
        <f>IF(ValuesEntered2,IF(הפחתה5[[#This Row],[מס'']]&lt;=תקופת_ההלוואה2,IF(ROW()-ROW(הפחתה5[[#Headers],[תאריך]])=1,LoanStart2,IF(R190&gt;0,EDATE(L190,1),"")),""),"")</f>
        <v>51075</v>
      </c>
      <c r="M191" s="13">
        <f>IF(ROW()-ROW(הפחתה5[[#Headers],[יתרת פתיחה]])=1,סכום_הלוואה2,IF(הפחתה5[[#This Row],[תאריך]]="",0,INDEX(הפחתה5[], ROW()-4,8)))</f>
        <v>155141.66673027683</v>
      </c>
      <c r="N191" s="13">
        <f>IF(ValuesEntered2,IF(ROW()-ROW(הפחתה5[[#Headers],[ריבית]])=1,-IPMT(שיעור_ריבית2/12,1,תקופת_ההלוואה2-ROWS($L$4:L191)+1,הפחתה5[[#This Row],[יתרת פתיחה]]),IFERROR(-IPMT(שיעור_ריבית2/12,1,הפחתה5[[#This Row],[תשלומים
שנותרו]],M192),0)),0)</f>
        <v>603.3529789999975</v>
      </c>
      <c r="O191" s="13">
        <f>IFERROR(IF(AND(ValuesEntered2,הפחתה5[[#This Row],[תאריך]]&lt;&gt;""),-PPMT(שיעור_ריבית2/12,1,תקופת_ההלוואה2-ROWS($L$4:L191)+1,הפחתה5[[#This Row],[יתרת פתיחה]]),""),0)</f>
        <v>1094.097623894475</v>
      </c>
      <c r="P191" s="13">
        <f>(הפחתה5[[#This Row],[יתרת פתיחה]])*(מדד2/12)</f>
        <v>0</v>
      </c>
      <c r="Q191" s="13">
        <f>IF(הפחתה5[[#This Row],[תאריך]]="",0,הפחתה5[[#This Row],[ריבית]]+הפחתה5[[#This Row],[קרן]]+הפחתה5[[#This Row],[מדד]])</f>
        <v>1697.4506028944725</v>
      </c>
      <c r="R191" s="13">
        <f>IF(הפחתה5[[#This Row],[תאריך]]="",0,הפחתה5[[#This Row],[יתרת פתיחה]]-הפחתה5[[#This Row],[קרן]]+הפחתה5[[#This Row],[מדד]])</f>
        <v>154047.56910638235</v>
      </c>
      <c r="S191" s="11">
        <f>IF(הפחתה5[[#This Row],[יתרת
סגירה]]&gt;0,LastRow2-ROW(),0)</f>
        <v>112</v>
      </c>
      <c r="T191" s="11">
        <f>ROWS($T$4:T191)</f>
        <v>188</v>
      </c>
      <c r="U191" s="12">
        <f ca="1">IF(ValuesEntered3,IF(הפחתה7[[#This Row],[מס'']]&lt;=תקופת_ההלוואה3,IF(ROW()-ROW(הפחתה7[[#Headers],[תאריך]])=1,LoanStart3,IF(AA190&gt;0,EDATE(U190,1),"")),""),"")</f>
        <v>51312</v>
      </c>
      <c r="V191" s="13">
        <f ca="1">IF(ROW()-ROW(הפחתה7[[#Headers],[יתרת פתיחה]])=1,סכום_הלוואה3,IF(הפחתה7[[#This Row],[תאריך]]="",0,INDEX(הפחתה7[], ROW()-4,8)))</f>
        <v>60874.055187113372</v>
      </c>
      <c r="W191" s="13">
        <f ca="1">IF(ValuesEntered3,IF(ROW()-ROW(הפחתה7[[#Headers],[ריבית]])=1,-IPMT(שיעור_ריבית3/12,1,תקופת_ההלוואה3-ROWS($C$4:U191)+1,הפחתה7[[#This Row],[יתרת פתיחה]]),IFERROR(-IPMT(שיעור_ריבית3/12,1,הפחתה7[[#This Row],[תשלומים
שנותרו]],V192),0)),0)</f>
        <v>115.9440021486688</v>
      </c>
      <c r="X191" s="13">
        <f ca="1">IFERROR(IF(AND(ValuesEntered3,הפחתה7[[#This Row],[תאריך]]&lt;&gt;""),-PPMT(שיעור_ריבית3/12,1,תקופת_ההלוואה3-ROWS($C$4:U191)+1,הפחתה7[[#This Row],[יתרת פתיחה]]),""),0)</f>
        <v>482.989085583529</v>
      </c>
      <c r="Y191" s="13">
        <f ca="1">(הפחתה7[[#This Row],[יתרת פתיחה]])*(מדד3/12)</f>
        <v>101.45675864518896</v>
      </c>
      <c r="Z191" s="13">
        <f ca="1">IF(הפחתה7[[#This Row],[תאריך]]="",0,הפחתה7[[#This Row],[ריבית]]+הפחתה7[[#This Row],[קרן]]+הפחתה7[[#This Row],[מדד]])</f>
        <v>700.38984637738679</v>
      </c>
      <c r="AA191" s="13">
        <f ca="1">IF(הפחתה7[[#This Row],[תאריך]]="",0,הפחתה7[[#This Row],[יתרת פתיחה]]-הפחתה7[[#This Row],[קרן]]+הפחתה7[[#This Row],[מדד]])</f>
        <v>60492.522860175035</v>
      </c>
      <c r="AB191" s="11">
        <f ca="1">IF(הפחתה7[[#This Row],[יתרת
סגירה]]&gt;0,LastRow3-ROW(),0)</f>
        <v>112</v>
      </c>
      <c r="AC191" s="17">
        <f>ROWS($AC$4:AC191)</f>
        <v>188</v>
      </c>
      <c r="AD191" s="18" t="str">
        <f ca="1">IF(ValuesEntered4,IF(הפחתה8[[#This Row],[מס'']]&lt;=תקופת_ההלוואה4,IF(ROW()-ROW(הפחתה8[[#Headers],[תאריך]])=1,LoanStart4,IF(AJ190&gt;0,EDATE(AD190,1),"")),""),"")</f>
        <v/>
      </c>
      <c r="AE191" s="19">
        <f ca="1">IF(ROW()-ROW(הפחתה8[[#Headers],[יתרת פתיחה]])=1,סכום_הלוואה4,IF(הפחתה8[[#This Row],[תאריך]]="",0,INDEX(הפחתה8[], ROW()-4,8)))</f>
        <v>0</v>
      </c>
      <c r="AF191" s="19">
        <f ca="1">IF(ValuesEntered4,IF(ROW()-ROW(הפחתה8[[#Headers],[ריבית]])=1,-IPMT(שיעור_ריבית4/12,1,תקופת_ההלוואה4-ROWS($C$4:AD191)+1,הפחתה8[[#This Row],[יתרת פתיחה]]),IFERROR(-IPMT(שיעור_ריבית4/12,1,הפחתה8[[#This Row],[תשלומים
שנותרו]],AE192),0)),0)</f>
        <v>0</v>
      </c>
      <c r="AG191" s="19" t="str">
        <f ca="1">IFERROR(IF(AND(ValuesEntered4,הפחתה8[[#This Row],[תאריך]]&lt;&gt;""),-PPMT(שיעור_ריבית4/12,1,תקופת_ההלוואה4-ROWS($C$4:AD191)+1,הפחתה8[[#This Row],[יתרת פתיחה]]),""),0)</f>
        <v/>
      </c>
      <c r="AH191" s="19">
        <f ca="1">(הפחתה8[[#This Row],[יתרת פתיחה]])*(מדד4/12)</f>
        <v>0</v>
      </c>
      <c r="AI191" s="19">
        <f ca="1">IF(הפחתה8[[#This Row],[תאריך]]="",0,הפחתה8[[#This Row],[ריבית]]+הפחתה8[[#This Row],[קרן]]+הפחתה8[[#This Row],[מדד]])</f>
        <v>0</v>
      </c>
      <c r="AJ191" s="19">
        <f ca="1">IF(הפחתה8[[#This Row],[תאריך]]="",0,הפחתה8[[#This Row],[יתרת פתיחה]]-הפחתה8[[#This Row],[קרן]])</f>
        <v>0</v>
      </c>
      <c r="AK191" s="20">
        <f ca="1">IF(הפחתה8[[#This Row],[יתרת
סגירה]]&gt;0,LastRow4-ROW(),0)</f>
        <v>0</v>
      </c>
    </row>
    <row r="192" spans="1:37" ht="15" customHeight="1" x14ac:dyDescent="0.25">
      <c r="A192" s="8"/>
      <c r="B192" s="11">
        <f>ROWS($B$4:B192)</f>
        <v>189</v>
      </c>
      <c r="C192" s="12">
        <f>IF(ValuesEntered,IF(הפחתה[[#This Row],[מס'']]&lt;=תקופת_ההלוואה,IF(ROW()-ROW(הפחתה[[#Headers],[תאריך]])=1,LoanStart,IF(I191&gt;0,EDATE(C191,1),"")),""),"")</f>
        <v>51105</v>
      </c>
      <c r="D192" s="13">
        <f>IF(ROW()-ROW(הפחתה[[#Headers],[יתרת פתיחה]])=1,סכום_הלוואה,IF(הפחתה[[#This Row],[תאריך]]="",0,INDEX(הפחתה[], ROW()-4,8)))</f>
        <v>400871.31905569829</v>
      </c>
      <c r="E192" s="13">
        <f>IF(ValuesEntered,IF(ROW()-ROW(הפחתה[[#Headers],[ריבית]])=1,-IPMT(שיעור_ריבית/12,1,תקופת_ההלוואה-ROWS($C$4:C192)+1,הפחתה[[#This Row],[יתרת פתיחה]]),IFERROR(-IPMT(שיעור_ריבית/12,1,הפחתה[[#This Row],[תשלומים
שנותרו]],D193),0)),0)</f>
        <v>1763.6191937576566</v>
      </c>
      <c r="F192" s="13">
        <f>IFERROR(IF(AND(ValuesEntered,הפחתה[[#This Row],[תאריך]]&lt;&gt;""),-PPMT(שיעור_ריבית/12,1,תקופת_ההלוואה-ROWS($C$4:C192)+1,הפחתה[[#This Row],[יתרת פתיחה]]),""),0)</f>
        <v>1561.3129218892191</v>
      </c>
      <c r="G192" s="13">
        <f>(הפחתה[[#This Row],[יתרת פתיחה]])*(מדד/12)</f>
        <v>0</v>
      </c>
      <c r="H192" s="13">
        <f>IF(הפחתה[[#This Row],[תאריך]]="",0,הפחתה[[#This Row],[ריבית]]+הפחתה[[#This Row],[קרן]]+הפחתה[[#This Row],[מדד]])</f>
        <v>3324.9321156468759</v>
      </c>
      <c r="I192" s="13">
        <f>IF(הפחתה[[#This Row],[תאריך]]="",0,הפחתה[[#This Row],[יתרת פתיחה]]-הפחתה[[#This Row],[קרן]]+הפחתה[[#This Row],[מדד]])</f>
        <v>399310.00613380905</v>
      </c>
      <c r="J192" s="11">
        <f>IF(הפחתה[[#This Row],[יתרת
סגירה]]&gt;0,LastRow-ROW(),0)</f>
        <v>171</v>
      </c>
      <c r="K192" s="11">
        <f>ROWS($K$4:K192)</f>
        <v>189</v>
      </c>
      <c r="L192" s="12">
        <f>IF(ValuesEntered2,IF(הפחתה5[[#This Row],[מס'']]&lt;=תקופת_ההלוואה2,IF(ROW()-ROW(הפחתה5[[#Headers],[תאריך]])=1,LoanStart2,IF(R191&gt;0,EDATE(L191,1),"")),""),"")</f>
        <v>51105</v>
      </c>
      <c r="M192" s="13">
        <f>IF(ROW()-ROW(הפחתה5[[#Headers],[יתרת פתיחה]])=1,סכום_הלוואה2,IF(הפחתה5[[#This Row],[תאריך]]="",0,INDEX(הפחתה5[], ROW()-4,8)))</f>
        <v>154047.56910638235</v>
      </c>
      <c r="N192" s="13">
        <f>IF(ValuesEntered2,IF(ROW()-ROW(הפחתה5[[#Headers],[ריבית]])=1,-IPMT(שיעור_ריבית2/12,1,תקופת_ההלוואה2-ROWS($L$4:L192)+1,הפחתה5[[#This Row],[יתרת פתיחה]]),IFERROR(-IPMT(שיעור_ריבית2/12,1,הפחתה5[[#This Row],[תשלומים
שנותרו]],M193),0)),0)</f>
        <v>599.0509795449442</v>
      </c>
      <c r="O192" s="13">
        <f>IFERROR(IF(AND(ValuesEntered2,הפחתה5[[#This Row],[תאריך]]&lt;&gt;""),-PPMT(שיעור_ריבית2/12,1,תקופת_ההלוואה2-ROWS($L$4:L192)+1,הפחתה5[[#This Row],[יתרת פתיחה]]),""),0)</f>
        <v>1098.3828395880614</v>
      </c>
      <c r="P192" s="13">
        <f>(הפחתה5[[#This Row],[יתרת פתיחה]])*(מדד2/12)</f>
        <v>0</v>
      </c>
      <c r="Q192" s="13">
        <f>IF(הפחתה5[[#This Row],[תאריך]]="",0,הפחתה5[[#This Row],[ריבית]]+הפחתה5[[#This Row],[קרן]]+הפחתה5[[#This Row],[מדד]])</f>
        <v>1697.4338191330057</v>
      </c>
      <c r="R192" s="13">
        <f>IF(הפחתה5[[#This Row],[תאריך]]="",0,הפחתה5[[#This Row],[יתרת פתיחה]]-הפחתה5[[#This Row],[קרן]]+הפחתה5[[#This Row],[מדד]])</f>
        <v>152949.18626679428</v>
      </c>
      <c r="S192" s="11">
        <f>IF(הפחתה5[[#This Row],[יתרת
סגירה]]&gt;0,LastRow2-ROW(),0)</f>
        <v>111</v>
      </c>
      <c r="T192" s="11">
        <f>ROWS($T$4:T192)</f>
        <v>189</v>
      </c>
      <c r="U192" s="12">
        <f ca="1">IF(ValuesEntered3,IF(הפחתה7[[#This Row],[מס'']]&lt;=תקופת_ההלוואה3,IF(ROW()-ROW(הפחתה7[[#Headers],[תאריך]])=1,LoanStart3,IF(AA191&gt;0,EDATE(U191,1),"")),""),"")</f>
        <v>51342</v>
      </c>
      <c r="V192" s="13">
        <f ca="1">IF(ROW()-ROW(הפחתה7[[#Headers],[יתרת פתיחה]])=1,סכום_הלוואה3,IF(הפחתה7[[#This Row],[תאריך]]="",0,INDEX(הפחתה7[], ROW()-4,8)))</f>
        <v>60492.522860175035</v>
      </c>
      <c r="W192" s="13">
        <f ca="1">IF(ValuesEntered3,IF(ROW()-ROW(הפחתה7[[#Headers],[ריבית]])=1,-IPMT(שיעור_ריבית3/12,1,תקופת_ההלוואה3-ROWS($C$4:U192)+1,הפחתה7[[#This Row],[יתרת פתיחה]]),IFERROR(-IPMT(שיעור_ריבית3/12,1,הפחתה7[[#This Row],[תשלומים
שנותרו]],V193),0)),0)</f>
        <v>115.20818055534295</v>
      </c>
      <c r="X192" s="13">
        <f ca="1">IFERROR(IF(AND(ValuesEntered3,הפחתה7[[#This Row],[תאריך]]&lt;&gt;""),-PPMT(שיעור_ריבית3/12,1,תקופת_ההלוואה3-ROWS($C$4:U192)+1,הפחתה7[[#This Row],[יתרת פתיחה]]),""),0)</f>
        <v>484.72778969059766</v>
      </c>
      <c r="Y192" s="13">
        <f ca="1">(הפחתה7[[#This Row],[יתרת פתיחה]])*(מדד3/12)</f>
        <v>100.82087143362506</v>
      </c>
      <c r="Z192" s="13">
        <f ca="1">IF(הפחתה7[[#This Row],[תאריך]]="",0,הפחתה7[[#This Row],[ריבית]]+הפחתה7[[#This Row],[קרן]]+הפחתה7[[#This Row],[מדד]])</f>
        <v>700.75684167956558</v>
      </c>
      <c r="AA192" s="13">
        <f ca="1">IF(הפחתה7[[#This Row],[תאריך]]="",0,הפחתה7[[#This Row],[יתרת פתיחה]]-הפחתה7[[#This Row],[קרן]]+הפחתה7[[#This Row],[מדד]])</f>
        <v>60108.615941918062</v>
      </c>
      <c r="AB192" s="11">
        <f ca="1">IF(הפחתה7[[#This Row],[יתרת
סגירה]]&gt;0,LastRow3-ROW(),0)</f>
        <v>111</v>
      </c>
      <c r="AC192" s="17">
        <f>ROWS($AC$4:AC192)</f>
        <v>189</v>
      </c>
      <c r="AD192" s="18" t="str">
        <f ca="1">IF(ValuesEntered4,IF(הפחתה8[[#This Row],[מס'']]&lt;=תקופת_ההלוואה4,IF(ROW()-ROW(הפחתה8[[#Headers],[תאריך]])=1,LoanStart4,IF(AJ191&gt;0,EDATE(AD191,1),"")),""),"")</f>
        <v/>
      </c>
      <c r="AE192" s="19">
        <f ca="1">IF(ROW()-ROW(הפחתה8[[#Headers],[יתרת פתיחה]])=1,סכום_הלוואה4,IF(הפחתה8[[#This Row],[תאריך]]="",0,INDEX(הפחתה8[], ROW()-4,8)))</f>
        <v>0</v>
      </c>
      <c r="AF192" s="19">
        <f ca="1">IF(ValuesEntered4,IF(ROW()-ROW(הפחתה8[[#Headers],[ריבית]])=1,-IPMT(שיעור_ריבית4/12,1,תקופת_ההלוואה4-ROWS($C$4:AD192)+1,הפחתה8[[#This Row],[יתרת פתיחה]]),IFERROR(-IPMT(שיעור_ריבית4/12,1,הפחתה8[[#This Row],[תשלומים
שנותרו]],AE193),0)),0)</f>
        <v>0</v>
      </c>
      <c r="AG192" s="19" t="str">
        <f ca="1">IFERROR(IF(AND(ValuesEntered4,הפחתה8[[#This Row],[תאריך]]&lt;&gt;""),-PPMT(שיעור_ריבית4/12,1,תקופת_ההלוואה4-ROWS($C$4:AD192)+1,הפחתה8[[#This Row],[יתרת פתיחה]]),""),0)</f>
        <v/>
      </c>
      <c r="AH192" s="19">
        <f ca="1">(הפחתה8[[#This Row],[יתרת פתיחה]])*(מדד4/12)</f>
        <v>0</v>
      </c>
      <c r="AI192" s="19">
        <f ca="1">IF(הפחתה8[[#This Row],[תאריך]]="",0,הפחתה8[[#This Row],[ריבית]]+הפחתה8[[#This Row],[קרן]]+הפחתה8[[#This Row],[מדד]])</f>
        <v>0</v>
      </c>
      <c r="AJ192" s="19">
        <f ca="1">IF(הפחתה8[[#This Row],[תאריך]]="",0,הפחתה8[[#This Row],[יתרת פתיחה]]-הפחתה8[[#This Row],[קרן]])</f>
        <v>0</v>
      </c>
      <c r="AK192" s="20">
        <f ca="1">IF(הפחתה8[[#This Row],[יתרת
סגירה]]&gt;0,LastRow4-ROW(),0)</f>
        <v>0</v>
      </c>
    </row>
    <row r="193" spans="1:37" ht="15" customHeight="1" x14ac:dyDescent="0.25">
      <c r="A193" s="8"/>
      <c r="B193" s="11">
        <f>ROWS($B$4:B193)</f>
        <v>190</v>
      </c>
      <c r="C193" s="12">
        <f>IF(ValuesEntered,IF(הפחתה[[#This Row],[מס'']]&lt;=תקופת_ההלוואה,IF(ROW()-ROW(הפחתה[[#Headers],[תאריך]])=1,LoanStart,IF(I192&gt;0,EDATE(C192,1),"")),""),"")</f>
        <v>51136</v>
      </c>
      <c r="D193" s="13">
        <f>IF(ROW()-ROW(הפחתה[[#Headers],[יתרת פתיחה]])=1,סכום_הלוואה,IF(הפחתה[[#This Row],[תאריך]]="",0,INDEX(הפחתה[], ROW()-4,8)))</f>
        <v>399310.00613380905</v>
      </c>
      <c r="E193" s="13">
        <f>IF(ValuesEntered,IF(ROW()-ROW(הפחתה[[#Headers],[ריבית]])=1,-IPMT(שיעור_ריבית/12,1,תקופת_ההלוואה-ROWS($C$4:C193)+1,הפחתה[[#This Row],[יתרת פתיחה]]),IFERROR(-IPMT(שיעור_ריבית/12,1,הפחתה[[#This Row],[תשלומים
שנותרו]],D194),0)),0)</f>
        <v>1756.6929385748851</v>
      </c>
      <c r="F193" s="13">
        <f>IFERROR(IF(AND(ValuesEntered,הפחתה[[#This Row],[תאריך]]&lt;&gt;""),-PPMT(שיעור_ריבית/12,1,תקופת_ההלוואה-ROWS($C$4:C193)+1,הפחתה[[#This Row],[יתרת פתיחה]]),""),0)</f>
        <v>1568.2087206275628</v>
      </c>
      <c r="G193" s="13">
        <f>(הפחתה[[#This Row],[יתרת פתיחה]])*(מדד/12)</f>
        <v>0</v>
      </c>
      <c r="H193" s="13">
        <f>IF(הפחתה[[#This Row],[תאריך]]="",0,הפחתה[[#This Row],[ריבית]]+הפחתה[[#This Row],[קרן]]+הפחתה[[#This Row],[מדד]])</f>
        <v>3324.9016592024482</v>
      </c>
      <c r="I193" s="13">
        <f>IF(הפחתה[[#This Row],[תאריך]]="",0,הפחתה[[#This Row],[יתרת פתיחה]]-הפחתה[[#This Row],[קרן]]+הפחתה[[#This Row],[מדד]])</f>
        <v>397741.79741318146</v>
      </c>
      <c r="J193" s="11">
        <f>IF(הפחתה[[#This Row],[יתרת
סגירה]]&gt;0,LastRow-ROW(),0)</f>
        <v>170</v>
      </c>
      <c r="K193" s="11">
        <f>ROWS($K$4:K193)</f>
        <v>190</v>
      </c>
      <c r="L193" s="12">
        <f>IF(ValuesEntered2,IF(הפחתה5[[#This Row],[מס'']]&lt;=תקופת_ההלוואה2,IF(ROW()-ROW(הפחתה5[[#Headers],[תאריך]])=1,LoanStart2,IF(R192&gt;0,EDATE(L192,1),"")),""),"")</f>
        <v>51136</v>
      </c>
      <c r="M193" s="13">
        <f>IF(ROW()-ROW(הפחתה5[[#Headers],[יתרת פתיחה]])=1,סכום_הלוואה2,IF(הפחתה5[[#This Row],[תאריך]]="",0,INDEX(הפחתה5[], ROW()-4,8)))</f>
        <v>152949.18626679428</v>
      </c>
      <c r="N193" s="13">
        <f>IF(ValuesEntered2,IF(ROW()-ROW(הפחתה5[[#Headers],[ריבית]])=1,-IPMT(שיעור_ריבית2/12,1,תקופת_ההלוואה2-ROWS($L$4:L193)+1,הפחתה5[[#This Row],[יתרת פתיחה]]),IFERROR(-IPMT(שיעור_ריבית2/12,1,הפחתה5[[#This Row],[תשלומים
שנותרו]],M194),0)),0)</f>
        <v>594.73213059202533</v>
      </c>
      <c r="O193" s="13">
        <f>IFERROR(IF(AND(ValuesEntered2,הפחתה5[[#This Row],[תאריך]]&lt;&gt;""),-PPMT(שיעור_ריבית2/12,1,תקופת_ההלוואה2-ROWS($L$4:L193)+1,הפחתה5[[#This Row],[יתרת פתיחה]]),""),0)</f>
        <v>1102.6848390431148</v>
      </c>
      <c r="P193" s="13">
        <f>(הפחתה5[[#This Row],[יתרת פתיחה]])*(מדד2/12)</f>
        <v>0</v>
      </c>
      <c r="Q193" s="13">
        <f>IF(הפחתה5[[#This Row],[תאריך]]="",0,הפחתה5[[#This Row],[ריבית]]+הפחתה5[[#This Row],[קרן]]+הפחתה5[[#This Row],[מדד]])</f>
        <v>1697.41696963514</v>
      </c>
      <c r="R193" s="13">
        <f>IF(הפחתה5[[#This Row],[תאריך]]="",0,הפחתה5[[#This Row],[יתרת פתיחה]]-הפחתה5[[#This Row],[קרן]]+הפחתה5[[#This Row],[מדד]])</f>
        <v>151846.50142775115</v>
      </c>
      <c r="S193" s="11">
        <f>IF(הפחתה5[[#This Row],[יתרת
סגירה]]&gt;0,LastRow2-ROW(),0)</f>
        <v>110</v>
      </c>
      <c r="T193" s="11">
        <f>ROWS($T$4:T193)</f>
        <v>190</v>
      </c>
      <c r="U193" s="12">
        <f ca="1">IF(ValuesEntered3,IF(הפחתה7[[#This Row],[מס'']]&lt;=תקופת_ההלוואה3,IF(ROW()-ROW(הפחתה7[[#Headers],[תאריך]])=1,LoanStart3,IF(AA192&gt;0,EDATE(U192,1),"")),""),"")</f>
        <v>51373</v>
      </c>
      <c r="V193" s="13">
        <f ca="1">IF(ROW()-ROW(הפחתה7[[#Headers],[יתרת פתיחה]])=1,סכום_הלוואה3,IF(הפחתה7[[#This Row],[תאריך]]="",0,INDEX(הפחתה7[], ROW()-4,8)))</f>
        <v>60108.615941918062</v>
      </c>
      <c r="W193" s="13">
        <f ca="1">IF(ValuesEntered3,IF(ROW()-ROW(הפחתה7[[#Headers],[ריבית]])=1,-IPMT(שיעור_ריבית3/12,1,תקופת_ההלוואה3-ROWS($C$4:U193)+1,הפחתה7[[#This Row],[יתרת פתיחה]]),IFERROR(-IPMT(שיעור_ריבית3/12,1,הפחתה7[[#This Row],[תשלומים
שנותרו]],V194),0)),0)</f>
        <v>114.46778795562258</v>
      </c>
      <c r="X193" s="13">
        <f ca="1">IFERROR(IF(AND(ValuesEntered3,הפחתה7[[#This Row],[תאריך]]&lt;&gt;""),-PPMT(שיעור_ריבית3/12,1,תקופת_ההלוואה3-ROWS($C$4:U193)+1,הפחתה7[[#This Row],[יתרת פתיחה]]),""),0)</f>
        <v>486.47281772831474</v>
      </c>
      <c r="Y193" s="13">
        <f ca="1">(הפחתה7[[#This Row],[יתרת פתיחה]])*(מדד3/12)</f>
        <v>100.18102656986345</v>
      </c>
      <c r="Z193" s="13">
        <f ca="1">IF(הפחתה7[[#This Row],[תאריך]]="",0,הפחתה7[[#This Row],[ריבית]]+הפחתה7[[#This Row],[קרן]]+הפחתה7[[#This Row],[מדד]])</f>
        <v>701.12163225380073</v>
      </c>
      <c r="AA193" s="13">
        <f ca="1">IF(הפחתה7[[#This Row],[תאריך]]="",0,הפחתה7[[#This Row],[יתרת פתיחה]]-הפחתה7[[#This Row],[קרן]]+הפחתה7[[#This Row],[מדד]])</f>
        <v>59722.32415075961</v>
      </c>
      <c r="AB193" s="11">
        <f ca="1">IF(הפחתה7[[#This Row],[יתרת
סגירה]]&gt;0,LastRow3-ROW(),0)</f>
        <v>110</v>
      </c>
      <c r="AC193" s="17">
        <f>ROWS($AC$4:AC193)</f>
        <v>190</v>
      </c>
      <c r="AD193" s="18" t="str">
        <f ca="1">IF(ValuesEntered4,IF(הפחתה8[[#This Row],[מס'']]&lt;=תקופת_ההלוואה4,IF(ROW()-ROW(הפחתה8[[#Headers],[תאריך]])=1,LoanStart4,IF(AJ192&gt;0,EDATE(AD192,1),"")),""),"")</f>
        <v/>
      </c>
      <c r="AE193" s="19">
        <f ca="1">IF(ROW()-ROW(הפחתה8[[#Headers],[יתרת פתיחה]])=1,סכום_הלוואה4,IF(הפחתה8[[#This Row],[תאריך]]="",0,INDEX(הפחתה8[], ROW()-4,8)))</f>
        <v>0</v>
      </c>
      <c r="AF193" s="19">
        <f ca="1">IF(ValuesEntered4,IF(ROW()-ROW(הפחתה8[[#Headers],[ריבית]])=1,-IPMT(שיעור_ריבית4/12,1,תקופת_ההלוואה4-ROWS($C$4:AD193)+1,הפחתה8[[#This Row],[יתרת פתיחה]]),IFERROR(-IPMT(שיעור_ריבית4/12,1,הפחתה8[[#This Row],[תשלומים
שנותרו]],AE194),0)),0)</f>
        <v>0</v>
      </c>
      <c r="AG193" s="19" t="str">
        <f ca="1">IFERROR(IF(AND(ValuesEntered4,הפחתה8[[#This Row],[תאריך]]&lt;&gt;""),-PPMT(שיעור_ריבית4/12,1,תקופת_ההלוואה4-ROWS($C$4:AD193)+1,הפחתה8[[#This Row],[יתרת פתיחה]]),""),0)</f>
        <v/>
      </c>
      <c r="AH193" s="19">
        <f ca="1">(הפחתה8[[#This Row],[יתרת פתיחה]])*(מדד4/12)</f>
        <v>0</v>
      </c>
      <c r="AI193" s="19">
        <f ca="1">IF(הפחתה8[[#This Row],[תאריך]]="",0,הפחתה8[[#This Row],[ריבית]]+הפחתה8[[#This Row],[קרן]]+הפחתה8[[#This Row],[מדד]])</f>
        <v>0</v>
      </c>
      <c r="AJ193" s="19">
        <f ca="1">IF(הפחתה8[[#This Row],[תאריך]]="",0,הפחתה8[[#This Row],[יתרת פתיחה]]-הפחתה8[[#This Row],[קרן]])</f>
        <v>0</v>
      </c>
      <c r="AK193" s="20">
        <f ca="1">IF(הפחתה8[[#This Row],[יתרת
סגירה]]&gt;0,LastRow4-ROW(),0)</f>
        <v>0</v>
      </c>
    </row>
    <row r="194" spans="1:37" ht="15" customHeight="1" x14ac:dyDescent="0.25">
      <c r="A194" s="8"/>
      <c r="B194" s="11">
        <f>ROWS($B$4:B194)</f>
        <v>191</v>
      </c>
      <c r="C194" s="12">
        <f>IF(ValuesEntered,IF(הפחתה[[#This Row],[מס'']]&lt;=תקופת_ההלוואה,IF(ROW()-ROW(הפחתה[[#Headers],[תאריך]])=1,LoanStart,IF(I193&gt;0,EDATE(C193,1),"")),""),"")</f>
        <v>51167</v>
      </c>
      <c r="D194" s="13">
        <f>IF(ROW()-ROW(הפחתה[[#Headers],[יתרת פתיחה]])=1,סכום_הלוואה,IF(הפחתה[[#This Row],[תאריך]]="",0,INDEX(הפחתה[], ROW()-4,8)))</f>
        <v>397741.79741318146</v>
      </c>
      <c r="E194" s="13">
        <f>IF(ValuesEntered,IF(ROW()-ROW(הפחתה[[#Headers],[ריבית]])=1,-IPMT(שיעור_ריבית/12,1,תקופת_ההלוואה-ROWS($C$4:C194)+1,הפחתה[[#This Row],[יתרת פתיחה]]),IFERROR(-IPMT(שיעור_ריבית/12,1,הפחתה[[#This Row],[תשלומים
שנותרו]],D195),0)),0)</f>
        <v>1749.7360924317225</v>
      </c>
      <c r="F194" s="13">
        <f>IFERROR(IF(AND(ValuesEntered,הפחתה[[#This Row],[תאריך]]&lt;&gt;""),-PPMT(שיעור_ריבית/12,1,תקופת_ההלוואה-ROWS($C$4:C194)+1,הפחתה[[#This Row],[יתרת פתיחה]]),""),0)</f>
        <v>1575.1349758103349</v>
      </c>
      <c r="G194" s="13">
        <f>(הפחתה[[#This Row],[יתרת פתיחה]])*(מדד/12)</f>
        <v>0</v>
      </c>
      <c r="H194" s="13">
        <f>IF(הפחתה[[#This Row],[תאריך]]="",0,הפחתה[[#This Row],[ריבית]]+הפחתה[[#This Row],[קרן]]+הפחתה[[#This Row],[מדד]])</f>
        <v>3324.8710682420574</v>
      </c>
      <c r="I194" s="13">
        <f>IF(הפחתה[[#This Row],[תאריך]]="",0,הפחתה[[#This Row],[יתרת פתיחה]]-הפחתה[[#This Row],[קרן]]+הפחתה[[#This Row],[מדד]])</f>
        <v>396166.66243737109</v>
      </c>
      <c r="J194" s="11">
        <f>IF(הפחתה[[#This Row],[יתרת
סגירה]]&gt;0,LastRow-ROW(),0)</f>
        <v>169</v>
      </c>
      <c r="K194" s="11">
        <f>ROWS($K$4:K194)</f>
        <v>191</v>
      </c>
      <c r="L194" s="12">
        <f>IF(ValuesEntered2,IF(הפחתה5[[#This Row],[מס'']]&lt;=תקופת_ההלוואה2,IF(ROW()-ROW(הפחתה5[[#Headers],[תאריך]])=1,LoanStart2,IF(R193&gt;0,EDATE(L193,1),"")),""),"")</f>
        <v>51167</v>
      </c>
      <c r="M194" s="13">
        <f>IF(ROW()-ROW(הפחתה5[[#Headers],[יתרת פתיחה]])=1,סכום_הלוואה2,IF(הפחתה5[[#This Row],[תאריך]]="",0,INDEX(הפחתה5[], ROW()-4,8)))</f>
        <v>151846.50142775115</v>
      </c>
      <c r="N194" s="13">
        <f>IF(ValuesEntered2,IF(ROW()-ROW(הפחתה5[[#Headers],[ריבית]])=1,-IPMT(שיעור_ריבית2/12,1,תקופת_ההלוואה2-ROWS($L$4:L194)+1,הפחתה5[[#This Row],[יתרת פתיחה]]),IFERROR(-IPMT(שיעור_ריבית2/12,1,הפחתה5[[#This Row],[תשלומים
שנותרו]],M195),0)),0)</f>
        <v>590.39636614737412</v>
      </c>
      <c r="O194" s="13">
        <f>IFERROR(IF(AND(ValuesEntered2,הפחתה5[[#This Row],[תאריך]]&lt;&gt;""),-PPMT(שיעור_ריבית2/12,1,תקופת_ההלוואה2-ROWS($L$4:L194)+1,הפחתה5[[#This Row],[יתרת פתיחה]]),""),0)</f>
        <v>1107.0036879960335</v>
      </c>
      <c r="P194" s="13">
        <f>(הפחתה5[[#This Row],[יתרת פתיחה]])*(מדד2/12)</f>
        <v>0</v>
      </c>
      <c r="Q194" s="13">
        <f>IF(הפחתה5[[#This Row],[תאריך]]="",0,הפחתה5[[#This Row],[ריבית]]+הפחתה5[[#This Row],[קרן]]+הפחתה5[[#This Row],[מדד]])</f>
        <v>1697.4000541434075</v>
      </c>
      <c r="R194" s="13">
        <f>IF(הפחתה5[[#This Row],[תאריך]]="",0,הפחתה5[[#This Row],[יתרת פתיחה]]-הפחתה5[[#This Row],[קרן]]+הפחתה5[[#This Row],[מדד]])</f>
        <v>150739.49773975511</v>
      </c>
      <c r="S194" s="11">
        <f>IF(הפחתה5[[#This Row],[יתרת
סגירה]]&gt;0,LastRow2-ROW(),0)</f>
        <v>109</v>
      </c>
      <c r="T194" s="11">
        <f>ROWS($T$4:T194)</f>
        <v>191</v>
      </c>
      <c r="U194" s="12">
        <f ca="1">IF(ValuesEntered3,IF(הפחתה7[[#This Row],[מס'']]&lt;=תקופת_ההלוואה3,IF(ROW()-ROW(הפחתה7[[#Headers],[תאריך]])=1,LoanStart3,IF(AA193&gt;0,EDATE(U193,1),"")),""),"")</f>
        <v>51404</v>
      </c>
      <c r="V194" s="13">
        <f ca="1">IF(ROW()-ROW(הפחתה7[[#Headers],[יתרת פתיחה]])=1,סכום_הלוואה3,IF(הפחתה7[[#This Row],[תאריך]]="",0,INDEX(הפחתה7[], ROW()-4,8)))</f>
        <v>59722.32415075961</v>
      </c>
      <c r="W194" s="13">
        <f ca="1">IF(ValuesEntered3,IF(ROW()-ROW(הפחתה7[[#Headers],[ריבית]])=1,-IPMT(שיעור_ריבית3/12,1,תקופת_ההלוואה3-ROWS($C$4:U194)+1,הפחתה7[[#This Row],[יתרת פתיחה]]),IFERROR(-IPMT(שיעור_ריבית3/12,1,הפחתה7[[#This Row],[תשלומים
שנותרו]],V195),0)),0)</f>
        <v>113.72280456349381</v>
      </c>
      <c r="X194" s="13">
        <f ca="1">IFERROR(IF(AND(ValuesEntered3,הפחתה7[[#This Row],[תאריך]]&lt;&gt;""),-PPMT(שיעור_ריבית3/12,1,תקופת_ההלוואה3-ROWS($C$4:U194)+1,הפחתה7[[#This Row],[יתרת פתיחה]]),""),0)</f>
        <v>488.22419411555313</v>
      </c>
      <c r="Y194" s="13">
        <f ca="1">(הפחתה7[[#This Row],[יתרת פתיחה]])*(מדד3/12)</f>
        <v>99.537206917932693</v>
      </c>
      <c r="Z194" s="13">
        <f ca="1">IF(הפחתה7[[#This Row],[תאריך]]="",0,הפחתה7[[#This Row],[ריבית]]+הפחתה7[[#This Row],[קרן]]+הפחתה7[[#This Row],[מדד]])</f>
        <v>701.48420559697968</v>
      </c>
      <c r="AA194" s="13">
        <f ca="1">IF(הפחתה7[[#This Row],[תאריך]]="",0,הפחתה7[[#This Row],[יתרת פתיחה]]-הפחתה7[[#This Row],[קרן]]+הפחתה7[[#This Row],[מדד]])</f>
        <v>59333.637163561994</v>
      </c>
      <c r="AB194" s="11">
        <f ca="1">IF(הפחתה7[[#This Row],[יתרת
סגירה]]&gt;0,LastRow3-ROW(),0)</f>
        <v>109</v>
      </c>
      <c r="AC194" s="17">
        <f>ROWS($AC$4:AC194)</f>
        <v>191</v>
      </c>
      <c r="AD194" s="18" t="str">
        <f ca="1">IF(ValuesEntered4,IF(הפחתה8[[#This Row],[מס'']]&lt;=תקופת_ההלוואה4,IF(ROW()-ROW(הפחתה8[[#Headers],[תאריך]])=1,LoanStart4,IF(AJ193&gt;0,EDATE(AD193,1),"")),""),"")</f>
        <v/>
      </c>
      <c r="AE194" s="19">
        <f ca="1">IF(ROW()-ROW(הפחתה8[[#Headers],[יתרת פתיחה]])=1,סכום_הלוואה4,IF(הפחתה8[[#This Row],[תאריך]]="",0,INDEX(הפחתה8[], ROW()-4,8)))</f>
        <v>0</v>
      </c>
      <c r="AF194" s="19">
        <f ca="1">IF(ValuesEntered4,IF(ROW()-ROW(הפחתה8[[#Headers],[ריבית]])=1,-IPMT(שיעור_ריבית4/12,1,תקופת_ההלוואה4-ROWS($C$4:AD194)+1,הפחתה8[[#This Row],[יתרת פתיחה]]),IFERROR(-IPMT(שיעור_ריבית4/12,1,הפחתה8[[#This Row],[תשלומים
שנותרו]],AE195),0)),0)</f>
        <v>0</v>
      </c>
      <c r="AG194" s="19" t="str">
        <f ca="1">IFERROR(IF(AND(ValuesEntered4,הפחתה8[[#This Row],[תאריך]]&lt;&gt;""),-PPMT(שיעור_ריבית4/12,1,תקופת_ההלוואה4-ROWS($C$4:AD194)+1,הפחתה8[[#This Row],[יתרת פתיחה]]),""),0)</f>
        <v/>
      </c>
      <c r="AH194" s="19">
        <f ca="1">(הפחתה8[[#This Row],[יתרת פתיחה]])*(מדד4/12)</f>
        <v>0</v>
      </c>
      <c r="AI194" s="19">
        <f ca="1">IF(הפחתה8[[#This Row],[תאריך]]="",0,הפחתה8[[#This Row],[ריבית]]+הפחתה8[[#This Row],[קרן]]+הפחתה8[[#This Row],[מדד]])</f>
        <v>0</v>
      </c>
      <c r="AJ194" s="19">
        <f ca="1">IF(הפחתה8[[#This Row],[תאריך]]="",0,הפחתה8[[#This Row],[יתרת פתיחה]]-הפחתה8[[#This Row],[קרן]])</f>
        <v>0</v>
      </c>
      <c r="AK194" s="20">
        <f ca="1">IF(הפחתה8[[#This Row],[יתרת
סגירה]]&gt;0,LastRow4-ROW(),0)</f>
        <v>0</v>
      </c>
    </row>
    <row r="195" spans="1:37" ht="15" customHeight="1" x14ac:dyDescent="0.25">
      <c r="A195" s="8"/>
      <c r="B195" s="11">
        <f>ROWS($B$4:B195)</f>
        <v>192</v>
      </c>
      <c r="C195" s="12">
        <f>IF(ValuesEntered,IF(הפחתה[[#This Row],[מס'']]&lt;=תקופת_ההלוואה,IF(ROW()-ROW(הפחתה[[#Headers],[תאריך]])=1,LoanStart,IF(I194&gt;0,EDATE(C194,1),"")),""),"")</f>
        <v>51196</v>
      </c>
      <c r="D195" s="13">
        <f>IF(ROW()-ROW(הפחתה[[#Headers],[יתרת פתיחה]])=1,סכום_הלוואה,IF(הפחתה[[#This Row],[תאריך]]="",0,INDEX(הפחתה[], ROW()-4,8)))</f>
        <v>396166.66243737109</v>
      </c>
      <c r="E195" s="13">
        <f>IF(ValuesEntered,IF(ROW()-ROW(הפחתה[[#Headers],[ריבית]])=1,-IPMT(שיעור_ריבית/12,1,תקופת_ההלוואה-ROWS($C$4:C195)+1,הפחתה[[#This Row],[יתרת פתיחה]]),IFERROR(-IPMT(שיעור_ריבית/12,1,הפחתה[[#This Row],[תשלומים
שנותרו]],D196),0)),0)</f>
        <v>1742.7485202180944</v>
      </c>
      <c r="F195" s="13">
        <f>IFERROR(IF(AND(ValuesEntered,הפחתה[[#This Row],[תאריך]]&lt;&gt;""),-PPMT(שיעור_ריבית/12,1,תקופת_ההלוואה-ROWS($C$4:C195)+1,הפחתה[[#This Row],[יתרת פתיחה]]),""),0)</f>
        <v>1582.0918219534969</v>
      </c>
      <c r="G195" s="13">
        <f>(הפחתה[[#This Row],[יתרת פתיחה]])*(מדד/12)</f>
        <v>0</v>
      </c>
      <c r="H195" s="13">
        <f>IF(הפחתה[[#This Row],[תאריך]]="",0,הפחתה[[#This Row],[ריבית]]+הפחתה[[#This Row],[קרן]]+הפחתה[[#This Row],[מדד]])</f>
        <v>3324.8403421715911</v>
      </c>
      <c r="I195" s="13">
        <f>IF(הפחתה[[#This Row],[תאריך]]="",0,הפחתה[[#This Row],[יתרת פתיחה]]-הפחתה[[#This Row],[קרן]]+הפחתה[[#This Row],[מדד]])</f>
        <v>394584.57061541762</v>
      </c>
      <c r="J195" s="11">
        <f>IF(הפחתה[[#This Row],[יתרת
סגירה]]&gt;0,LastRow-ROW(),0)</f>
        <v>168</v>
      </c>
      <c r="K195" s="11">
        <f>ROWS($K$4:K195)</f>
        <v>192</v>
      </c>
      <c r="L195" s="12">
        <f>IF(ValuesEntered2,IF(הפחתה5[[#This Row],[מס'']]&lt;=תקופת_ההלוואה2,IF(ROW()-ROW(הפחתה5[[#Headers],[תאריך]])=1,LoanStart2,IF(R194&gt;0,EDATE(L194,1),"")),""),"")</f>
        <v>51196</v>
      </c>
      <c r="M195" s="13">
        <f>IF(ROW()-ROW(הפחתה5[[#Headers],[יתרת פתיחה]])=1,סכום_הלוואה2,IF(הפחתה5[[#This Row],[תאריך]]="",0,INDEX(הפחתה5[], ROW()-4,8)))</f>
        <v>150739.49773975511</v>
      </c>
      <c r="N195" s="13">
        <f>IF(ValuesEntered2,IF(ROW()-ROW(הפחתה5[[#Headers],[ריבית]])=1,-IPMT(שיעור_ריבית2/12,1,תקופת_ההלוואה2-ROWS($L$4:L195)+1,הפחתה5[[#This Row],[יתרת פתיחה]]),IFERROR(-IPMT(שיעור_ריבית2/12,1,הפחתה5[[#This Row],[תשלומים
שנותרו]],M196),0)),0)</f>
        <v>586.04361995864815</v>
      </c>
      <c r="O195" s="13">
        <f>IFERROR(IF(AND(ValuesEntered2,הפחתה5[[#This Row],[תאריך]]&lt;&gt;""),-PPMT(שיעור_ריבית2/12,1,תקופת_ההלוואה2-ROWS($L$4:L195)+1,הפחתה5[[#This Row],[יתרת פתיחה]]),""),0)</f>
        <v>1111.3394524406845</v>
      </c>
      <c r="P195" s="13">
        <f>(הפחתה5[[#This Row],[יתרת פתיחה]])*(מדד2/12)</f>
        <v>0</v>
      </c>
      <c r="Q195" s="13">
        <f>IF(הפחתה5[[#This Row],[תאריך]]="",0,הפחתה5[[#This Row],[ריבית]]+הפחתה5[[#This Row],[קרן]]+הפחתה5[[#This Row],[מדד]])</f>
        <v>1697.3830723993326</v>
      </c>
      <c r="R195" s="13">
        <f>IF(הפחתה5[[#This Row],[תאריך]]="",0,הפחתה5[[#This Row],[יתרת פתיחה]]-הפחתה5[[#This Row],[קרן]]+הפחתה5[[#This Row],[מדד]])</f>
        <v>149628.15828731444</v>
      </c>
      <c r="S195" s="11">
        <f>IF(הפחתה5[[#This Row],[יתרת
סגירה]]&gt;0,LastRow2-ROW(),0)</f>
        <v>108</v>
      </c>
      <c r="T195" s="11">
        <f>ROWS($T$4:T195)</f>
        <v>192</v>
      </c>
      <c r="U195" s="12">
        <f ca="1">IF(ValuesEntered3,IF(הפחתה7[[#This Row],[מס'']]&lt;=תקופת_ההלוואה3,IF(ROW()-ROW(הפחתה7[[#Headers],[תאריך]])=1,LoanStart3,IF(AA194&gt;0,EDATE(U194,1),"")),""),"")</f>
        <v>51434</v>
      </c>
      <c r="V195" s="13">
        <f ca="1">IF(ROW()-ROW(הפחתה7[[#Headers],[יתרת פתיחה]])=1,סכום_הלוואה3,IF(הפחתה7[[#This Row],[תאריך]]="",0,INDEX(הפחתה7[], ROW()-4,8)))</f>
        <v>59333.637163561994</v>
      </c>
      <c r="W195" s="13">
        <f ca="1">IF(ValuesEntered3,IF(ROW()-ROW(הפחתה7[[#Headers],[ריבית]])=1,-IPMT(שיעור_ריבית3/12,1,תקופת_ההלוואה3-ROWS($C$4:U195)+1,הפחתה7[[#This Row],[יתרת פתיחה]]),IFERROR(-IPMT(שיעור_ריבית3/12,1,הפחתה7[[#This Row],[תשלומים
שנותרו]],V196),0)),0)</f>
        <v>112.97321051290243</v>
      </c>
      <c r="X195" s="13">
        <f ca="1">IFERROR(IF(AND(ValuesEntered3,הפחתה7[[#This Row],[תאריך]]&lt;&gt;""),-PPMT(שיעור_ריבית3/12,1,תקופת_ההלוואה3-ROWS($C$4:U195)+1,הפחתה7[[#This Row],[יתרת פתיחה]]),""),0)</f>
        <v>489.9819434072416</v>
      </c>
      <c r="Y195" s="13">
        <f ca="1">(הפחתה7[[#This Row],[יתרת פתיחה]])*(מדד3/12)</f>
        <v>98.889395272603323</v>
      </c>
      <c r="Z195" s="13">
        <f ca="1">IF(הפחתה7[[#This Row],[תאריך]]="",0,הפחתה7[[#This Row],[ריבית]]+הפחתה7[[#This Row],[קרן]]+הפחתה7[[#This Row],[מדד]])</f>
        <v>701.84454919274742</v>
      </c>
      <c r="AA195" s="13">
        <f ca="1">IF(הפחתה7[[#This Row],[תאריך]]="",0,הפחתה7[[#This Row],[יתרת פתיחה]]-הפחתה7[[#This Row],[קרן]]+הפחתה7[[#This Row],[מדד]])</f>
        <v>58942.54461542736</v>
      </c>
      <c r="AB195" s="11">
        <f ca="1">IF(הפחתה7[[#This Row],[יתרת
סגירה]]&gt;0,LastRow3-ROW(),0)</f>
        <v>108</v>
      </c>
      <c r="AC195" s="17">
        <f>ROWS($AC$4:AC195)</f>
        <v>192</v>
      </c>
      <c r="AD195" s="18" t="str">
        <f ca="1">IF(ValuesEntered4,IF(הפחתה8[[#This Row],[מס'']]&lt;=תקופת_ההלוואה4,IF(ROW()-ROW(הפחתה8[[#Headers],[תאריך]])=1,LoanStart4,IF(AJ194&gt;0,EDATE(AD194,1),"")),""),"")</f>
        <v/>
      </c>
      <c r="AE195" s="19">
        <f ca="1">IF(ROW()-ROW(הפחתה8[[#Headers],[יתרת פתיחה]])=1,סכום_הלוואה4,IF(הפחתה8[[#This Row],[תאריך]]="",0,INDEX(הפחתה8[], ROW()-4,8)))</f>
        <v>0</v>
      </c>
      <c r="AF195" s="19">
        <f ca="1">IF(ValuesEntered4,IF(ROW()-ROW(הפחתה8[[#Headers],[ריבית]])=1,-IPMT(שיעור_ריבית4/12,1,תקופת_ההלוואה4-ROWS($C$4:AD195)+1,הפחתה8[[#This Row],[יתרת פתיחה]]),IFERROR(-IPMT(שיעור_ריבית4/12,1,הפחתה8[[#This Row],[תשלומים
שנותרו]],AE196),0)),0)</f>
        <v>0</v>
      </c>
      <c r="AG195" s="19" t="str">
        <f ca="1">IFERROR(IF(AND(ValuesEntered4,הפחתה8[[#This Row],[תאריך]]&lt;&gt;""),-PPMT(שיעור_ריבית4/12,1,תקופת_ההלוואה4-ROWS($C$4:AD195)+1,הפחתה8[[#This Row],[יתרת פתיחה]]),""),0)</f>
        <v/>
      </c>
      <c r="AH195" s="19">
        <f ca="1">(הפחתה8[[#This Row],[יתרת פתיחה]])*(מדד4/12)</f>
        <v>0</v>
      </c>
      <c r="AI195" s="19">
        <f ca="1">IF(הפחתה8[[#This Row],[תאריך]]="",0,הפחתה8[[#This Row],[ריבית]]+הפחתה8[[#This Row],[קרן]]+הפחתה8[[#This Row],[מדד]])</f>
        <v>0</v>
      </c>
      <c r="AJ195" s="19">
        <f ca="1">IF(הפחתה8[[#This Row],[תאריך]]="",0,הפחתה8[[#This Row],[יתרת פתיחה]]-הפחתה8[[#This Row],[קרן]])</f>
        <v>0</v>
      </c>
      <c r="AK195" s="20">
        <f ca="1">IF(הפחתה8[[#This Row],[יתרת
סגירה]]&gt;0,LastRow4-ROW(),0)</f>
        <v>0</v>
      </c>
    </row>
    <row r="196" spans="1:37" ht="15" customHeight="1" x14ac:dyDescent="0.25">
      <c r="A196" s="8"/>
      <c r="B196" s="11">
        <f>ROWS($B$4:B196)</f>
        <v>193</v>
      </c>
      <c r="C196" s="12">
        <f>IF(ValuesEntered,IF(הפחתה[[#This Row],[מס'']]&lt;=תקופת_ההלוואה,IF(ROW()-ROW(הפחתה[[#Headers],[תאריך]])=1,LoanStart,IF(I195&gt;0,EDATE(C195,1),"")),""),"")</f>
        <v>51227</v>
      </c>
      <c r="D196" s="13">
        <f>IF(ROW()-ROW(הפחתה[[#Headers],[יתרת פתיחה]])=1,סכום_הלוואה,IF(הפחתה[[#This Row],[תאריך]]="",0,INDEX(הפחתה[], ROW()-4,8)))</f>
        <v>394584.57061541762</v>
      </c>
      <c r="E196" s="13">
        <f>IF(ValuesEntered,IF(ROW()-ROW(הפחתה[[#Headers],[ריבית]])=1,-IPMT(שיעור_ריבית/12,1,תקופת_ההלוואה-ROWS($C$4:C196)+1,הפחתה[[#This Row],[יתרת פתיחה]]),IFERROR(-IPMT(שיעור_ריבית/12,1,הפחתה[[#This Row],[תשלומים
שנותרו]],D197),0)),0)</f>
        <v>1735.7300862271898</v>
      </c>
      <c r="F196" s="13">
        <f>IFERROR(IF(AND(ValuesEntered,הפחתה[[#This Row],[תאריך]]&lt;&gt;""),-PPMT(שיעור_ריבית/12,1,תקופת_ההלוואה-ROWS($C$4:C196)+1,הפחתה[[#This Row],[יתרת פתיחה]]),""),0)</f>
        <v>1589.079394167125</v>
      </c>
      <c r="G196" s="13">
        <f>(הפחתה[[#This Row],[יתרת פתיחה]])*(מדד/12)</f>
        <v>0</v>
      </c>
      <c r="H196" s="13">
        <f>IF(הפחתה[[#This Row],[תאריך]]="",0,הפחתה[[#This Row],[ריבית]]+הפחתה[[#This Row],[קרן]]+הפחתה[[#This Row],[מדד]])</f>
        <v>3324.809480394315</v>
      </c>
      <c r="I196" s="13">
        <f>IF(הפחתה[[#This Row],[תאריך]]="",0,הפחתה[[#This Row],[יתרת פתיחה]]-הפחתה[[#This Row],[קרן]]+הפחתה[[#This Row],[מדד]])</f>
        <v>392995.4912212505</v>
      </c>
      <c r="J196" s="11">
        <f>IF(הפחתה[[#This Row],[יתרת
סגירה]]&gt;0,LastRow-ROW(),0)</f>
        <v>167</v>
      </c>
      <c r="K196" s="11">
        <f>ROWS($K$4:K196)</f>
        <v>193</v>
      </c>
      <c r="L196" s="12">
        <f>IF(ValuesEntered2,IF(הפחתה5[[#This Row],[מס'']]&lt;=תקופת_ההלוואה2,IF(ROW()-ROW(הפחתה5[[#Headers],[תאריך]])=1,LoanStart2,IF(R195&gt;0,EDATE(L195,1),"")),""),"")</f>
        <v>51227</v>
      </c>
      <c r="M196" s="13">
        <f>IF(ROW()-ROW(הפחתה5[[#Headers],[יתרת פתיחה]])=1,סכום_הלוואה2,IF(הפחתה5[[#This Row],[תאריך]]="",0,INDEX(הפחתה5[], ROW()-4,8)))</f>
        <v>149628.15828731444</v>
      </c>
      <c r="N196" s="13">
        <f>IF(ValuesEntered2,IF(ROW()-ROW(הפחתה5[[#Headers],[ריבית]])=1,-IPMT(שיעור_ריבית2/12,1,תקופת_ההלוואה2-ROWS($L$4:L196)+1,הפחתה5[[#This Row],[יתרת פתיחה]]),IFERROR(-IPMT(שיעור_ריבית2/12,1,הפחתה5[[#This Row],[תשלומים
שנותרו]],M197),0)),0)</f>
        <v>581.67382551401636</v>
      </c>
      <c r="O196" s="13">
        <f>IFERROR(IF(AND(ValuesEntered2,הפחתה5[[#This Row],[תאריך]]&lt;&gt;""),-PPMT(שיעור_ריבית2/12,1,תקופת_ההלוואה2-ROWS($L$4:L196)+1,הפחתה5[[#This Row],[יתרת פתיחה]]),""),0)</f>
        <v>1115.6921986294108</v>
      </c>
      <c r="P196" s="13">
        <f>(הפחתה5[[#This Row],[יתרת פתיחה]])*(מדד2/12)</f>
        <v>0</v>
      </c>
      <c r="Q196" s="13">
        <f>IF(הפחתה5[[#This Row],[תאריך]]="",0,הפחתה5[[#This Row],[ריבית]]+הפחתה5[[#This Row],[קרן]]+הפחתה5[[#This Row],[מדד]])</f>
        <v>1697.3660241434272</v>
      </c>
      <c r="R196" s="13">
        <f>IF(הפחתה5[[#This Row],[תאריך]]="",0,הפחתה5[[#This Row],[יתרת פתיחה]]-הפחתה5[[#This Row],[קרן]]+הפחתה5[[#This Row],[מדד]])</f>
        <v>148512.46608868503</v>
      </c>
      <c r="S196" s="11">
        <f>IF(הפחתה5[[#This Row],[יתרת
סגירה]]&gt;0,LastRow2-ROW(),0)</f>
        <v>107</v>
      </c>
      <c r="T196" s="11">
        <f>ROWS($T$4:T196)</f>
        <v>193</v>
      </c>
      <c r="U196" s="12">
        <f ca="1">IF(ValuesEntered3,IF(הפחתה7[[#This Row],[מס'']]&lt;=תקופת_ההלוואה3,IF(ROW()-ROW(הפחתה7[[#Headers],[תאריך]])=1,LoanStart3,IF(AA195&gt;0,EDATE(U195,1),"")),""),"")</f>
        <v>51465</v>
      </c>
      <c r="V196" s="13">
        <f ca="1">IF(ROW()-ROW(הפחתה7[[#Headers],[יתרת פתיחה]])=1,סכום_הלוואה3,IF(הפחתה7[[#This Row],[תאריך]]="",0,INDEX(הפחתה7[], ROW()-4,8)))</f>
        <v>58942.54461542736</v>
      </c>
      <c r="W196" s="13">
        <f ca="1">IF(ValuesEntered3,IF(ROW()-ROW(הפחתה7[[#Headers],[ריבית]])=1,-IPMT(שיעור_ריבית3/12,1,תקופת_ההלוואה3-ROWS($C$4:U196)+1,הפחתה7[[#This Row],[יתרת פתיחה]]),IFERROR(-IPMT(שיעור_ריבית3/12,1,הפחתה7[[#This Row],[תשלומים
שנותרו]],V197),0)),0)</f>
        <v>112.21898585735536</v>
      </c>
      <c r="X196" s="13">
        <f ca="1">IFERROR(IF(AND(ValuesEntered3,הפחתה7[[#This Row],[תאריך]]&lt;&gt;""),-PPMT(שיעור_ריבית3/12,1,תקופת_ההלוואה3-ROWS($C$4:U196)+1,הפחתה7[[#This Row],[יתרת פתיחה]]),""),0)</f>
        <v>491.74609029665078</v>
      </c>
      <c r="Y196" s="13">
        <f ca="1">(הפחתה7[[#This Row],[יתרת פתיחה]])*(מדד3/12)</f>
        <v>98.23757435904561</v>
      </c>
      <c r="Z196" s="13">
        <f ca="1">IF(הפחתה7[[#This Row],[תאריך]]="",0,הפחתה7[[#This Row],[ריבית]]+הפחתה7[[#This Row],[קרן]]+הפחתה7[[#This Row],[מדד]])</f>
        <v>702.20265051305182</v>
      </c>
      <c r="AA196" s="13">
        <f ca="1">IF(הפחתה7[[#This Row],[תאריך]]="",0,הפחתה7[[#This Row],[יתרת פתיחה]]-הפחתה7[[#This Row],[קרן]]+הפחתה7[[#This Row],[מדד]])</f>
        <v>58549.036099489756</v>
      </c>
      <c r="AB196" s="11">
        <f ca="1">IF(הפחתה7[[#This Row],[יתרת
סגירה]]&gt;0,LastRow3-ROW(),0)</f>
        <v>107</v>
      </c>
      <c r="AC196" s="17">
        <f>ROWS($AC$4:AC196)</f>
        <v>193</v>
      </c>
      <c r="AD196" s="18" t="str">
        <f ca="1">IF(ValuesEntered4,IF(הפחתה8[[#This Row],[מס'']]&lt;=תקופת_ההלוואה4,IF(ROW()-ROW(הפחתה8[[#Headers],[תאריך]])=1,LoanStart4,IF(AJ195&gt;0,EDATE(AD195,1),"")),""),"")</f>
        <v/>
      </c>
      <c r="AE196" s="19">
        <f ca="1">IF(ROW()-ROW(הפחתה8[[#Headers],[יתרת פתיחה]])=1,סכום_הלוואה4,IF(הפחתה8[[#This Row],[תאריך]]="",0,INDEX(הפחתה8[], ROW()-4,8)))</f>
        <v>0</v>
      </c>
      <c r="AF196" s="19">
        <f ca="1">IF(ValuesEntered4,IF(ROW()-ROW(הפחתה8[[#Headers],[ריבית]])=1,-IPMT(שיעור_ריבית4/12,1,תקופת_ההלוואה4-ROWS($C$4:AD196)+1,הפחתה8[[#This Row],[יתרת פתיחה]]),IFERROR(-IPMT(שיעור_ריבית4/12,1,הפחתה8[[#This Row],[תשלומים
שנותרו]],AE197),0)),0)</f>
        <v>0</v>
      </c>
      <c r="AG196" s="19" t="str">
        <f ca="1">IFERROR(IF(AND(ValuesEntered4,הפחתה8[[#This Row],[תאריך]]&lt;&gt;""),-PPMT(שיעור_ריבית4/12,1,תקופת_ההלוואה4-ROWS($C$4:AD196)+1,הפחתה8[[#This Row],[יתרת פתיחה]]),""),0)</f>
        <v/>
      </c>
      <c r="AH196" s="19">
        <f ca="1">(הפחתה8[[#This Row],[יתרת פתיחה]])*(מדד4/12)</f>
        <v>0</v>
      </c>
      <c r="AI196" s="19">
        <f ca="1">IF(הפחתה8[[#This Row],[תאריך]]="",0,הפחתה8[[#This Row],[ריבית]]+הפחתה8[[#This Row],[קרן]]+הפחתה8[[#This Row],[מדד]])</f>
        <v>0</v>
      </c>
      <c r="AJ196" s="19">
        <f ca="1">IF(הפחתה8[[#This Row],[תאריך]]="",0,הפחתה8[[#This Row],[יתרת פתיחה]]-הפחתה8[[#This Row],[קרן]])</f>
        <v>0</v>
      </c>
      <c r="AK196" s="20">
        <f ca="1">IF(הפחתה8[[#This Row],[יתרת
סגירה]]&gt;0,LastRow4-ROW(),0)</f>
        <v>0</v>
      </c>
    </row>
    <row r="197" spans="1:37" ht="15" customHeight="1" x14ac:dyDescent="0.25">
      <c r="A197" s="8"/>
      <c r="B197" s="11">
        <f>ROWS($B$4:B197)</f>
        <v>194</v>
      </c>
      <c r="C197" s="12">
        <f>IF(ValuesEntered,IF(הפחתה[[#This Row],[מס'']]&lt;=תקופת_ההלוואה,IF(ROW()-ROW(הפחתה[[#Headers],[תאריך]])=1,LoanStart,IF(I196&gt;0,EDATE(C196,1),"")),""),"")</f>
        <v>51257</v>
      </c>
      <c r="D197" s="13">
        <f>IF(ROW()-ROW(הפחתה[[#Headers],[יתרת פתיחה]])=1,סכום_הלוואה,IF(הפחתה[[#This Row],[תאריך]]="",0,INDEX(הפחתה[], ROW()-4,8)))</f>
        <v>392995.4912212505</v>
      </c>
      <c r="E197" s="13">
        <f>IF(ValuesEntered,IF(ROW()-ROW(הפחתה[[#Headers],[ריבית]])=1,-IPMT(שיעור_ריבית/12,1,תקופת_ההלוואה-ROWS($C$4:C197)+1,הפחתה[[#This Row],[יתרת פתיחה]]),IFERROR(-IPMT(שיעור_ריבית/12,1,הפחתה[[#This Row],[תשלומים
שנותרו]],D198),0)),0)</f>
        <v>1728.6806541528254</v>
      </c>
      <c r="F197" s="13">
        <f>IFERROR(IF(AND(ValuesEntered,הפחתה[[#This Row],[תאריך]]&lt;&gt;""),-PPMT(שיעור_ריבית/12,1,תקופת_ההלוואה-ROWS($C$4:C197)+1,הפחתה[[#This Row],[יתרת פתיחה]]),""),0)</f>
        <v>1596.0978281580296</v>
      </c>
      <c r="G197" s="13">
        <f>(הפחתה[[#This Row],[יתרת פתיחה]])*(מדד/12)</f>
        <v>0</v>
      </c>
      <c r="H197" s="13">
        <f>IF(הפחתה[[#This Row],[תאריך]]="",0,הפחתה[[#This Row],[ריבית]]+הפחתה[[#This Row],[קרן]]+הפחתה[[#This Row],[מדד]])</f>
        <v>3324.778482310855</v>
      </c>
      <c r="I197" s="13">
        <f>IF(הפחתה[[#This Row],[תאריך]]="",0,הפחתה[[#This Row],[יתרת פתיחה]]-הפחתה[[#This Row],[קרן]]+הפחתה[[#This Row],[מדד]])</f>
        <v>391399.3933930925</v>
      </c>
      <c r="J197" s="11">
        <f>IF(הפחתה[[#This Row],[יתרת
סגירה]]&gt;0,LastRow-ROW(),0)</f>
        <v>166</v>
      </c>
      <c r="K197" s="11">
        <f>ROWS($K$4:K197)</f>
        <v>194</v>
      </c>
      <c r="L197" s="12">
        <f>IF(ValuesEntered2,IF(הפחתה5[[#This Row],[מס'']]&lt;=תקופת_ההלוואה2,IF(ROW()-ROW(הפחתה5[[#Headers],[תאריך]])=1,LoanStart2,IF(R196&gt;0,EDATE(L196,1),"")),""),"")</f>
        <v>51257</v>
      </c>
      <c r="M197" s="13">
        <f>IF(ROW()-ROW(הפחתה5[[#Headers],[יתרת פתיחה]])=1,סכום_הלוואה2,IF(הפחתה5[[#This Row],[תאריך]]="",0,INDEX(הפחתה5[], ROW()-4,8)))</f>
        <v>148512.46608868503</v>
      </c>
      <c r="N197" s="13">
        <f>IF(ValuesEntered2,IF(ROW()-ROW(הפחתה5[[#Headers],[ריבית]])=1,-IPMT(שיעור_ריבית2/12,1,תקופת_ההלוואה2-ROWS($L$4:L197)+1,הפחתה5[[#This Row],[יתרת פתיחה]]),IFERROR(-IPMT(שיעור_ריבית2/12,1,הפחתה5[[#This Row],[תשלומים
שנותרו]],M198),0)),0)</f>
        <v>577.28691604114294</v>
      </c>
      <c r="O197" s="13">
        <f>IFERROR(IF(AND(ValuesEntered2,הפחתה5[[#This Row],[תאריך]]&lt;&gt;""),-PPMT(שיעור_ריבית2/12,1,תקופת_ההלוואה2-ROWS($L$4:L197)+1,הפחתה5[[#This Row],[יתרת פתיחה]]),""),0)</f>
        <v>1120.0619930740427</v>
      </c>
      <c r="P197" s="13">
        <f>(הפחתה5[[#This Row],[יתרת פתיחה]])*(מדד2/12)</f>
        <v>0</v>
      </c>
      <c r="Q197" s="13">
        <f>IF(הפחתה5[[#This Row],[תאריך]]="",0,הפחתה5[[#This Row],[ריבית]]+הפחתה5[[#This Row],[קרן]]+הפחתה5[[#This Row],[מדד]])</f>
        <v>1697.3489091151855</v>
      </c>
      <c r="R197" s="13">
        <f>IF(הפחתה5[[#This Row],[תאריך]]="",0,הפחתה5[[#This Row],[יתרת פתיחה]]-הפחתה5[[#This Row],[קרן]]+הפחתה5[[#This Row],[מדד]])</f>
        <v>147392.40409561098</v>
      </c>
      <c r="S197" s="11">
        <f>IF(הפחתה5[[#This Row],[יתרת
סגירה]]&gt;0,LastRow2-ROW(),0)</f>
        <v>106</v>
      </c>
      <c r="T197" s="11">
        <f>ROWS($T$4:T197)</f>
        <v>194</v>
      </c>
      <c r="U197" s="12">
        <f ca="1">IF(ValuesEntered3,IF(הפחתה7[[#This Row],[מס'']]&lt;=תקופת_ההלוואה3,IF(ROW()-ROW(הפחתה7[[#Headers],[תאריך]])=1,LoanStart3,IF(AA196&gt;0,EDATE(U196,1),"")),""),"")</f>
        <v>51495</v>
      </c>
      <c r="V197" s="13">
        <f ca="1">IF(ROW()-ROW(הפחתה7[[#Headers],[יתרת פתיחה]])=1,סכום_הלוואה3,IF(הפחתה7[[#This Row],[תאריך]]="",0,INDEX(הפחתה7[], ROW()-4,8)))</f>
        <v>58549.036099489756</v>
      </c>
      <c r="W197" s="13">
        <f ca="1">IF(ValuesEntered3,IF(ROW()-ROW(הפחתה7[[#Headers],[ריבית]])=1,-IPMT(שיעור_ריבית3/12,1,תקופת_ההלוואה3-ROWS($C$4:U197)+1,הפחתה7[[#This Row],[יתרת פתיחה]]),IFERROR(-IPMT(שיעור_ריבית3/12,1,הפחתה7[[#This Row],[תשלומים
שנותרו]],V198),0)),0)</f>
        <v>111.46011056951687</v>
      </c>
      <c r="X197" s="13">
        <f ca="1">IFERROR(IF(AND(ValuesEntered3,הפחתה7[[#This Row],[תאריך]]&lt;&gt;""),-PPMT(שיעור_ריבית3/12,1,תקופת_ההלוואה3-ROWS($C$4:U197)+1,הפחתה7[[#This Row],[יתרת פתיחה]]),""),0)</f>
        <v>493.51665961777303</v>
      </c>
      <c r="Y197" s="13">
        <f ca="1">(הפחתה7[[#This Row],[יתרת פתיחה]])*(מדד3/12)</f>
        <v>97.581726832482929</v>
      </c>
      <c r="Z197" s="13">
        <f ca="1">IF(הפחתה7[[#This Row],[תאריך]]="",0,הפחתה7[[#This Row],[ריבית]]+הפחתה7[[#This Row],[קרן]]+הפחתה7[[#This Row],[מדד]])</f>
        <v>702.55849701977286</v>
      </c>
      <c r="AA197" s="13">
        <f ca="1">IF(הפחתה7[[#This Row],[תאריך]]="",0,הפחתה7[[#This Row],[יתרת פתיחה]]-הפחתה7[[#This Row],[קרן]]+הפחתה7[[#This Row],[מדד]])</f>
        <v>58153.101166704466</v>
      </c>
      <c r="AB197" s="11">
        <f ca="1">IF(הפחתה7[[#This Row],[יתרת
סגירה]]&gt;0,LastRow3-ROW(),0)</f>
        <v>106</v>
      </c>
      <c r="AC197" s="17">
        <f>ROWS($AC$4:AC197)</f>
        <v>194</v>
      </c>
      <c r="AD197" s="18" t="str">
        <f ca="1">IF(ValuesEntered4,IF(הפחתה8[[#This Row],[מס'']]&lt;=תקופת_ההלוואה4,IF(ROW()-ROW(הפחתה8[[#Headers],[תאריך]])=1,LoanStart4,IF(AJ196&gt;0,EDATE(AD196,1),"")),""),"")</f>
        <v/>
      </c>
      <c r="AE197" s="19">
        <f ca="1">IF(ROW()-ROW(הפחתה8[[#Headers],[יתרת פתיחה]])=1,סכום_הלוואה4,IF(הפחתה8[[#This Row],[תאריך]]="",0,INDEX(הפחתה8[], ROW()-4,8)))</f>
        <v>0</v>
      </c>
      <c r="AF197" s="19">
        <f ca="1">IF(ValuesEntered4,IF(ROW()-ROW(הפחתה8[[#Headers],[ריבית]])=1,-IPMT(שיעור_ריבית4/12,1,תקופת_ההלוואה4-ROWS($C$4:AD197)+1,הפחתה8[[#This Row],[יתרת פתיחה]]),IFERROR(-IPMT(שיעור_ריבית4/12,1,הפחתה8[[#This Row],[תשלומים
שנותרו]],AE198),0)),0)</f>
        <v>0</v>
      </c>
      <c r="AG197" s="19" t="str">
        <f ca="1">IFERROR(IF(AND(ValuesEntered4,הפחתה8[[#This Row],[תאריך]]&lt;&gt;""),-PPMT(שיעור_ריבית4/12,1,תקופת_ההלוואה4-ROWS($C$4:AD197)+1,הפחתה8[[#This Row],[יתרת פתיחה]]),""),0)</f>
        <v/>
      </c>
      <c r="AH197" s="19">
        <f ca="1">(הפחתה8[[#This Row],[יתרת פתיחה]])*(מדד4/12)</f>
        <v>0</v>
      </c>
      <c r="AI197" s="19">
        <f ca="1">IF(הפחתה8[[#This Row],[תאריך]]="",0,הפחתה8[[#This Row],[ריבית]]+הפחתה8[[#This Row],[קרן]]+הפחתה8[[#This Row],[מדד]])</f>
        <v>0</v>
      </c>
      <c r="AJ197" s="19">
        <f ca="1">IF(הפחתה8[[#This Row],[תאריך]]="",0,הפחתה8[[#This Row],[יתרת פתיחה]]-הפחתה8[[#This Row],[קרן]])</f>
        <v>0</v>
      </c>
      <c r="AK197" s="20">
        <f ca="1">IF(הפחתה8[[#This Row],[יתרת
סגירה]]&gt;0,LastRow4-ROW(),0)</f>
        <v>0</v>
      </c>
    </row>
    <row r="198" spans="1:37" ht="15" customHeight="1" x14ac:dyDescent="0.25">
      <c r="A198" s="8"/>
      <c r="B198" s="11">
        <f>ROWS($B$4:B198)</f>
        <v>195</v>
      </c>
      <c r="C198" s="12">
        <f>IF(ValuesEntered,IF(הפחתה[[#This Row],[מס'']]&lt;=תקופת_ההלוואה,IF(ROW()-ROW(הפחתה[[#Headers],[תאריך]])=1,LoanStart,IF(I197&gt;0,EDATE(C197,1),"")),""),"")</f>
        <v>51288</v>
      </c>
      <c r="D198" s="13">
        <f>IF(ROW()-ROW(הפחתה[[#Headers],[יתרת פתיחה]])=1,סכום_הלוואה,IF(הפחתה[[#This Row],[תאריך]]="",0,INDEX(הפחתה[], ROW()-4,8)))</f>
        <v>391399.3933930925</v>
      </c>
      <c r="E198" s="13">
        <f>IF(ValuesEntered,IF(ROW()-ROW(הפחתה[[#Headers],[ריבית]])=1,-IPMT(שיעור_ריבית/12,1,תקופת_ההלוואה-ROWS($C$4:C198)+1,הפחתה[[#This Row],[יתרת פתיחה]]),IFERROR(-IPMT(שיעור_ריבית/12,1,הפחתה[[#This Row],[תשלומים
שנותרו]],D199),0)),0)</f>
        <v>1721.6000870867988</v>
      </c>
      <c r="F198" s="13">
        <f>IFERROR(IF(AND(ValuesEntered,הפחתה[[#This Row],[תאריך]]&lt;&gt;""),-PPMT(שיעור_ריבית/12,1,תקופת_ההלוואה-ROWS($C$4:C198)+1,הפחתה[[#This Row],[יתרת פתיחה]]),""),0)</f>
        <v>1603.1472602323945</v>
      </c>
      <c r="G198" s="13">
        <f>(הפחתה[[#This Row],[יתרת פתיחה]])*(מדד/12)</f>
        <v>0</v>
      </c>
      <c r="H198" s="13">
        <f>IF(הפחתה[[#This Row],[תאריך]]="",0,הפחתה[[#This Row],[ריבית]]+הפחתה[[#This Row],[קרן]]+הפחתה[[#This Row],[מדד]])</f>
        <v>3324.7473473191931</v>
      </c>
      <c r="I198" s="13">
        <f>IF(הפחתה[[#This Row],[תאריך]]="",0,הפחתה[[#This Row],[יתרת פתיחה]]-הפחתה[[#This Row],[קרן]]+הפחתה[[#This Row],[מדד]])</f>
        <v>389796.24613286008</v>
      </c>
      <c r="J198" s="11">
        <f>IF(הפחתה[[#This Row],[יתרת
סגירה]]&gt;0,LastRow-ROW(),0)</f>
        <v>165</v>
      </c>
      <c r="K198" s="11">
        <f>ROWS($K$4:K198)</f>
        <v>195</v>
      </c>
      <c r="L198" s="12">
        <f>IF(ValuesEntered2,IF(הפחתה5[[#This Row],[מס'']]&lt;=תקופת_ההלוואה2,IF(ROW()-ROW(הפחתה5[[#Headers],[תאריך]])=1,LoanStart2,IF(R197&gt;0,EDATE(L197,1),"")),""),"")</f>
        <v>51288</v>
      </c>
      <c r="M198" s="13">
        <f>IF(ROW()-ROW(הפחתה5[[#Headers],[יתרת פתיחה]])=1,סכום_הלוואה2,IF(הפחתה5[[#This Row],[תאריך]]="",0,INDEX(הפחתה5[], ROW()-4,8)))</f>
        <v>147392.40409561098</v>
      </c>
      <c r="N198" s="13">
        <f>IF(ValuesEntered2,IF(ROW()-ROW(הפחתה5[[#Headers],[ריבית]])=1,-IPMT(שיעור_ריבית2/12,1,תקופת_ההלוואה2-ROWS($L$4:L198)+1,הפחתה5[[#This Row],[יתרת פתיחה]]),IFERROR(-IPMT(שיעור_ריבית2/12,1,הפחתה5[[#This Row],[תשלומים
שנותרו]],M199),0)),0)</f>
        <v>572.88282450616748</v>
      </c>
      <c r="O198" s="13">
        <f>IFERROR(IF(AND(ValuesEntered2,הפחתה5[[#This Row],[תאריך]]&lt;&gt;""),-PPMT(שיעור_ריבית2/12,1,תקופת_ההלוואה2-ROWS($L$4:L198)+1,הפחתה5[[#This Row],[יתרת פתיחה]]),""),0)</f>
        <v>1124.4489025469156</v>
      </c>
      <c r="P198" s="13">
        <f>(הפחתה5[[#This Row],[יתרת פתיחה]])*(מדד2/12)</f>
        <v>0</v>
      </c>
      <c r="Q198" s="13">
        <f>IF(הפחתה5[[#This Row],[תאריך]]="",0,הפחתה5[[#This Row],[ריבית]]+הפחתה5[[#This Row],[קרן]]+הפחתה5[[#This Row],[מדד]])</f>
        <v>1697.3317270530831</v>
      </c>
      <c r="R198" s="13">
        <f>IF(הפחתה5[[#This Row],[תאריך]]="",0,הפחתה5[[#This Row],[יתרת פתיחה]]-הפחתה5[[#This Row],[קרן]]+הפחתה5[[#This Row],[מדד]])</f>
        <v>146267.95519306406</v>
      </c>
      <c r="S198" s="11">
        <f>IF(הפחתה5[[#This Row],[יתרת
סגירה]]&gt;0,LastRow2-ROW(),0)</f>
        <v>105</v>
      </c>
      <c r="T198" s="11">
        <f>ROWS($T$4:T198)</f>
        <v>195</v>
      </c>
      <c r="U198" s="12">
        <f ca="1">IF(ValuesEntered3,IF(הפחתה7[[#This Row],[מס'']]&lt;=תקופת_ההלוואה3,IF(ROW()-ROW(הפחתה7[[#Headers],[תאריך]])=1,LoanStart3,IF(AA197&gt;0,EDATE(U197,1),"")),""),"")</f>
        <v>51526</v>
      </c>
      <c r="V198" s="13">
        <f ca="1">IF(ROW()-ROW(הפחתה7[[#Headers],[יתרת פתיחה]])=1,סכום_הלוואה3,IF(הפחתה7[[#This Row],[תאריך]]="",0,INDEX(הפחתה7[], ROW()-4,8)))</f>
        <v>58153.101166704466</v>
      </c>
      <c r="W198" s="13">
        <f ca="1">IF(ValuesEntered3,IF(ROW()-ROW(הפחתה7[[#Headers],[ריבית]])=1,-IPMT(שיעור_ריבית3/12,1,תקופת_ההלוואה3-ROWS($C$4:U198)+1,הפחתה7[[#This Row],[יתרת פתיחה]]),IFERROR(-IPMT(שיעור_ריבית3/12,1,הפחתה7[[#This Row],[תשלומים
שנותרו]],V199),0)),0)</f>
        <v>110.69656454079949</v>
      </c>
      <c r="X198" s="13">
        <f ca="1">IFERROR(IF(AND(ValuesEntered3,הפחתה7[[#This Row],[תאריך]]&lt;&gt;""),-PPMT(שיעור_ריבית3/12,1,תקופת_ההלוואה3-ROWS($C$4:U198)+1,הפחתה7[[#This Row],[יתרת פתיחה]]),""),0)</f>
        <v>495.29367634779896</v>
      </c>
      <c r="Y198" s="13">
        <f ca="1">(הפחתה7[[#This Row],[יתרת פתיחה]])*(מדד3/12)</f>
        <v>96.921835277840785</v>
      </c>
      <c r="Z198" s="13">
        <f ca="1">IF(הפחתה7[[#This Row],[תאריך]]="",0,הפחתה7[[#This Row],[ריבית]]+הפחתה7[[#This Row],[קרן]]+הפחתה7[[#This Row],[מדד]])</f>
        <v>702.91207616643919</v>
      </c>
      <c r="AA198" s="13">
        <f ca="1">IF(הפחתה7[[#This Row],[תאריך]]="",0,הפחתה7[[#This Row],[יתרת פתיחה]]-הפחתה7[[#This Row],[קרן]]+הפחתה7[[#This Row],[מדד]])</f>
        <v>57754.729325634507</v>
      </c>
      <c r="AB198" s="11">
        <f ca="1">IF(הפחתה7[[#This Row],[יתרת
סגירה]]&gt;0,LastRow3-ROW(),0)</f>
        <v>105</v>
      </c>
      <c r="AC198" s="17">
        <f>ROWS($AC$4:AC198)</f>
        <v>195</v>
      </c>
      <c r="AD198" s="18" t="str">
        <f ca="1">IF(ValuesEntered4,IF(הפחתה8[[#This Row],[מס'']]&lt;=תקופת_ההלוואה4,IF(ROW()-ROW(הפחתה8[[#Headers],[תאריך]])=1,LoanStart4,IF(AJ197&gt;0,EDATE(AD197,1),"")),""),"")</f>
        <v/>
      </c>
      <c r="AE198" s="19">
        <f ca="1">IF(ROW()-ROW(הפחתה8[[#Headers],[יתרת פתיחה]])=1,סכום_הלוואה4,IF(הפחתה8[[#This Row],[תאריך]]="",0,INDEX(הפחתה8[], ROW()-4,8)))</f>
        <v>0</v>
      </c>
      <c r="AF198" s="19">
        <f ca="1">IF(ValuesEntered4,IF(ROW()-ROW(הפחתה8[[#Headers],[ריבית]])=1,-IPMT(שיעור_ריבית4/12,1,תקופת_ההלוואה4-ROWS($C$4:AD198)+1,הפחתה8[[#This Row],[יתרת פתיחה]]),IFERROR(-IPMT(שיעור_ריבית4/12,1,הפחתה8[[#This Row],[תשלומים
שנותרו]],AE199),0)),0)</f>
        <v>0</v>
      </c>
      <c r="AG198" s="19" t="str">
        <f ca="1">IFERROR(IF(AND(ValuesEntered4,הפחתה8[[#This Row],[תאריך]]&lt;&gt;""),-PPMT(שיעור_ריבית4/12,1,תקופת_ההלוואה4-ROWS($C$4:AD198)+1,הפחתה8[[#This Row],[יתרת פתיחה]]),""),0)</f>
        <v/>
      </c>
      <c r="AH198" s="19">
        <f ca="1">(הפחתה8[[#This Row],[יתרת פתיחה]])*(מדד4/12)</f>
        <v>0</v>
      </c>
      <c r="AI198" s="19">
        <f ca="1">IF(הפחתה8[[#This Row],[תאריך]]="",0,הפחתה8[[#This Row],[ריבית]]+הפחתה8[[#This Row],[קרן]]+הפחתה8[[#This Row],[מדד]])</f>
        <v>0</v>
      </c>
      <c r="AJ198" s="19">
        <f ca="1">IF(הפחתה8[[#This Row],[תאריך]]="",0,הפחתה8[[#This Row],[יתרת פתיחה]]-הפחתה8[[#This Row],[קרן]])</f>
        <v>0</v>
      </c>
      <c r="AK198" s="20">
        <f ca="1">IF(הפחתה8[[#This Row],[יתרת
סגירה]]&gt;0,LastRow4-ROW(),0)</f>
        <v>0</v>
      </c>
    </row>
    <row r="199" spans="1:37" ht="15" customHeight="1" x14ac:dyDescent="0.25">
      <c r="A199" s="8"/>
      <c r="B199" s="11">
        <f>ROWS($B$4:B199)</f>
        <v>196</v>
      </c>
      <c r="C199" s="12">
        <f>IF(ValuesEntered,IF(הפחתה[[#This Row],[מס'']]&lt;=תקופת_ההלוואה,IF(ROW()-ROW(הפחתה[[#Headers],[תאריך]])=1,LoanStart,IF(I198&gt;0,EDATE(C198,1),"")),""),"")</f>
        <v>51318</v>
      </c>
      <c r="D199" s="13">
        <f>IF(ROW()-ROW(הפחתה[[#Headers],[יתרת פתיחה]])=1,סכום_הלוואה,IF(הפחתה[[#This Row],[תאריך]]="",0,INDEX(הפחתה[], ROW()-4,8)))</f>
        <v>389796.24613286008</v>
      </c>
      <c r="E199" s="13">
        <f>IF(ValuesEntered,IF(ROW()-ROW(הפחתה[[#Headers],[ריבית]])=1,-IPMT(שיעור_ריבית/12,1,תקופת_ההלוואה-ROWS($C$4:C199)+1,הפחתה[[#This Row],[יתרת פתיחה]]),IFERROR(-IPMT(שיעור_ריבית/12,1,הפחתה[[#This Row],[תשלומים
שנותרו]],D200),0)),0)</f>
        <v>1714.4882475162308</v>
      </c>
      <c r="F199" s="13">
        <f>IFERROR(IF(AND(ValuesEntered,הפחתה[[#This Row],[תאריך]]&lt;&gt;""),-PPMT(שיעור_ריבית/12,1,תקופת_ההלוואה-ROWS($C$4:C199)+1,הפחתה[[#This Row],[יתרת פתיחה]]),""),0)</f>
        <v>1610.2278272984206</v>
      </c>
      <c r="G199" s="13">
        <f>(הפחתה[[#This Row],[יתרת פתיחה]])*(מדד/12)</f>
        <v>0</v>
      </c>
      <c r="H199" s="13">
        <f>IF(הפחתה[[#This Row],[תאריך]]="",0,הפחתה[[#This Row],[ריבית]]+הפחתה[[#This Row],[קרן]]+הפחתה[[#This Row],[מדד]])</f>
        <v>3324.7160748146516</v>
      </c>
      <c r="I199" s="13">
        <f>IF(הפחתה[[#This Row],[תאריך]]="",0,הפחתה[[#This Row],[יתרת פתיחה]]-הפחתה[[#This Row],[קרן]]+הפחתה[[#This Row],[מדד]])</f>
        <v>388186.01830556168</v>
      </c>
      <c r="J199" s="11">
        <f>IF(הפחתה[[#This Row],[יתרת
סגירה]]&gt;0,LastRow-ROW(),0)</f>
        <v>164</v>
      </c>
      <c r="K199" s="11">
        <f>ROWS($K$4:K199)</f>
        <v>196</v>
      </c>
      <c r="L199" s="12">
        <f>IF(ValuesEntered2,IF(הפחתה5[[#This Row],[מס'']]&lt;=תקופת_ההלוואה2,IF(ROW()-ROW(הפחתה5[[#Headers],[תאריך]])=1,LoanStart2,IF(R198&gt;0,EDATE(L198,1),"")),""),"")</f>
        <v>51318</v>
      </c>
      <c r="M199" s="13">
        <f>IF(ROW()-ROW(הפחתה5[[#Headers],[יתרת פתיחה]])=1,סכום_הלוואה2,IF(הפחתה5[[#This Row],[תאריך]]="",0,INDEX(הפחתה5[], ROW()-4,8)))</f>
        <v>146267.95519306406</v>
      </c>
      <c r="N199" s="13">
        <f>IF(ValuesEntered2,IF(ROW()-ROW(הפחתה5[[#Headers],[ריבית]])=1,-IPMT(שיעור_ריבית2/12,1,תקופת_ההלוואה2-ROWS($L$4:L199)+1,הפחתה5[[#This Row],[יתרת פתיחה]]),IFERROR(-IPMT(שיעור_ריבית2/12,1,הפחתה5[[#This Row],[תשלומים
שנותרו]],M200),0)),0)</f>
        <v>568.46148361268013</v>
      </c>
      <c r="O199" s="13">
        <f>IFERROR(IF(AND(ValuesEntered2,הפחתה5[[#This Row],[תאריך]]&lt;&gt;""),-PPMT(שיעור_ריבית2/12,1,תקופת_ההלוואה2-ROWS($L$4:L199)+1,הפחתה5[[#This Row],[יתרת פתיחה]]),""),0)</f>
        <v>1128.8529940818912</v>
      </c>
      <c r="P199" s="13">
        <f>(הפחתה5[[#This Row],[יתרת פתיחה]])*(מדד2/12)</f>
        <v>0</v>
      </c>
      <c r="Q199" s="13">
        <f>IF(הפחתה5[[#This Row],[תאריך]]="",0,הפחתה5[[#This Row],[ריבית]]+הפחתה5[[#This Row],[קרן]]+הפחתה5[[#This Row],[מדד]])</f>
        <v>1697.3144776945715</v>
      </c>
      <c r="R199" s="13">
        <f>IF(הפחתה5[[#This Row],[תאריך]]="",0,הפחתה5[[#This Row],[יתרת פתיחה]]-הפחתה5[[#This Row],[קרן]]+הפחתה5[[#This Row],[מדד]])</f>
        <v>145139.10219898217</v>
      </c>
      <c r="S199" s="11">
        <f>IF(הפחתה5[[#This Row],[יתרת
סגירה]]&gt;0,LastRow2-ROW(),0)</f>
        <v>104</v>
      </c>
      <c r="T199" s="11">
        <f>ROWS($T$4:T199)</f>
        <v>196</v>
      </c>
      <c r="U199" s="12">
        <f ca="1">IF(ValuesEntered3,IF(הפחתה7[[#This Row],[מס'']]&lt;=תקופת_ההלוואה3,IF(ROW()-ROW(הפחתה7[[#Headers],[תאריך]])=1,LoanStart3,IF(AA198&gt;0,EDATE(U198,1),"")),""),"")</f>
        <v>51557</v>
      </c>
      <c r="V199" s="13">
        <f ca="1">IF(ROW()-ROW(הפחתה7[[#Headers],[יתרת פתיחה]])=1,סכום_הלוואה3,IF(הפחתה7[[#This Row],[תאריך]]="",0,INDEX(הפחתה7[], ROW()-4,8)))</f>
        <v>57754.729325634507</v>
      </c>
      <c r="W199" s="13">
        <f ca="1">IF(ValuesEntered3,IF(ROW()-ROW(הפחתה7[[#Headers],[ריבית]])=1,-IPMT(שיעור_ריבית3/12,1,תקופת_ההלוואה3-ROWS($C$4:U199)+1,הפחתה7[[#This Row],[יתרת פתיחה]]),IFERROR(-IPMT(שיעור_ריבית3/12,1,הפחתה7[[#This Row],[תשלומים
שנותרו]],V200),0)),0)</f>
        <v>109.92832758094887</v>
      </c>
      <c r="X199" s="13">
        <f ca="1">IFERROR(IF(AND(ValuesEntered3,הפחתה7[[#This Row],[תאריך]]&lt;&gt;""),-PPMT(שיעור_ריבית3/12,1,תקופת_ההלוואה3-ROWS($C$4:U199)+1,הפחתה7[[#This Row],[יתרת פתיחה]]),""),0)</f>
        <v>497.07716560969686</v>
      </c>
      <c r="Y199" s="13">
        <f ca="1">(הפחתה7[[#This Row],[יתרת פתיחה]])*(מדד3/12)</f>
        <v>96.257882209390857</v>
      </c>
      <c r="Z199" s="13">
        <f ca="1">IF(הפחתה7[[#This Row],[תאריך]]="",0,הפחתה7[[#This Row],[ריבית]]+הפחתה7[[#This Row],[קרן]]+הפחתה7[[#This Row],[מדד]])</f>
        <v>703.26337540003669</v>
      </c>
      <c r="AA199" s="13">
        <f ca="1">IF(הפחתה7[[#This Row],[תאריך]]="",0,הפחתה7[[#This Row],[יתרת פתיחה]]-הפחתה7[[#This Row],[קרן]]+הפחתה7[[#This Row],[מדד]])</f>
        <v>57353.910042234202</v>
      </c>
      <c r="AB199" s="11">
        <f ca="1">IF(הפחתה7[[#This Row],[יתרת
סגירה]]&gt;0,LastRow3-ROW(),0)</f>
        <v>104</v>
      </c>
      <c r="AC199" s="17">
        <f>ROWS($AC$4:AC199)</f>
        <v>196</v>
      </c>
      <c r="AD199" s="18" t="str">
        <f ca="1">IF(ValuesEntered4,IF(הפחתה8[[#This Row],[מס'']]&lt;=תקופת_ההלוואה4,IF(ROW()-ROW(הפחתה8[[#Headers],[תאריך]])=1,LoanStart4,IF(AJ198&gt;0,EDATE(AD198,1),"")),""),"")</f>
        <v/>
      </c>
      <c r="AE199" s="19">
        <f ca="1">IF(ROW()-ROW(הפחתה8[[#Headers],[יתרת פתיחה]])=1,סכום_הלוואה4,IF(הפחתה8[[#This Row],[תאריך]]="",0,INDEX(הפחתה8[], ROW()-4,8)))</f>
        <v>0</v>
      </c>
      <c r="AF199" s="19">
        <f ca="1">IF(ValuesEntered4,IF(ROW()-ROW(הפחתה8[[#Headers],[ריבית]])=1,-IPMT(שיעור_ריבית4/12,1,תקופת_ההלוואה4-ROWS($C$4:AD199)+1,הפחתה8[[#This Row],[יתרת פתיחה]]),IFERROR(-IPMT(שיעור_ריבית4/12,1,הפחתה8[[#This Row],[תשלומים
שנותרו]],AE200),0)),0)</f>
        <v>0</v>
      </c>
      <c r="AG199" s="19" t="str">
        <f ca="1">IFERROR(IF(AND(ValuesEntered4,הפחתה8[[#This Row],[תאריך]]&lt;&gt;""),-PPMT(שיעור_ריבית4/12,1,תקופת_ההלוואה4-ROWS($C$4:AD199)+1,הפחתה8[[#This Row],[יתרת פתיחה]]),""),0)</f>
        <v/>
      </c>
      <c r="AH199" s="19">
        <f ca="1">(הפחתה8[[#This Row],[יתרת פתיחה]])*(מדד4/12)</f>
        <v>0</v>
      </c>
      <c r="AI199" s="19">
        <f ca="1">IF(הפחתה8[[#This Row],[תאריך]]="",0,הפחתה8[[#This Row],[ריבית]]+הפחתה8[[#This Row],[קרן]]+הפחתה8[[#This Row],[מדד]])</f>
        <v>0</v>
      </c>
      <c r="AJ199" s="19">
        <f ca="1">IF(הפחתה8[[#This Row],[תאריך]]="",0,הפחתה8[[#This Row],[יתרת פתיחה]]-הפחתה8[[#This Row],[קרן]])</f>
        <v>0</v>
      </c>
      <c r="AK199" s="20">
        <f ca="1">IF(הפחתה8[[#This Row],[יתרת
סגירה]]&gt;0,LastRow4-ROW(),0)</f>
        <v>0</v>
      </c>
    </row>
    <row r="200" spans="1:37" ht="15" customHeight="1" x14ac:dyDescent="0.25">
      <c r="A200" s="8"/>
      <c r="B200" s="11">
        <f>ROWS($B$4:B200)</f>
        <v>197</v>
      </c>
      <c r="C200" s="12">
        <f>IF(ValuesEntered,IF(הפחתה[[#This Row],[מס'']]&lt;=תקופת_ההלוואה,IF(ROW()-ROW(הפחתה[[#Headers],[תאריך]])=1,LoanStart,IF(I199&gt;0,EDATE(C199,1),"")),""),"")</f>
        <v>51349</v>
      </c>
      <c r="D200" s="13">
        <f>IF(ROW()-ROW(הפחתה[[#Headers],[יתרת פתיחה]])=1,סכום_הלוואה,IF(הפחתה[[#This Row],[תאריך]]="",0,INDEX(הפחתה[], ROW()-4,8)))</f>
        <v>388186.01830556168</v>
      </c>
      <c r="E200" s="13">
        <f>IF(ValuesEntered,IF(ROW()-ROW(הפחתה[[#Headers],[ריבית]])=1,-IPMT(שיעור_ריבית/12,1,תקופת_ההלוואה-ROWS($C$4:C200)+1,הפחתה[[#This Row],[יתרת פתיחה]]),IFERROR(-IPMT(שיעור_ריבית/12,1,הפחתה[[#This Row],[תשלומים
שנותרו]],D201),0)),0)</f>
        <v>1707.3449973208928</v>
      </c>
      <c r="F200" s="13">
        <f>IFERROR(IF(AND(ValuesEntered,הפחתה[[#This Row],[תאריך]]&lt;&gt;""),-PPMT(שיעור_ריבית/12,1,תקופת_ההלוואה-ROWS($C$4:C200)+1,הפחתה[[#This Row],[יתרת פתיחה]]),""),0)</f>
        <v>1617.3396668689886</v>
      </c>
      <c r="G200" s="13">
        <f>(הפחתה[[#This Row],[יתרת פתיחה]])*(מדד/12)</f>
        <v>0</v>
      </c>
      <c r="H200" s="13">
        <f>IF(הפחתה[[#This Row],[תאריך]]="",0,הפחתה[[#This Row],[ריבית]]+הפחתה[[#This Row],[קרן]]+הפחתה[[#This Row],[מדד]])</f>
        <v>3324.6846641898815</v>
      </c>
      <c r="I200" s="13">
        <f>IF(הפחתה[[#This Row],[תאריך]]="",0,הפחתה[[#This Row],[יתרת פתיחה]]-הפחתה[[#This Row],[קרן]]+הפחתה[[#This Row],[מדד]])</f>
        <v>386568.67863869271</v>
      </c>
      <c r="J200" s="11">
        <f>IF(הפחתה[[#This Row],[יתרת
סגירה]]&gt;0,LastRow-ROW(),0)</f>
        <v>163</v>
      </c>
      <c r="K200" s="11">
        <f>ROWS($K$4:K200)</f>
        <v>197</v>
      </c>
      <c r="L200" s="12">
        <f>IF(ValuesEntered2,IF(הפחתה5[[#This Row],[מס'']]&lt;=תקופת_ההלוואה2,IF(ROW()-ROW(הפחתה5[[#Headers],[תאריך]])=1,LoanStart2,IF(R199&gt;0,EDATE(L199,1),"")),""),"")</f>
        <v>51349</v>
      </c>
      <c r="M200" s="13">
        <f>IF(ROW()-ROW(הפחתה5[[#Headers],[יתרת פתיחה]])=1,סכום_הלוואה2,IF(הפחתה5[[#This Row],[תאריך]]="",0,INDEX(הפחתה5[], ROW()-4,8)))</f>
        <v>145139.10219898217</v>
      </c>
      <c r="N200" s="13">
        <f>IF(ValuesEntered2,IF(ROW()-ROW(הפחתה5[[#Headers],[ריבית]])=1,-IPMT(שיעור_ריבית2/12,1,תקופת_ההלוואה2-ROWS($L$4:L200)+1,הפחתה5[[#This Row],[יתרת פתיחה]]),IFERROR(-IPMT(שיעור_ריבית2/12,1,הפחתה5[[#This Row],[תשלומים
שנותרו]],M201),0)),0)</f>
        <v>564.02282580069323</v>
      </c>
      <c r="O200" s="13">
        <f>IFERROR(IF(AND(ValuesEntered2,הפחתה5[[#This Row],[תאריך]]&lt;&gt;""),-PPMT(שיעור_ריבית2/12,1,תקופת_ההלוואה2-ROWS($L$4:L200)+1,הפחתה5[[#This Row],[יתרת פתיחה]]),""),0)</f>
        <v>1133.2743349753789</v>
      </c>
      <c r="P200" s="13">
        <f>(הפחתה5[[#This Row],[יתרת פתיחה]])*(מדד2/12)</f>
        <v>0</v>
      </c>
      <c r="Q200" s="13">
        <f>IF(הפחתה5[[#This Row],[תאריך]]="",0,הפחתה5[[#This Row],[ריבית]]+הפחתה5[[#This Row],[קרן]]+הפחתה5[[#This Row],[מדד]])</f>
        <v>1697.2971607760721</v>
      </c>
      <c r="R200" s="13">
        <f>IF(הפחתה5[[#This Row],[תאריך]]="",0,הפחתה5[[#This Row],[יתרת פתיחה]]-הפחתה5[[#This Row],[קרן]]+הפחתה5[[#This Row],[מדד]])</f>
        <v>144005.8278640068</v>
      </c>
      <c r="S200" s="11">
        <f>IF(הפחתה5[[#This Row],[יתרת
סגירה]]&gt;0,LastRow2-ROW(),0)</f>
        <v>103</v>
      </c>
      <c r="T200" s="11">
        <f>ROWS($T$4:T200)</f>
        <v>197</v>
      </c>
      <c r="U200" s="12">
        <f ca="1">IF(ValuesEntered3,IF(הפחתה7[[#This Row],[מס'']]&lt;=תקופת_ההלוואה3,IF(ROW()-ROW(הפחתה7[[#Headers],[תאריך]])=1,LoanStart3,IF(AA199&gt;0,EDATE(U199,1),"")),""),"")</f>
        <v>51585</v>
      </c>
      <c r="V200" s="13">
        <f ca="1">IF(ROW()-ROW(הפחתה7[[#Headers],[יתרת פתיחה]])=1,סכום_הלוואה3,IF(הפחתה7[[#This Row],[תאריך]]="",0,INDEX(הפחתה7[], ROW()-4,8)))</f>
        <v>57353.910042234202</v>
      </c>
      <c r="W200" s="13">
        <f ca="1">IF(ValuesEntered3,IF(ROW()-ROW(הפחתה7[[#Headers],[ריבית]])=1,-IPMT(שיעור_ריבית3/12,1,תקופת_ההלוואה3-ROWS($C$4:U200)+1,הפחתה7[[#This Row],[יתרת פתיחה]]),IFERROR(-IPMT(שיעור_ריבית3/12,1,הפחתה7[[#This Row],[תשלומים
שנותרו]],V201),0)),0)</f>
        <v>109.15537941762356</v>
      </c>
      <c r="X200" s="13">
        <f ca="1">IFERROR(IF(AND(ValuesEntered3,הפחתה7[[#This Row],[תאריך]]&lt;&gt;""),-PPMT(שיעור_ריבית3/12,1,תקופת_ההלוואה3-ROWS($C$4:U200)+1,הפחתה7[[#This Row],[יתרת פתיחה]]),""),0)</f>
        <v>498.86715267490069</v>
      </c>
      <c r="Y200" s="13">
        <f ca="1">(הפחתה7[[#This Row],[יתרת פתיחה]])*(מדד3/12)</f>
        <v>95.589850070390341</v>
      </c>
      <c r="Z200" s="13">
        <f ca="1">IF(הפחתה7[[#This Row],[תאריך]]="",0,הפחתה7[[#This Row],[ריבית]]+הפחתה7[[#This Row],[קרן]]+הפחתה7[[#This Row],[מדד]])</f>
        <v>703.61238216291451</v>
      </c>
      <c r="AA200" s="13">
        <f ca="1">IF(הפחתה7[[#This Row],[תאריך]]="",0,הפחתה7[[#This Row],[יתרת פתיחה]]-הפחתה7[[#This Row],[קרן]]+הפחתה7[[#This Row],[מדד]])</f>
        <v>56950.632739629691</v>
      </c>
      <c r="AB200" s="11">
        <f ca="1">IF(הפחתה7[[#This Row],[יתרת
סגירה]]&gt;0,LastRow3-ROW(),0)</f>
        <v>103</v>
      </c>
      <c r="AC200" s="17">
        <f>ROWS($AC$4:AC200)</f>
        <v>197</v>
      </c>
      <c r="AD200" s="18" t="str">
        <f ca="1">IF(ValuesEntered4,IF(הפחתה8[[#This Row],[מס'']]&lt;=תקופת_ההלוואה4,IF(ROW()-ROW(הפחתה8[[#Headers],[תאריך]])=1,LoanStart4,IF(AJ199&gt;0,EDATE(AD199,1),"")),""),"")</f>
        <v/>
      </c>
      <c r="AE200" s="19">
        <f ca="1">IF(ROW()-ROW(הפחתה8[[#Headers],[יתרת פתיחה]])=1,סכום_הלוואה4,IF(הפחתה8[[#This Row],[תאריך]]="",0,INDEX(הפחתה8[], ROW()-4,8)))</f>
        <v>0</v>
      </c>
      <c r="AF200" s="19">
        <f ca="1">IF(ValuesEntered4,IF(ROW()-ROW(הפחתה8[[#Headers],[ריבית]])=1,-IPMT(שיעור_ריבית4/12,1,תקופת_ההלוואה4-ROWS($C$4:AD200)+1,הפחתה8[[#This Row],[יתרת פתיחה]]),IFERROR(-IPMT(שיעור_ריבית4/12,1,הפחתה8[[#This Row],[תשלומים
שנותרו]],AE201),0)),0)</f>
        <v>0</v>
      </c>
      <c r="AG200" s="19" t="str">
        <f ca="1">IFERROR(IF(AND(ValuesEntered4,הפחתה8[[#This Row],[תאריך]]&lt;&gt;""),-PPMT(שיעור_ריבית4/12,1,תקופת_ההלוואה4-ROWS($C$4:AD200)+1,הפחתה8[[#This Row],[יתרת פתיחה]]),""),0)</f>
        <v/>
      </c>
      <c r="AH200" s="19">
        <f ca="1">(הפחתה8[[#This Row],[יתרת פתיחה]])*(מדד4/12)</f>
        <v>0</v>
      </c>
      <c r="AI200" s="19">
        <f ca="1">IF(הפחתה8[[#This Row],[תאריך]]="",0,הפחתה8[[#This Row],[ריבית]]+הפחתה8[[#This Row],[קרן]]+הפחתה8[[#This Row],[מדד]])</f>
        <v>0</v>
      </c>
      <c r="AJ200" s="19">
        <f ca="1">IF(הפחתה8[[#This Row],[תאריך]]="",0,הפחתה8[[#This Row],[יתרת פתיחה]]-הפחתה8[[#This Row],[קרן]])</f>
        <v>0</v>
      </c>
      <c r="AK200" s="20">
        <f ca="1">IF(הפחתה8[[#This Row],[יתרת
סגירה]]&gt;0,LastRow4-ROW(),0)</f>
        <v>0</v>
      </c>
    </row>
    <row r="201" spans="1:37" ht="15" customHeight="1" x14ac:dyDescent="0.25">
      <c r="A201" s="8"/>
      <c r="B201" s="11">
        <f>ROWS($B$4:B201)</f>
        <v>198</v>
      </c>
      <c r="C201" s="12">
        <f>IF(ValuesEntered,IF(הפחתה[[#This Row],[מס'']]&lt;=תקופת_ההלוואה,IF(ROW()-ROW(הפחתה[[#Headers],[תאריך]])=1,LoanStart,IF(I200&gt;0,EDATE(C200,1),"")),""),"")</f>
        <v>51380</v>
      </c>
      <c r="D201" s="13">
        <f>IF(ROW()-ROW(הפחתה[[#Headers],[יתרת פתיחה]])=1,סכום_הלוואה,IF(הפחתה[[#This Row],[תאריך]]="",0,INDEX(הפחתה[], ROW()-4,8)))</f>
        <v>386568.67863869271</v>
      </c>
      <c r="E201" s="13">
        <f>IF(ValuesEntered,IF(ROW()-ROW(הפחתה[[#Headers],[ריבית]])=1,-IPMT(שיעור_ריבית/12,1,תקופת_ההלוואה-ROWS($C$4:C201)+1,הפחתה[[#This Row],[יתרת פתיחה]]),IFERROR(-IPMT(שיעור_ריבית/12,1,הפחתה[[#This Row],[תשלומים
שנותרו]],D202),0)),0)</f>
        <v>1700.1701977705254</v>
      </c>
      <c r="F201" s="13">
        <f>IFERROR(IF(AND(ValuesEntered,הפחתה[[#This Row],[תאריך]]&lt;&gt;""),-PPMT(שיעור_ריבית/12,1,תקופת_ההלוואה-ROWS($C$4:C201)+1,הפחתה[[#This Row],[יתרת פתיחה]]),""),0)</f>
        <v>1624.482917064327</v>
      </c>
      <c r="G201" s="13">
        <f>(הפחתה[[#This Row],[יתרת פתיחה]])*(מדד/12)</f>
        <v>0</v>
      </c>
      <c r="H201" s="13">
        <f>IF(הפחתה[[#This Row],[תאריך]]="",0,הפחתה[[#This Row],[ריבית]]+הפחתה[[#This Row],[קרן]]+הפחתה[[#This Row],[מדד]])</f>
        <v>3324.6531148348522</v>
      </c>
      <c r="I201" s="13">
        <f>IF(הפחתה[[#This Row],[תאריך]]="",0,הפחתה[[#This Row],[יתרת פתיחה]]-הפחתה[[#This Row],[קרן]]+הפחתה[[#This Row],[מדד]])</f>
        <v>384944.19572162838</v>
      </c>
      <c r="J201" s="11">
        <f>IF(הפחתה[[#This Row],[יתרת
סגירה]]&gt;0,LastRow-ROW(),0)</f>
        <v>162</v>
      </c>
      <c r="K201" s="11">
        <f>ROWS($K$4:K201)</f>
        <v>198</v>
      </c>
      <c r="L201" s="12">
        <f>IF(ValuesEntered2,IF(הפחתה5[[#This Row],[מס'']]&lt;=תקופת_ההלוואה2,IF(ROW()-ROW(הפחתה5[[#Headers],[תאריך]])=1,LoanStart2,IF(R200&gt;0,EDATE(L200,1),"")),""),"")</f>
        <v>51380</v>
      </c>
      <c r="M201" s="13">
        <f>IF(ROW()-ROW(הפחתה5[[#Headers],[יתרת פתיחה]])=1,סכום_הלוואה2,IF(הפחתה5[[#This Row],[תאריך]]="",0,INDEX(הפחתה5[], ROW()-4,8)))</f>
        <v>144005.8278640068</v>
      </c>
      <c r="N201" s="13">
        <f>IF(ValuesEntered2,IF(ROW()-ROW(הפחתה5[[#Headers],[ריבית]])=1,-IPMT(שיעור_ריבית2/12,1,תקופת_ההלוואה2-ROWS($L$4:L201)+1,הפחתה5[[#This Row],[יתרת פתיחה]]),IFERROR(-IPMT(שיעור_ריבית2/12,1,הפחתה5[[#This Row],[תשלומים
שנותרו]],M202),0)),0)</f>
        <v>559.56678324560949</v>
      </c>
      <c r="O201" s="13">
        <f>IFERROR(IF(AND(ValuesEntered2,הפחתה5[[#This Row],[תאריך]]&lt;&gt;""),-PPMT(שיעור_ריבית2/12,1,תקופת_ההלוואה2-ROWS($L$4:L201)+1,הפחתה5[[#This Row],[יתרת פתיחה]]),""),0)</f>
        <v>1137.7129927873657</v>
      </c>
      <c r="P201" s="13">
        <f>(הפחתה5[[#This Row],[יתרת פתיחה]])*(מדד2/12)</f>
        <v>0</v>
      </c>
      <c r="Q201" s="13">
        <f>IF(הפחתה5[[#This Row],[תאריך]]="",0,הפחתה5[[#This Row],[ריבית]]+הפחתה5[[#This Row],[קרן]]+הפחתה5[[#This Row],[מדד]])</f>
        <v>1697.2797760329752</v>
      </c>
      <c r="R201" s="13">
        <f>IF(הפחתה5[[#This Row],[תאריך]]="",0,הפחתה5[[#This Row],[יתרת פתיחה]]-הפחתה5[[#This Row],[קרן]]+הפחתה5[[#This Row],[מדד]])</f>
        <v>142868.11487121944</v>
      </c>
      <c r="S201" s="11">
        <f>IF(הפחתה5[[#This Row],[יתרת
סגירה]]&gt;0,LastRow2-ROW(),0)</f>
        <v>102</v>
      </c>
      <c r="T201" s="11">
        <f>ROWS($T$4:T201)</f>
        <v>198</v>
      </c>
      <c r="U201" s="12">
        <f ca="1">IF(ValuesEntered3,IF(הפחתה7[[#This Row],[מס'']]&lt;=תקופת_ההלוואה3,IF(ROW()-ROW(הפחתה7[[#Headers],[תאריך]])=1,LoanStart3,IF(AA200&gt;0,EDATE(U200,1),"")),""),"")</f>
        <v>51616</v>
      </c>
      <c r="V201" s="13">
        <f ca="1">IF(ROW()-ROW(הפחתה7[[#Headers],[יתרת פתיחה]])=1,סכום_הלוואה3,IF(הפחתה7[[#This Row],[תאריך]]="",0,INDEX(הפחתה7[], ROW()-4,8)))</f>
        <v>56950.632739629691</v>
      </c>
      <c r="W201" s="13">
        <f ca="1">IF(ValuesEntered3,IF(ROW()-ROW(הפחתה7[[#Headers],[ריבית]])=1,-IPMT(שיעור_ריבית3/12,1,תקופת_ההלוואה3-ROWS($C$4:U201)+1,הפחתה7[[#This Row],[יתרת פתיחה]]),IFERROR(-IPMT(שיעור_ריבית3/12,1,הפחתה7[[#This Row],[תשלומים
שנותרו]],V202),0)),0)</f>
        <v>108.37769969596789</v>
      </c>
      <c r="X201" s="13">
        <f ca="1">IFERROR(IF(AND(ValuesEntered3,הפחתה7[[#This Row],[תאריך]]&lt;&gt;""),-PPMT(שיעור_ריבית3/12,1,תקופת_ההלוואה3-ROWS($C$4:U201)+1,הפחתה7[[#This Row],[יתרת פתיחה]]),""),0)</f>
        <v>500.6636629661138</v>
      </c>
      <c r="Y201" s="13">
        <f ca="1">(הפחתה7[[#This Row],[יתרת פתיחה]])*(מדד3/12)</f>
        <v>94.917721232716161</v>
      </c>
      <c r="Z201" s="13">
        <f ca="1">IF(הפחתה7[[#This Row],[תאריך]]="",0,הפחתה7[[#This Row],[ריבית]]+הפחתה7[[#This Row],[קרן]]+הפחתה7[[#This Row],[מדד]])</f>
        <v>703.95908389479791</v>
      </c>
      <c r="AA201" s="13">
        <f ca="1">IF(הפחתה7[[#This Row],[תאריך]]="",0,הפחתה7[[#This Row],[יתרת פתיחה]]-הפחתה7[[#This Row],[קרן]]+הפחתה7[[#This Row],[מדד]])</f>
        <v>56544.886797896295</v>
      </c>
      <c r="AB201" s="11">
        <f ca="1">IF(הפחתה7[[#This Row],[יתרת
סגירה]]&gt;0,LastRow3-ROW(),0)</f>
        <v>102</v>
      </c>
      <c r="AC201" s="17">
        <f>ROWS($AC$4:AC201)</f>
        <v>198</v>
      </c>
      <c r="AD201" s="18" t="str">
        <f ca="1">IF(ValuesEntered4,IF(הפחתה8[[#This Row],[מס'']]&lt;=תקופת_ההלוואה4,IF(ROW()-ROW(הפחתה8[[#Headers],[תאריך]])=1,LoanStart4,IF(AJ200&gt;0,EDATE(AD200,1),"")),""),"")</f>
        <v/>
      </c>
      <c r="AE201" s="19">
        <f ca="1">IF(ROW()-ROW(הפחתה8[[#Headers],[יתרת פתיחה]])=1,סכום_הלוואה4,IF(הפחתה8[[#This Row],[תאריך]]="",0,INDEX(הפחתה8[], ROW()-4,8)))</f>
        <v>0</v>
      </c>
      <c r="AF201" s="19">
        <f ca="1">IF(ValuesEntered4,IF(ROW()-ROW(הפחתה8[[#Headers],[ריבית]])=1,-IPMT(שיעור_ריבית4/12,1,תקופת_ההלוואה4-ROWS($C$4:AD201)+1,הפחתה8[[#This Row],[יתרת פתיחה]]),IFERROR(-IPMT(שיעור_ריבית4/12,1,הפחתה8[[#This Row],[תשלומים
שנותרו]],AE202),0)),0)</f>
        <v>0</v>
      </c>
      <c r="AG201" s="19" t="str">
        <f ca="1">IFERROR(IF(AND(ValuesEntered4,הפחתה8[[#This Row],[תאריך]]&lt;&gt;""),-PPMT(שיעור_ריבית4/12,1,תקופת_ההלוואה4-ROWS($C$4:AD201)+1,הפחתה8[[#This Row],[יתרת פתיחה]]),""),0)</f>
        <v/>
      </c>
      <c r="AH201" s="19">
        <f ca="1">(הפחתה8[[#This Row],[יתרת פתיחה]])*(מדד4/12)</f>
        <v>0</v>
      </c>
      <c r="AI201" s="19">
        <f ca="1">IF(הפחתה8[[#This Row],[תאריך]]="",0,הפחתה8[[#This Row],[ריבית]]+הפחתה8[[#This Row],[קרן]]+הפחתה8[[#This Row],[מדד]])</f>
        <v>0</v>
      </c>
      <c r="AJ201" s="19">
        <f ca="1">IF(הפחתה8[[#This Row],[תאריך]]="",0,הפחתה8[[#This Row],[יתרת פתיחה]]-הפחתה8[[#This Row],[קרן]])</f>
        <v>0</v>
      </c>
      <c r="AK201" s="20">
        <f ca="1">IF(הפחתה8[[#This Row],[יתרת
סגירה]]&gt;0,LastRow4-ROW(),0)</f>
        <v>0</v>
      </c>
    </row>
    <row r="202" spans="1:37" ht="15" customHeight="1" x14ac:dyDescent="0.25">
      <c r="A202" s="8"/>
      <c r="B202" s="11">
        <f>ROWS($B$4:B202)</f>
        <v>199</v>
      </c>
      <c r="C202" s="12">
        <f>IF(ValuesEntered,IF(הפחתה[[#This Row],[מס'']]&lt;=תקופת_ההלוואה,IF(ROW()-ROW(הפחתה[[#Headers],[תאריך]])=1,LoanStart,IF(I201&gt;0,EDATE(C201,1),"")),""),"")</f>
        <v>51410</v>
      </c>
      <c r="D202" s="13">
        <f>IF(ROW()-ROW(הפחתה[[#Headers],[יתרת פתיחה]])=1,סכום_הלוואה,IF(הפחתה[[#This Row],[תאריך]]="",0,INDEX(הפחתה[], ROW()-4,8)))</f>
        <v>384944.19572162838</v>
      </c>
      <c r="E202" s="13">
        <f>IF(ValuesEntered,IF(ROW()-ROW(הפחתה[[#Headers],[ריבית]])=1,-IPMT(שיעור_ריבית/12,1,תקופת_ההלוואה-ROWS($C$4:C202)+1,הפחתה[[#This Row],[יתרת פתיחה]]),IFERROR(-IPMT(שיעור_ריבית/12,1,הפחתה[[#This Row],[תשלומים
שנותרו]],D203),0)),0)</f>
        <v>1692.9637095221437</v>
      </c>
      <c r="F202" s="13">
        <f>IFERROR(IF(AND(ValuesEntered,הפחתה[[#This Row],[תאריך]]&lt;&gt;""),-PPMT(שיעור_ריבית/12,1,תקופת_ההלוואה-ROWS($C$4:C202)+1,הפחתה[[#This Row],[יתרת פתיחה]]),""),0)</f>
        <v>1631.657716614694</v>
      </c>
      <c r="G202" s="13">
        <f>(הפחתה[[#This Row],[יתרת פתיחה]])*(מדד/12)</f>
        <v>0</v>
      </c>
      <c r="H202" s="13">
        <f>IF(הפחתה[[#This Row],[תאריך]]="",0,הפחתה[[#This Row],[ריבית]]+הפחתה[[#This Row],[קרן]]+הפחתה[[#This Row],[מדד]])</f>
        <v>3324.6214261368377</v>
      </c>
      <c r="I202" s="13">
        <f>IF(הפחתה[[#This Row],[תאריך]]="",0,הפחתה[[#This Row],[יתרת פתיחה]]-הפחתה[[#This Row],[קרן]]+הפחתה[[#This Row],[מדד]])</f>
        <v>383312.53800501366</v>
      </c>
      <c r="J202" s="11">
        <f>IF(הפחתה[[#This Row],[יתרת
סגירה]]&gt;0,LastRow-ROW(),0)</f>
        <v>161</v>
      </c>
      <c r="K202" s="11">
        <f>ROWS($K$4:K202)</f>
        <v>199</v>
      </c>
      <c r="L202" s="12">
        <f>IF(ValuesEntered2,IF(הפחתה5[[#This Row],[מס'']]&lt;=תקופת_ההלוואה2,IF(ROW()-ROW(הפחתה5[[#Headers],[תאריך]])=1,LoanStart2,IF(R201&gt;0,EDATE(L201,1),"")),""),"")</f>
        <v>51410</v>
      </c>
      <c r="M202" s="13">
        <f>IF(ROW()-ROW(הפחתה5[[#Headers],[יתרת פתיחה]])=1,סכום_הלוואה2,IF(הפחתה5[[#This Row],[תאריך]]="",0,INDEX(הפחתה5[], ROW()-4,8)))</f>
        <v>142868.11487121944</v>
      </c>
      <c r="N202" s="13">
        <f>IF(ValuesEntered2,IF(ROW()-ROW(הפחתה5[[#Headers],[ריבית]])=1,-IPMT(שיעור_ריבית2/12,1,תקופת_ההלוואה2-ROWS($L$4:L202)+1,הפחתה5[[#This Row],[יתרת פתיחה]]),IFERROR(-IPMT(שיעור_ריבית2/12,1,הפחתה5[[#This Row],[תשלומים
שנותרו]],M203),0)),0)</f>
        <v>555.09328785718481</v>
      </c>
      <c r="O202" s="13">
        <f>IFERROR(IF(AND(ValuesEntered2,הפחתה5[[#This Row],[תאריך]]&lt;&gt;""),-PPMT(שיעור_ריבית2/12,1,תקופת_ההלוואה2-ROWS($L$4:L202)+1,הפחתה5[[#This Row],[יתרת פתיחה]]),""),0)</f>
        <v>1142.1690353424494</v>
      </c>
      <c r="P202" s="13">
        <f>(הפחתה5[[#This Row],[יתרת פתיחה]])*(מדד2/12)</f>
        <v>0</v>
      </c>
      <c r="Q202" s="13">
        <f>IF(הפחתה5[[#This Row],[תאריך]]="",0,הפחתה5[[#This Row],[ריבית]]+הפחתה5[[#This Row],[קרן]]+הפחתה5[[#This Row],[מדד]])</f>
        <v>1697.2623231996342</v>
      </c>
      <c r="R202" s="13">
        <f>IF(הפחתה5[[#This Row],[תאריך]]="",0,הפחתה5[[#This Row],[יתרת פתיחה]]-הפחתה5[[#This Row],[קרן]]+הפחתה5[[#This Row],[מדד]])</f>
        <v>141725.94583587698</v>
      </c>
      <c r="S202" s="11">
        <f>IF(הפחתה5[[#This Row],[יתרת
סגירה]]&gt;0,LastRow2-ROW(),0)</f>
        <v>101</v>
      </c>
      <c r="T202" s="11">
        <f>ROWS($T$4:T202)</f>
        <v>199</v>
      </c>
      <c r="U202" s="12">
        <f ca="1">IF(ValuesEntered3,IF(הפחתה7[[#This Row],[מס'']]&lt;=תקופת_ההלוואה3,IF(ROW()-ROW(הפחתה7[[#Headers],[תאריך]])=1,LoanStart3,IF(AA201&gt;0,EDATE(U201,1),"")),""),"")</f>
        <v>51646</v>
      </c>
      <c r="V202" s="13">
        <f ca="1">IF(ROW()-ROW(הפחתה7[[#Headers],[יתרת פתיחה]])=1,סכום_הלוואה3,IF(הפחתה7[[#This Row],[תאריך]]="",0,INDEX(הפחתה7[], ROW()-4,8)))</f>
        <v>56544.886797896295</v>
      </c>
      <c r="W202" s="13">
        <f ca="1">IF(ValuesEntered3,IF(ROW()-ROW(הפחתה7[[#Headers],[ריבית]])=1,-IPMT(שיעור_ריבית3/12,1,תקופת_ההלוואה3-ROWS($C$4:U202)+1,הפחתה7[[#This Row],[יתרת פתיחה]]),IFERROR(-IPMT(שיעור_ריבית3/12,1,הפחתה7[[#This Row],[תשלומים
שנותרו]],V203),0)),0)</f>
        <v>107.59526797817907</v>
      </c>
      <c r="X202" s="13">
        <f ca="1">IFERROR(IF(AND(ValuesEntered3,הפחתה7[[#This Row],[תאריך]]&lt;&gt;""),-PPMT(שיעור_ריבית3/12,1,תקופת_ההלוואה3-ROWS($C$4:U202)+1,הפחתה7[[#This Row],[יתרת פתיחה]]),""),0)</f>
        <v>502.46672206023243</v>
      </c>
      <c r="Y202" s="13">
        <f ca="1">(הפחתה7[[#This Row],[יתרת פתיחה]])*(מדד3/12)</f>
        <v>94.241477996493828</v>
      </c>
      <c r="Z202" s="13">
        <f ca="1">IF(הפחתה7[[#This Row],[תאריך]]="",0,הפחתה7[[#This Row],[ריבית]]+הפחתה7[[#This Row],[קרן]]+הפחתה7[[#This Row],[מדד]])</f>
        <v>704.30346803490534</v>
      </c>
      <c r="AA202" s="13">
        <f ca="1">IF(הפחתה7[[#This Row],[תאריך]]="",0,הפחתה7[[#This Row],[יתרת פתיחה]]-הפחתה7[[#This Row],[קרן]]+הפחתה7[[#This Row],[מדד]])</f>
        <v>56136.661553832557</v>
      </c>
      <c r="AB202" s="11">
        <f ca="1">IF(הפחתה7[[#This Row],[יתרת
סגירה]]&gt;0,LastRow3-ROW(),0)</f>
        <v>101</v>
      </c>
      <c r="AC202" s="17">
        <f>ROWS($AC$4:AC202)</f>
        <v>199</v>
      </c>
      <c r="AD202" s="18" t="str">
        <f ca="1">IF(ValuesEntered4,IF(הפחתה8[[#This Row],[מס'']]&lt;=תקופת_ההלוואה4,IF(ROW()-ROW(הפחתה8[[#Headers],[תאריך]])=1,LoanStart4,IF(AJ201&gt;0,EDATE(AD201,1),"")),""),"")</f>
        <v/>
      </c>
      <c r="AE202" s="19">
        <f ca="1">IF(ROW()-ROW(הפחתה8[[#Headers],[יתרת פתיחה]])=1,סכום_הלוואה4,IF(הפחתה8[[#This Row],[תאריך]]="",0,INDEX(הפחתה8[], ROW()-4,8)))</f>
        <v>0</v>
      </c>
      <c r="AF202" s="19">
        <f ca="1">IF(ValuesEntered4,IF(ROW()-ROW(הפחתה8[[#Headers],[ריבית]])=1,-IPMT(שיעור_ריבית4/12,1,תקופת_ההלוואה4-ROWS($C$4:AD202)+1,הפחתה8[[#This Row],[יתרת פתיחה]]),IFERROR(-IPMT(שיעור_ריבית4/12,1,הפחתה8[[#This Row],[תשלומים
שנותרו]],AE203),0)),0)</f>
        <v>0</v>
      </c>
      <c r="AG202" s="19" t="str">
        <f ca="1">IFERROR(IF(AND(ValuesEntered4,הפחתה8[[#This Row],[תאריך]]&lt;&gt;""),-PPMT(שיעור_ריבית4/12,1,תקופת_ההלוואה4-ROWS($C$4:AD202)+1,הפחתה8[[#This Row],[יתרת פתיחה]]),""),0)</f>
        <v/>
      </c>
      <c r="AH202" s="19">
        <f ca="1">(הפחתה8[[#This Row],[יתרת פתיחה]])*(מדד4/12)</f>
        <v>0</v>
      </c>
      <c r="AI202" s="19">
        <f ca="1">IF(הפחתה8[[#This Row],[תאריך]]="",0,הפחתה8[[#This Row],[ריבית]]+הפחתה8[[#This Row],[קרן]]+הפחתה8[[#This Row],[מדד]])</f>
        <v>0</v>
      </c>
      <c r="AJ202" s="19">
        <f ca="1">IF(הפחתה8[[#This Row],[תאריך]]="",0,הפחתה8[[#This Row],[יתרת פתיחה]]-הפחתה8[[#This Row],[קרן]])</f>
        <v>0</v>
      </c>
      <c r="AK202" s="20">
        <f ca="1">IF(הפחתה8[[#This Row],[יתרת
סגירה]]&gt;0,LastRow4-ROW(),0)</f>
        <v>0</v>
      </c>
    </row>
    <row r="203" spans="1:37" ht="15" customHeight="1" x14ac:dyDescent="0.25">
      <c r="A203" s="8"/>
      <c r="B203" s="11">
        <f>ROWS($B$4:B203)</f>
        <v>200</v>
      </c>
      <c r="C203" s="12">
        <f>IF(ValuesEntered,IF(הפחתה[[#This Row],[מס'']]&lt;=תקופת_ההלוואה,IF(ROW()-ROW(הפחתה[[#Headers],[תאריך]])=1,LoanStart,IF(I202&gt;0,EDATE(C202,1),"")),""),"")</f>
        <v>51441</v>
      </c>
      <c r="D203" s="13">
        <f>IF(ROW()-ROW(הפחתה[[#Headers],[יתרת פתיחה]])=1,סכום_הלוואה,IF(הפחתה[[#This Row],[תאריך]]="",0,INDEX(הפחתה[], ROW()-4,8)))</f>
        <v>383312.53800501366</v>
      </c>
      <c r="E203" s="13">
        <f>IF(ValuesEntered,IF(ROW()-ROW(הפחתה[[#Headers],[ריבית]])=1,-IPMT(שיעור_ריבית/12,1,תקופת_ההלוואה-ROWS($C$4:C203)+1,הפחתה[[#This Row],[יתרת פתיחה]]),IFERROR(-IPMT(שיעור_ריבית/12,1,הפחתה[[#This Row],[תשלומים
שנותרו]],D204),0)),0)</f>
        <v>1685.7253926173319</v>
      </c>
      <c r="F203" s="13">
        <f>IFERROR(IF(AND(ValuesEntered,הפחתה[[#This Row],[תאריך]]&lt;&gt;""),-PPMT(שיעור_ריבית/12,1,תקופת_ההלוואה-ROWS($C$4:C203)+1,הפחתה[[#This Row],[יתרת פתיחה]]),""),0)</f>
        <v>1638.8642048630761</v>
      </c>
      <c r="G203" s="13">
        <f>(הפחתה[[#This Row],[יתרת פתיחה]])*(מדד/12)</f>
        <v>0</v>
      </c>
      <c r="H203" s="13">
        <f>IF(הפחתה[[#This Row],[תאריך]]="",0,הפחתה[[#This Row],[ריבית]]+הפחתה[[#This Row],[קרן]]+הפחתה[[#This Row],[מדד]])</f>
        <v>3324.589597480408</v>
      </c>
      <c r="I203" s="13">
        <f>IF(הפחתה[[#This Row],[תאריך]]="",0,הפחתה[[#This Row],[יתרת פתיחה]]-הפחתה[[#This Row],[קרן]]+הפחתה[[#This Row],[מדד]])</f>
        <v>381673.67380015057</v>
      </c>
      <c r="J203" s="11">
        <f>IF(הפחתה[[#This Row],[יתרת
סגירה]]&gt;0,LastRow-ROW(),0)</f>
        <v>160</v>
      </c>
      <c r="K203" s="11">
        <f>ROWS($K$4:K203)</f>
        <v>200</v>
      </c>
      <c r="L203" s="12">
        <f>IF(ValuesEntered2,IF(הפחתה5[[#This Row],[מס'']]&lt;=תקופת_ההלוואה2,IF(ROW()-ROW(הפחתה5[[#Headers],[תאריך]])=1,LoanStart2,IF(R202&gt;0,EDATE(L202,1),"")),""),"")</f>
        <v>51441</v>
      </c>
      <c r="M203" s="13">
        <f>IF(ROW()-ROW(הפחתה5[[#Headers],[יתרת פתיחה]])=1,סכום_הלוואה2,IF(הפחתה5[[#This Row],[תאריך]]="",0,INDEX(הפחתה5[], ROW()-4,8)))</f>
        <v>141725.94583587698</v>
      </c>
      <c r="N203" s="13">
        <f>IF(ValuesEntered2,IF(ROW()-ROW(הפחתה5[[#Headers],[ריבית]])=1,-IPMT(שיעור_ריבית2/12,1,תקופת_ההלוואה2-ROWS($L$4:L203)+1,הפחתה5[[#This Row],[יתרת פתיחה]]),IFERROR(-IPMT(שיעור_ריבית2/12,1,הפחתה5[[#This Row],[תשלומים
שנותרו]],M204),0)),0)</f>
        <v>550.60227127848884</v>
      </c>
      <c r="O203" s="13">
        <f>IFERROR(IF(AND(ValuesEntered2,הפחתה5[[#This Row],[תאריך]]&lt;&gt;""),-PPMT(שיעור_ריבית2/12,1,תקופת_ההלוואה2-ROWS($L$4:L203)+1,הפחתה5[[#This Row],[יתרת פתיחה]]),""),0)</f>
        <v>1146.6425307308743</v>
      </c>
      <c r="P203" s="13">
        <f>(הפחתה5[[#This Row],[יתרת פתיחה]])*(מדד2/12)</f>
        <v>0</v>
      </c>
      <c r="Q203" s="13">
        <f>IF(הפחתה5[[#This Row],[תאריך]]="",0,הפחתה5[[#This Row],[ריבית]]+הפחתה5[[#This Row],[קרן]]+הפחתה5[[#This Row],[מדד]])</f>
        <v>1697.2448020093632</v>
      </c>
      <c r="R203" s="13">
        <f>IF(הפחתה5[[#This Row],[תאריך]]="",0,הפחתה5[[#This Row],[יתרת פתיחה]]-הפחתה5[[#This Row],[קרן]]+הפחתה5[[#This Row],[מדד]])</f>
        <v>140579.30330514611</v>
      </c>
      <c r="S203" s="11">
        <f>IF(הפחתה5[[#This Row],[יתרת
סגירה]]&gt;0,LastRow2-ROW(),0)</f>
        <v>100</v>
      </c>
      <c r="T203" s="11">
        <f>ROWS($T$4:T203)</f>
        <v>200</v>
      </c>
      <c r="U203" s="12">
        <f ca="1">IF(ValuesEntered3,IF(הפחתה7[[#This Row],[מס'']]&lt;=תקופת_ההלוואה3,IF(ROW()-ROW(הפחתה7[[#Headers],[תאריך]])=1,LoanStart3,IF(AA202&gt;0,EDATE(U202,1),"")),""),"")</f>
        <v>51677</v>
      </c>
      <c r="V203" s="13">
        <f ca="1">IF(ROW()-ROW(הפחתה7[[#Headers],[יתרת פתיחה]])=1,סכום_הלוואה3,IF(הפחתה7[[#This Row],[תאריך]]="",0,INDEX(הפחתה7[], ROW()-4,8)))</f>
        <v>56136.661553832557</v>
      </c>
      <c r="W203" s="13">
        <f ca="1">IF(ValuesEntered3,IF(ROW()-ROW(הפחתה7[[#Headers],[ריבית]])=1,-IPMT(שיעור_ריבית3/12,1,תקופת_ההלוואה3-ROWS($C$4:U203)+1,הפחתה7[[#This Row],[יתרת פתיחה]]),IFERROR(-IPMT(שיעור_ריבית3/12,1,הפחתה7[[#This Row],[תשלומים
שנותרו]],V204),0)),0)</f>
        <v>106.80806374306752</v>
      </c>
      <c r="X203" s="13">
        <f ca="1">IFERROR(IF(AND(ValuesEntered3,הפחתה7[[#This Row],[תאריך]]&lt;&gt;""),-PPMT(שיעור_ריבית3/12,1,תקופת_ההלוואה3-ROWS($C$4:U203)+1,הפחתה7[[#This Row],[יתרת פתיחה]]),""),0)</f>
        <v>504.27635569139898</v>
      </c>
      <c r="Y203" s="13">
        <f ca="1">(הפחתה7[[#This Row],[יתרת פתיחה]])*(מדד3/12)</f>
        <v>93.561102589720932</v>
      </c>
      <c r="Z203" s="13">
        <f ca="1">IF(הפחתה7[[#This Row],[תאריך]]="",0,הפחתה7[[#This Row],[ריבית]]+הפחתה7[[#This Row],[קרן]]+הפחתה7[[#This Row],[מדד]])</f>
        <v>704.64552202418747</v>
      </c>
      <c r="AA203" s="13">
        <f ca="1">IF(הפחתה7[[#This Row],[תאריך]]="",0,הפחתה7[[#This Row],[יתרת פתיחה]]-הפחתה7[[#This Row],[קרן]]+הפחתה7[[#This Row],[מדד]])</f>
        <v>55725.94630073088</v>
      </c>
      <c r="AB203" s="11">
        <f ca="1">IF(הפחתה7[[#This Row],[יתרת
סגירה]]&gt;0,LastRow3-ROW(),0)</f>
        <v>100</v>
      </c>
      <c r="AC203" s="17">
        <f>ROWS($AC$4:AC203)</f>
        <v>200</v>
      </c>
      <c r="AD203" s="18" t="str">
        <f ca="1">IF(ValuesEntered4,IF(הפחתה8[[#This Row],[מס'']]&lt;=תקופת_ההלוואה4,IF(ROW()-ROW(הפחתה8[[#Headers],[תאריך]])=1,LoanStart4,IF(AJ202&gt;0,EDATE(AD202,1),"")),""),"")</f>
        <v/>
      </c>
      <c r="AE203" s="19">
        <f ca="1">IF(ROW()-ROW(הפחתה8[[#Headers],[יתרת פתיחה]])=1,סכום_הלוואה4,IF(הפחתה8[[#This Row],[תאריך]]="",0,INDEX(הפחתה8[], ROW()-4,8)))</f>
        <v>0</v>
      </c>
      <c r="AF203" s="19">
        <f ca="1">IF(ValuesEntered4,IF(ROW()-ROW(הפחתה8[[#Headers],[ריבית]])=1,-IPMT(שיעור_ריבית4/12,1,תקופת_ההלוואה4-ROWS($C$4:AD203)+1,הפחתה8[[#This Row],[יתרת פתיחה]]),IFERROR(-IPMT(שיעור_ריבית4/12,1,הפחתה8[[#This Row],[תשלומים
שנותרו]],AE204),0)),0)</f>
        <v>0</v>
      </c>
      <c r="AG203" s="19" t="str">
        <f ca="1">IFERROR(IF(AND(ValuesEntered4,הפחתה8[[#This Row],[תאריך]]&lt;&gt;""),-PPMT(שיעור_ריבית4/12,1,תקופת_ההלוואה4-ROWS($C$4:AD203)+1,הפחתה8[[#This Row],[יתרת פתיחה]]),""),0)</f>
        <v/>
      </c>
      <c r="AH203" s="19">
        <f ca="1">(הפחתה8[[#This Row],[יתרת פתיחה]])*(מדד4/12)</f>
        <v>0</v>
      </c>
      <c r="AI203" s="19">
        <f ca="1">IF(הפחתה8[[#This Row],[תאריך]]="",0,הפחתה8[[#This Row],[ריבית]]+הפחתה8[[#This Row],[קרן]]+הפחתה8[[#This Row],[מדד]])</f>
        <v>0</v>
      </c>
      <c r="AJ203" s="19">
        <f ca="1">IF(הפחתה8[[#This Row],[תאריך]]="",0,הפחתה8[[#This Row],[יתרת פתיחה]]-הפחתה8[[#This Row],[קרן]])</f>
        <v>0</v>
      </c>
      <c r="AK203" s="20">
        <f ca="1">IF(הפחתה8[[#This Row],[יתרת
סגירה]]&gt;0,LastRow4-ROW(),0)</f>
        <v>0</v>
      </c>
    </row>
    <row r="204" spans="1:37" ht="15" customHeight="1" x14ac:dyDescent="0.25">
      <c r="A204" s="8"/>
      <c r="B204" s="11">
        <f>ROWS($B$4:B204)</f>
        <v>201</v>
      </c>
      <c r="C204" s="12">
        <f>IF(ValuesEntered,IF(הפחתה[[#This Row],[מס'']]&lt;=תקופת_ההלוואה,IF(ROW()-ROW(הפחתה[[#Headers],[תאריך]])=1,LoanStart,IF(I203&gt;0,EDATE(C203,1),"")),""),"")</f>
        <v>51471</v>
      </c>
      <c r="D204" s="13">
        <f>IF(ROW()-ROW(הפחתה[[#Headers],[יתרת פתיחה]])=1,סכום_הלוואה,IF(הפחתה[[#This Row],[תאריך]]="",0,INDEX(הפחתה[], ROW()-4,8)))</f>
        <v>381673.67380015057</v>
      </c>
      <c r="E204" s="13">
        <f>IF(ValuesEntered,IF(ROW()-ROW(הפחתה[[#Headers],[ריבית]])=1,-IPMT(שיעור_ריבית/12,1,תקופת_ההלוואה-ROWS($C$4:C204)+1,הפחתה[[#This Row],[יתרת פתיחה]]),IFERROR(-IPMT(שיעור_ריבית/12,1,הפחתה[[#This Row],[תשלומים
שנותרו]],D205),0)),0)</f>
        <v>1678.4551064795235</v>
      </c>
      <c r="F204" s="13">
        <f>IFERROR(IF(AND(ValuesEntered,הפחתה[[#This Row],[תאריך]]&lt;&gt;""),-PPMT(שיעור_ריבית/12,1,תקופת_ההלוואה-ROWS($C$4:C204)+1,הפחתה[[#This Row],[יתרת פתיחה]]),""),0)</f>
        <v>1646.102521767888</v>
      </c>
      <c r="G204" s="13">
        <f>(הפחתה[[#This Row],[יתרת פתיחה]])*(מדד/12)</f>
        <v>0</v>
      </c>
      <c r="H204" s="13">
        <f>IF(הפחתה[[#This Row],[תאריך]]="",0,הפחתה[[#This Row],[ריבית]]+הפחתה[[#This Row],[קרן]]+הפחתה[[#This Row],[מדד]])</f>
        <v>3324.5576282474112</v>
      </c>
      <c r="I204" s="13">
        <f>IF(הפחתה[[#This Row],[תאריך]]="",0,הפחתה[[#This Row],[יתרת פתיחה]]-הפחתה[[#This Row],[קרן]]+הפחתה[[#This Row],[מדד]])</f>
        <v>380027.57127838267</v>
      </c>
      <c r="J204" s="11">
        <f>IF(הפחתה[[#This Row],[יתרת
סגירה]]&gt;0,LastRow-ROW(),0)</f>
        <v>159</v>
      </c>
      <c r="K204" s="11">
        <f>ROWS($K$4:K204)</f>
        <v>201</v>
      </c>
      <c r="L204" s="12">
        <f>IF(ValuesEntered2,IF(הפחתה5[[#This Row],[מס'']]&lt;=תקופת_ההלוואה2,IF(ROW()-ROW(הפחתה5[[#Headers],[תאריך]])=1,LoanStart2,IF(R203&gt;0,EDATE(L203,1),"")),""),"")</f>
        <v>51471</v>
      </c>
      <c r="M204" s="13">
        <f>IF(ROW()-ROW(הפחתה5[[#Headers],[יתרת פתיחה]])=1,סכום_הלוואה2,IF(הפחתה5[[#This Row],[תאריך]]="",0,INDEX(הפחתה5[], ROW()-4,8)))</f>
        <v>140579.30330514611</v>
      </c>
      <c r="N204" s="13">
        <f>IF(ValuesEntered2,IF(ROW()-ROW(הפחתה5[[#Headers],[ריבית]])=1,-IPMT(שיעור_ריבית2/12,1,תקופת_ההלוואה2-ROWS($L$4:L204)+1,הפחתה5[[#This Row],[יתרת פתיחה]]),IFERROR(-IPMT(שיעור_ריבית2/12,1,הפחתה5[[#This Row],[תשלומים
שנותרו]],M205),0)),0)</f>
        <v>546.09366488485966</v>
      </c>
      <c r="O204" s="13">
        <f>IFERROR(IF(AND(ValuesEntered2,הפחתה5[[#This Row],[תאריך]]&lt;&gt;""),-PPMT(שיעור_ריבית2/12,1,תקופת_ההלוואה2-ROWS($L$4:L204)+1,הפחתה5[[#This Row],[יתרת פתיחה]]),""),0)</f>
        <v>1151.1335473095698</v>
      </c>
      <c r="P204" s="13">
        <f>(הפחתה5[[#This Row],[יתרת פתיחה]])*(מדד2/12)</f>
        <v>0</v>
      </c>
      <c r="Q204" s="13">
        <f>IF(הפחתה5[[#This Row],[תאריך]]="",0,הפחתה5[[#This Row],[ריבית]]+הפחתה5[[#This Row],[קרן]]+הפחתה5[[#This Row],[מדד]])</f>
        <v>1697.2272121944295</v>
      </c>
      <c r="R204" s="13">
        <f>IF(הפחתה5[[#This Row],[תאריך]]="",0,הפחתה5[[#This Row],[יתרת פתיחה]]-הפחתה5[[#This Row],[קרן]]+הפחתה5[[#This Row],[מדד]])</f>
        <v>139428.16975783653</v>
      </c>
      <c r="S204" s="11">
        <f>IF(הפחתה5[[#This Row],[יתרת
סגירה]]&gt;0,LastRow2-ROW(),0)</f>
        <v>99</v>
      </c>
      <c r="T204" s="11">
        <f>ROWS($T$4:T204)</f>
        <v>201</v>
      </c>
      <c r="U204" s="12">
        <f ca="1">IF(ValuesEntered3,IF(הפחתה7[[#This Row],[מס'']]&lt;=תקופת_ההלוואה3,IF(ROW()-ROW(הפחתה7[[#Headers],[תאריך]])=1,LoanStart3,IF(AA203&gt;0,EDATE(U203,1),"")),""),"")</f>
        <v>51707</v>
      </c>
      <c r="V204" s="13">
        <f ca="1">IF(ROW()-ROW(הפחתה7[[#Headers],[יתרת פתיחה]])=1,סכום_הלוואה3,IF(הפחתה7[[#This Row],[תאריך]]="",0,INDEX(הפחתה7[], ROW()-4,8)))</f>
        <v>55725.94630073088</v>
      </c>
      <c r="W204" s="13">
        <f ca="1">IF(ValuesEntered3,IF(ROW()-ROW(הפחתה7[[#Headers],[ריבית]])=1,-IPMT(שיעור_ריבית3/12,1,תקופת_ההלוואה3-ROWS($C$4:U204)+1,הפחתה7[[#This Row],[יתרת פתיחה]]),IFERROR(-IPMT(שיעור_ריבית3/12,1,הפחתה7[[#This Row],[תשלומים
שנותרו]],V205),0)),0)</f>
        <v>106.01606638561044</v>
      </c>
      <c r="X204" s="13">
        <f ca="1">IFERROR(IF(AND(ValuesEntered3,הפחתה7[[#This Row],[תאריך]]&lt;&gt;""),-PPMT(שיעור_ריבית3/12,1,תקופת_ההלוואה3-ROWS($C$4:U204)+1,הפחתה7[[#This Row],[יתרת פתיחה]]),""),0)</f>
        <v>506.0925897541909</v>
      </c>
      <c r="Y204" s="13">
        <f ca="1">(הפחתה7[[#This Row],[יתרת פתיחה]])*(מדד3/12)</f>
        <v>92.876577167884804</v>
      </c>
      <c r="Z204" s="13">
        <f ca="1">IF(הפחתה7[[#This Row],[תאריך]]="",0,הפחתה7[[#This Row],[ריבית]]+הפחתה7[[#This Row],[קרן]]+הפחתה7[[#This Row],[מדד]])</f>
        <v>704.98523330768614</v>
      </c>
      <c r="AA204" s="13">
        <f ca="1">IF(הפחתה7[[#This Row],[תאריך]]="",0,הפחתה7[[#This Row],[יתרת פתיחה]]-הפחתה7[[#This Row],[קרן]]+הפחתה7[[#This Row],[מדד]])</f>
        <v>55312.730288144579</v>
      </c>
      <c r="AB204" s="11">
        <f ca="1">IF(הפחתה7[[#This Row],[יתרת
סגירה]]&gt;0,LastRow3-ROW(),0)</f>
        <v>99</v>
      </c>
      <c r="AC204" s="17">
        <f>ROWS($AC$4:AC204)</f>
        <v>201</v>
      </c>
      <c r="AD204" s="18" t="str">
        <f ca="1">IF(ValuesEntered4,IF(הפחתה8[[#This Row],[מס'']]&lt;=תקופת_ההלוואה4,IF(ROW()-ROW(הפחתה8[[#Headers],[תאריך]])=1,LoanStart4,IF(AJ203&gt;0,EDATE(AD203,1),"")),""),"")</f>
        <v/>
      </c>
      <c r="AE204" s="19">
        <f ca="1">IF(ROW()-ROW(הפחתה8[[#Headers],[יתרת פתיחה]])=1,סכום_הלוואה4,IF(הפחתה8[[#This Row],[תאריך]]="",0,INDEX(הפחתה8[], ROW()-4,8)))</f>
        <v>0</v>
      </c>
      <c r="AF204" s="19">
        <f ca="1">IF(ValuesEntered4,IF(ROW()-ROW(הפחתה8[[#Headers],[ריבית]])=1,-IPMT(שיעור_ריבית4/12,1,תקופת_ההלוואה4-ROWS($C$4:AD204)+1,הפחתה8[[#This Row],[יתרת פתיחה]]),IFERROR(-IPMT(שיעור_ריבית4/12,1,הפחתה8[[#This Row],[תשלומים
שנותרו]],AE205),0)),0)</f>
        <v>0</v>
      </c>
      <c r="AG204" s="19" t="str">
        <f ca="1">IFERROR(IF(AND(ValuesEntered4,הפחתה8[[#This Row],[תאריך]]&lt;&gt;""),-PPMT(שיעור_ריבית4/12,1,תקופת_ההלוואה4-ROWS($C$4:AD204)+1,הפחתה8[[#This Row],[יתרת פתיחה]]),""),0)</f>
        <v/>
      </c>
      <c r="AH204" s="19">
        <f ca="1">(הפחתה8[[#This Row],[יתרת פתיחה]])*(מדד4/12)</f>
        <v>0</v>
      </c>
      <c r="AI204" s="19">
        <f ca="1">IF(הפחתה8[[#This Row],[תאריך]]="",0,הפחתה8[[#This Row],[ריבית]]+הפחתה8[[#This Row],[קרן]]+הפחתה8[[#This Row],[מדד]])</f>
        <v>0</v>
      </c>
      <c r="AJ204" s="19">
        <f ca="1">IF(הפחתה8[[#This Row],[תאריך]]="",0,הפחתה8[[#This Row],[יתרת פתיחה]]-הפחתה8[[#This Row],[קרן]])</f>
        <v>0</v>
      </c>
      <c r="AK204" s="20">
        <f ca="1">IF(הפחתה8[[#This Row],[יתרת
סגירה]]&gt;0,LastRow4-ROW(),0)</f>
        <v>0</v>
      </c>
    </row>
    <row r="205" spans="1:37" ht="15" customHeight="1" x14ac:dyDescent="0.25">
      <c r="A205" s="8"/>
      <c r="B205" s="11">
        <f>ROWS($B$4:B205)</f>
        <v>202</v>
      </c>
      <c r="C205" s="12">
        <f>IF(ValuesEntered,IF(הפחתה[[#This Row],[מס'']]&lt;=תקופת_ההלוואה,IF(ROW()-ROW(הפחתה[[#Headers],[תאריך]])=1,LoanStart,IF(I204&gt;0,EDATE(C204,1),"")),""),"")</f>
        <v>51502</v>
      </c>
      <c r="D205" s="13">
        <f>IF(ROW()-ROW(הפחתה[[#Headers],[יתרת פתיחה]])=1,סכום_הלוואה,IF(הפחתה[[#This Row],[תאריך]]="",0,INDEX(הפחתה[], ROW()-4,8)))</f>
        <v>380027.57127838267</v>
      </c>
      <c r="E205" s="13">
        <f>IF(ValuesEntered,IF(ROW()-ROW(הפחתה[[#Headers],[ריבית]])=1,-IPMT(שיעור_ריבית/12,1,תקופת_ההלוואה-ROWS($C$4:C205)+1,הפחתה[[#This Row],[יתרת פתיחה]]),IFERROR(-IPMT(שיעור_ריבית/12,1,הפחתה[[#This Row],[תשלומים
שנותרו]],D206),0)),0)</f>
        <v>1671.1527099112732</v>
      </c>
      <c r="F205" s="13">
        <f>IFERROR(IF(AND(ValuesEntered,הפחתה[[#This Row],[תאריך]]&lt;&gt;""),-PPMT(שיעור_ריבית/12,1,תקופת_ההלוואה-ROWS($C$4:C205)+1,הפחתה[[#This Row],[יתרת פתיחה]]),""),0)</f>
        <v>1653.3728079056955</v>
      </c>
      <c r="G205" s="13">
        <f>(הפחתה[[#This Row],[יתרת פתיחה]])*(מדד/12)</f>
        <v>0</v>
      </c>
      <c r="H205" s="13">
        <f>IF(הפחתה[[#This Row],[תאריך]]="",0,הפחתה[[#This Row],[ריבית]]+הפחתה[[#This Row],[קרן]]+הפחתה[[#This Row],[מדד]])</f>
        <v>3324.5255178169687</v>
      </c>
      <c r="I205" s="13">
        <f>IF(הפחתה[[#This Row],[תאריך]]="",0,הפחתה[[#This Row],[יתרת פתיחה]]-הפחתה[[#This Row],[קרן]]+הפחתה[[#This Row],[מדד]])</f>
        <v>378374.19847047696</v>
      </c>
      <c r="J205" s="11">
        <f>IF(הפחתה[[#This Row],[יתרת
סגירה]]&gt;0,LastRow-ROW(),0)</f>
        <v>158</v>
      </c>
      <c r="K205" s="11">
        <f>ROWS($K$4:K205)</f>
        <v>202</v>
      </c>
      <c r="L205" s="12">
        <f>IF(ValuesEntered2,IF(הפחתה5[[#This Row],[מס'']]&lt;=תקופת_ההלוואה2,IF(ROW()-ROW(הפחתה5[[#Headers],[תאריך]])=1,LoanStart2,IF(R204&gt;0,EDATE(L204,1),"")),""),"")</f>
        <v>51502</v>
      </c>
      <c r="M205" s="13">
        <f>IF(ROW()-ROW(הפחתה5[[#Headers],[יתרת פתיחה]])=1,סכום_הלוואה2,IF(הפחתה5[[#This Row],[תאריך]]="",0,INDEX(הפחתה5[], ROW()-4,8)))</f>
        <v>139428.16975783653</v>
      </c>
      <c r="N205" s="13">
        <f>IF(ValuesEntered2,IF(ROW()-ROW(הפחתה5[[#Headers],[ריבית]])=1,-IPMT(שיעור_ריבית2/12,1,תקופת_ההלוואה2-ROWS($L$4:L205)+1,הפחתה5[[#This Row],[יתרת פתיחה]]),IFERROR(-IPMT(שיעור_ריבית2/12,1,הפחתה5[[#This Row],[תשלומים
שנותרו]],M206),0)),0)</f>
        <v>541.56739978285555</v>
      </c>
      <c r="O205" s="13">
        <f>IFERROR(IF(AND(ValuesEntered2,הפחתה5[[#This Row],[תאריך]]&lt;&gt;""),-PPMT(שיעור_ריבית2/12,1,תקופת_ההלוואה2-ROWS($L$4:L205)+1,הפחתה5[[#This Row],[יתרת פתיחה]]),""),0)</f>
        <v>1155.642153703199</v>
      </c>
      <c r="P205" s="13">
        <f>(הפחתה5[[#This Row],[יתרת פתיחה]])*(מדד2/12)</f>
        <v>0</v>
      </c>
      <c r="Q205" s="13">
        <f>IF(הפחתה5[[#This Row],[תאריך]]="",0,הפחתה5[[#This Row],[ריבית]]+הפחתה5[[#This Row],[קרן]]+הפחתה5[[#This Row],[מדד]])</f>
        <v>1697.2095534860546</v>
      </c>
      <c r="R205" s="13">
        <f>IF(הפחתה5[[#This Row],[תאריך]]="",0,הפחתה5[[#This Row],[יתרת פתיחה]]-הפחתה5[[#This Row],[קרן]]+הפחתה5[[#This Row],[מדד]])</f>
        <v>138272.52760413333</v>
      </c>
      <c r="S205" s="11">
        <f>IF(הפחתה5[[#This Row],[יתרת
סגירה]]&gt;0,LastRow2-ROW(),0)</f>
        <v>98</v>
      </c>
      <c r="T205" s="11">
        <f>ROWS($T$4:T205)</f>
        <v>202</v>
      </c>
      <c r="U205" s="12">
        <f ca="1">IF(ValuesEntered3,IF(הפחתה7[[#This Row],[מס'']]&lt;=תקופת_ההלוואה3,IF(ROW()-ROW(הפחתה7[[#Headers],[תאריך]])=1,LoanStart3,IF(AA204&gt;0,EDATE(U204,1),"")),""),"")</f>
        <v>51738</v>
      </c>
      <c r="V205" s="13">
        <f ca="1">IF(ROW()-ROW(הפחתה7[[#Headers],[יתרת פתיחה]])=1,סכום_הלוואה3,IF(הפחתה7[[#This Row],[תאריך]]="",0,INDEX(הפחתה7[], ROW()-4,8)))</f>
        <v>55312.730288144579</v>
      </c>
      <c r="W205" s="13">
        <f ca="1">IF(ValuesEntered3,IF(ROW()-ROW(הפחתה7[[#Headers],[ריבית]])=1,-IPMT(שיעור_ריבית3/12,1,תקופת_ההלוואה3-ROWS($C$4:U205)+1,הפחתה7[[#This Row],[יתרת פתיחה]]),IFERROR(-IPMT(שיעור_ריבית3/12,1,הפחתה7[[#This Row],[תשלומים
שנותרו]],V206),0)),0)</f>
        <v>105.21925521649813</v>
      </c>
      <c r="X205" s="13">
        <f ca="1">IFERROR(IF(AND(ValuesEntered3,הפחתה7[[#This Row],[תאריך]]&lt;&gt;""),-PPMT(שיעור_ריבית3/12,1,תקופת_ההלוואה3-ROWS($C$4:U205)+1,הפחתה7[[#This Row],[יתרת פתיחה]]),""),0)</f>
        <v>507.91545030695318</v>
      </c>
      <c r="Y205" s="13">
        <f ca="1">(הפחתה7[[#This Row],[יתרת פתיחה]])*(מדד3/12)</f>
        <v>92.187883813574302</v>
      </c>
      <c r="Z205" s="13">
        <f ca="1">IF(הפחתה7[[#This Row],[תאריך]]="",0,הפחתה7[[#This Row],[ריבית]]+הפחתה7[[#This Row],[קרן]]+הפחתה7[[#This Row],[מדד]])</f>
        <v>705.32258933702565</v>
      </c>
      <c r="AA205" s="13">
        <f ca="1">IF(הפחתה7[[#This Row],[תאריך]]="",0,הפחתה7[[#This Row],[יתרת פתיחה]]-הפחתה7[[#This Row],[קרן]]+הפחתה7[[#This Row],[מדד]])</f>
        <v>54897.002721651203</v>
      </c>
      <c r="AB205" s="11">
        <f ca="1">IF(הפחתה7[[#This Row],[יתרת
סגירה]]&gt;0,LastRow3-ROW(),0)</f>
        <v>98</v>
      </c>
      <c r="AC205" s="17">
        <f>ROWS($AC$4:AC205)</f>
        <v>202</v>
      </c>
      <c r="AD205" s="18" t="str">
        <f ca="1">IF(ValuesEntered4,IF(הפחתה8[[#This Row],[מס'']]&lt;=תקופת_ההלוואה4,IF(ROW()-ROW(הפחתה8[[#Headers],[תאריך]])=1,LoanStart4,IF(AJ204&gt;0,EDATE(AD204,1),"")),""),"")</f>
        <v/>
      </c>
      <c r="AE205" s="19">
        <f ca="1">IF(ROW()-ROW(הפחתה8[[#Headers],[יתרת פתיחה]])=1,סכום_הלוואה4,IF(הפחתה8[[#This Row],[תאריך]]="",0,INDEX(הפחתה8[], ROW()-4,8)))</f>
        <v>0</v>
      </c>
      <c r="AF205" s="19">
        <f ca="1">IF(ValuesEntered4,IF(ROW()-ROW(הפחתה8[[#Headers],[ריבית]])=1,-IPMT(שיעור_ריבית4/12,1,תקופת_ההלוואה4-ROWS($C$4:AD205)+1,הפחתה8[[#This Row],[יתרת פתיחה]]),IFERROR(-IPMT(שיעור_ריבית4/12,1,הפחתה8[[#This Row],[תשלומים
שנותרו]],AE206),0)),0)</f>
        <v>0</v>
      </c>
      <c r="AG205" s="19" t="str">
        <f ca="1">IFERROR(IF(AND(ValuesEntered4,הפחתה8[[#This Row],[תאריך]]&lt;&gt;""),-PPMT(שיעור_ריבית4/12,1,תקופת_ההלוואה4-ROWS($C$4:AD205)+1,הפחתה8[[#This Row],[יתרת פתיחה]]),""),0)</f>
        <v/>
      </c>
      <c r="AH205" s="19">
        <f ca="1">(הפחתה8[[#This Row],[יתרת פתיחה]])*(מדד4/12)</f>
        <v>0</v>
      </c>
      <c r="AI205" s="19">
        <f ca="1">IF(הפחתה8[[#This Row],[תאריך]]="",0,הפחתה8[[#This Row],[ריבית]]+הפחתה8[[#This Row],[קרן]]+הפחתה8[[#This Row],[מדד]])</f>
        <v>0</v>
      </c>
      <c r="AJ205" s="19">
        <f ca="1">IF(הפחתה8[[#This Row],[תאריך]]="",0,הפחתה8[[#This Row],[יתרת פתיחה]]-הפחתה8[[#This Row],[קרן]])</f>
        <v>0</v>
      </c>
      <c r="AK205" s="20">
        <f ca="1">IF(הפחתה8[[#This Row],[יתרת
סגירה]]&gt;0,LastRow4-ROW(),0)</f>
        <v>0</v>
      </c>
    </row>
    <row r="206" spans="1:37" ht="15" customHeight="1" x14ac:dyDescent="0.25">
      <c r="A206" s="8"/>
      <c r="B206" s="11">
        <f>ROWS($B$4:B206)</f>
        <v>203</v>
      </c>
      <c r="C206" s="12">
        <f>IF(ValuesEntered,IF(הפחתה[[#This Row],[מס'']]&lt;=תקופת_ההלוואה,IF(ROW()-ROW(הפחתה[[#Headers],[תאריך]])=1,LoanStart,IF(I205&gt;0,EDATE(C205,1),"")),""),"")</f>
        <v>51533</v>
      </c>
      <c r="D206" s="13">
        <f>IF(ROW()-ROW(הפחתה[[#Headers],[יתרת פתיחה]])=1,סכום_הלוואה,IF(הפחתה[[#This Row],[תאריך]]="",0,INDEX(הפחתה[], ROW()-4,8)))</f>
        <v>378374.19847047696</v>
      </c>
      <c r="E206" s="13">
        <f>IF(ValuesEntered,IF(ROW()-ROW(הפחתה[[#Headers],[ריבית]])=1,-IPMT(שיעור_ריבית/12,1,תקופת_ההלוואה-ROWS($C$4:C206)+1,הפחתה[[#This Row],[יתרת פתיחה]]),IFERROR(-IPMT(שיעור_ריבית/12,1,הפחתה[[#This Row],[תשלומים
שנותרו]],D207),0)),0)</f>
        <v>1663.8180610915133</v>
      </c>
      <c r="F206" s="13">
        <f>IFERROR(IF(AND(ValuesEntered,הפחתה[[#This Row],[תאריך]]&lt;&gt;""),-PPMT(שיעור_ריבית/12,1,תקופת_ההלוואה-ROWS($C$4:C206)+1,הפחתה[[#This Row],[יתרת פתיחה]]),""),0)</f>
        <v>1660.6752044739453</v>
      </c>
      <c r="G206" s="13">
        <f>(הפחתה[[#This Row],[יתרת פתיחה]])*(מדד/12)</f>
        <v>0</v>
      </c>
      <c r="H206" s="13">
        <f>IF(הפחתה[[#This Row],[תאריך]]="",0,הפחתה[[#This Row],[ריבית]]+הפחתה[[#This Row],[קרן]]+הפחתה[[#This Row],[מדד]])</f>
        <v>3324.4932655654584</v>
      </c>
      <c r="I206" s="13">
        <f>IF(הפחתה[[#This Row],[תאריך]]="",0,הפחתה[[#This Row],[יתרת פתיחה]]-הפחתה[[#This Row],[קרן]]+הפחתה[[#This Row],[מדד]])</f>
        <v>376713.523266003</v>
      </c>
      <c r="J206" s="11">
        <f>IF(הפחתה[[#This Row],[יתרת
סגירה]]&gt;0,LastRow-ROW(),0)</f>
        <v>157</v>
      </c>
      <c r="K206" s="11">
        <f>ROWS($K$4:K206)</f>
        <v>203</v>
      </c>
      <c r="L206" s="12">
        <f>IF(ValuesEntered2,IF(הפחתה5[[#This Row],[מס'']]&lt;=תקופת_ההלוואה2,IF(ROW()-ROW(הפחתה5[[#Headers],[תאריך]])=1,LoanStart2,IF(R205&gt;0,EDATE(L205,1),"")),""),"")</f>
        <v>51533</v>
      </c>
      <c r="M206" s="13">
        <f>IF(ROW()-ROW(הפחתה5[[#Headers],[יתרת פתיחה]])=1,סכום_הלוואה2,IF(הפחתה5[[#This Row],[תאריך]]="",0,INDEX(הפחתה5[], ROW()-4,8)))</f>
        <v>138272.52760413333</v>
      </c>
      <c r="N206" s="13">
        <f>IF(ValuesEntered2,IF(ROW()-ROW(הפחתה5[[#Headers],[ריבית]])=1,-IPMT(שיעור_ריבית2/12,1,תקופת_ההלוואה2-ROWS($L$4:L206)+1,הפחתה5[[#This Row],[יתרת פתיחה]]),IFERROR(-IPMT(שיעור_ריבית2/12,1,הפחתה5[[#This Row],[תשלומים
שנותרו]],M207),0)),0)</f>
        <v>537.02340680920179</v>
      </c>
      <c r="O206" s="13">
        <f>IFERROR(IF(AND(ValuesEntered2,הפחתה5[[#This Row],[תאריך]]&lt;&gt;""),-PPMT(שיעור_ריבית2/12,1,תקופת_ההלוואה2-ROWS($L$4:L206)+1,הפחתה5[[#This Row],[יתרת פתיחה]]),""),0)</f>
        <v>1160.1684188052031</v>
      </c>
      <c r="P206" s="13">
        <f>(הפחתה5[[#This Row],[יתרת פתיחה]])*(מדד2/12)</f>
        <v>0</v>
      </c>
      <c r="Q206" s="13">
        <f>IF(הפחתה5[[#This Row],[תאריך]]="",0,הפחתה5[[#This Row],[ריבית]]+הפחתה5[[#This Row],[קרן]]+הפחתה5[[#This Row],[מדד]])</f>
        <v>1697.1918256144049</v>
      </c>
      <c r="R206" s="13">
        <f>IF(הפחתה5[[#This Row],[תאריך]]="",0,הפחתה5[[#This Row],[יתרת פתיחה]]-הפחתה5[[#This Row],[קרן]]+הפחתה5[[#This Row],[מדד]])</f>
        <v>137112.35918532813</v>
      </c>
      <c r="S206" s="11">
        <f>IF(הפחתה5[[#This Row],[יתרת
סגירה]]&gt;0,LastRow2-ROW(),0)</f>
        <v>97</v>
      </c>
      <c r="T206" s="11">
        <f>ROWS($T$4:T206)</f>
        <v>203</v>
      </c>
      <c r="U206" s="12">
        <f ca="1">IF(ValuesEntered3,IF(הפחתה7[[#This Row],[מס'']]&lt;=תקופת_ההלוואה3,IF(ROW()-ROW(הפחתה7[[#Headers],[תאריך]])=1,LoanStart3,IF(AA205&gt;0,EDATE(U205,1),"")),""),"")</f>
        <v>51769</v>
      </c>
      <c r="V206" s="13">
        <f ca="1">IF(ROW()-ROW(הפחתה7[[#Headers],[יתרת פתיחה]])=1,סכום_הלוואה3,IF(הפחתה7[[#This Row],[תאריך]]="",0,INDEX(הפחתה7[], ROW()-4,8)))</f>
        <v>54897.002721651203</v>
      </c>
      <c r="W206" s="13">
        <f ca="1">IF(ValuesEntered3,IF(ROW()-ROW(הפחתה7[[#Headers],[ריבית]])=1,-IPMT(שיעור_ריבית3/12,1,תקופת_ההלוואה3-ROWS($C$4:U206)+1,הפחתה7[[#This Row],[יתרת פתיחה]]),IFERROR(-IPMT(שיעור_ריבית3/12,1,הפחתה7[[#This Row],[תשלומים
שנותרו]],V207),0)),0)</f>
        <v>104.417609461673</v>
      </c>
      <c r="X206" s="13">
        <f ca="1">IFERROR(IF(AND(ValuesEntered3,הפחתה7[[#This Row],[תאריך]]&lt;&gt;""),-PPMT(שיעור_ריבית3/12,1,תקופת_ההלוואה3-ROWS($C$4:U206)+1,הפחתה7[[#This Row],[יתרת פתיחה]]),""),0)</f>
        <v>509.74496357528466</v>
      </c>
      <c r="Y206" s="13">
        <f ca="1">(הפחתה7[[#This Row],[יתרת פתיחה]])*(מדד3/12)</f>
        <v>91.495004536085347</v>
      </c>
      <c r="Z206" s="13">
        <f ca="1">IF(הפחתה7[[#This Row],[תאריך]]="",0,הפחתה7[[#This Row],[ריבית]]+הפחתה7[[#This Row],[קרן]]+הפחתה7[[#This Row],[מדד]])</f>
        <v>705.657577573043</v>
      </c>
      <c r="AA206" s="13">
        <f ca="1">IF(הפחתה7[[#This Row],[תאריך]]="",0,הפחתה7[[#This Row],[יתרת פתיחה]]-הפחתה7[[#This Row],[קרן]]+הפחתה7[[#This Row],[מדד]])</f>
        <v>54478.752762611999</v>
      </c>
      <c r="AB206" s="11">
        <f ca="1">IF(הפחתה7[[#This Row],[יתרת
סגירה]]&gt;0,LastRow3-ROW(),0)</f>
        <v>97</v>
      </c>
      <c r="AC206" s="17">
        <f>ROWS($AC$4:AC206)</f>
        <v>203</v>
      </c>
      <c r="AD206" s="18" t="str">
        <f ca="1">IF(ValuesEntered4,IF(הפחתה8[[#This Row],[מס'']]&lt;=תקופת_ההלוואה4,IF(ROW()-ROW(הפחתה8[[#Headers],[תאריך]])=1,LoanStart4,IF(AJ205&gt;0,EDATE(AD205,1),"")),""),"")</f>
        <v/>
      </c>
      <c r="AE206" s="19">
        <f ca="1">IF(ROW()-ROW(הפחתה8[[#Headers],[יתרת פתיחה]])=1,סכום_הלוואה4,IF(הפחתה8[[#This Row],[תאריך]]="",0,INDEX(הפחתה8[], ROW()-4,8)))</f>
        <v>0</v>
      </c>
      <c r="AF206" s="19">
        <f ca="1">IF(ValuesEntered4,IF(ROW()-ROW(הפחתה8[[#Headers],[ריבית]])=1,-IPMT(שיעור_ריבית4/12,1,תקופת_ההלוואה4-ROWS($C$4:AD206)+1,הפחתה8[[#This Row],[יתרת פתיחה]]),IFERROR(-IPMT(שיעור_ריבית4/12,1,הפחתה8[[#This Row],[תשלומים
שנותרו]],AE207),0)),0)</f>
        <v>0</v>
      </c>
      <c r="AG206" s="19" t="str">
        <f ca="1">IFERROR(IF(AND(ValuesEntered4,הפחתה8[[#This Row],[תאריך]]&lt;&gt;""),-PPMT(שיעור_ריבית4/12,1,תקופת_ההלוואה4-ROWS($C$4:AD206)+1,הפחתה8[[#This Row],[יתרת פתיחה]]),""),0)</f>
        <v/>
      </c>
      <c r="AH206" s="19">
        <f ca="1">(הפחתה8[[#This Row],[יתרת פתיחה]])*(מדד4/12)</f>
        <v>0</v>
      </c>
      <c r="AI206" s="19">
        <f ca="1">IF(הפחתה8[[#This Row],[תאריך]]="",0,הפחתה8[[#This Row],[ריבית]]+הפחתה8[[#This Row],[קרן]]+הפחתה8[[#This Row],[מדד]])</f>
        <v>0</v>
      </c>
      <c r="AJ206" s="19">
        <f ca="1">IF(הפחתה8[[#This Row],[תאריך]]="",0,הפחתה8[[#This Row],[יתרת פתיחה]]-הפחתה8[[#This Row],[קרן]])</f>
        <v>0</v>
      </c>
      <c r="AK206" s="20">
        <f ca="1">IF(הפחתה8[[#This Row],[יתרת
סגירה]]&gt;0,LastRow4-ROW(),0)</f>
        <v>0</v>
      </c>
    </row>
    <row r="207" spans="1:37" ht="15" customHeight="1" x14ac:dyDescent="0.25">
      <c r="A207" s="8"/>
      <c r="B207" s="11">
        <f>ROWS($B$4:B207)</f>
        <v>204</v>
      </c>
      <c r="C207" s="12">
        <f>IF(ValuesEntered,IF(הפחתה[[#This Row],[מס'']]&lt;=תקופת_ההלוואה,IF(ROW()-ROW(הפחתה[[#Headers],[תאריך]])=1,LoanStart,IF(I206&gt;0,EDATE(C206,1),"")),""),"")</f>
        <v>51561</v>
      </c>
      <c r="D207" s="13">
        <f>IF(ROW()-ROW(הפחתה[[#Headers],[יתרת פתיחה]])=1,סכום_הלוואה,IF(הפחתה[[#This Row],[תאריך]]="",0,INDEX(הפחתה[], ROW()-4,8)))</f>
        <v>376713.523266003</v>
      </c>
      <c r="E207" s="13">
        <f>IF(ValuesEntered,IF(ROW()-ROW(הפחתה[[#Headers],[ריבית]])=1,-IPMT(שיעור_ריבית/12,1,תקופת_ההלוואה-ROWS($C$4:C207)+1,הפחתה[[#This Row],[יתרת פתיחה]]),IFERROR(-IPMT(שיעור_ריבית/12,1,הפחתה[[#This Row],[תשלומים
שנותרו]],D208),0)),0)</f>
        <v>1656.4510175727994</v>
      </c>
      <c r="F207" s="13">
        <f>IFERROR(IF(AND(ValuesEntered,הפחתה[[#This Row],[תאריך]]&lt;&gt;""),-PPMT(שיעור_ריבית/12,1,תקופת_ההלוואה-ROWS($C$4:C207)+1,הפחתה[[#This Row],[יתרת פתיחה]]),""),0)</f>
        <v>1668.0098532937054</v>
      </c>
      <c r="G207" s="13">
        <f>(הפחתה[[#This Row],[יתרת פתיחה]])*(מדד/12)</f>
        <v>0</v>
      </c>
      <c r="H207" s="13">
        <f>IF(הפחתה[[#This Row],[תאריך]]="",0,הפחתה[[#This Row],[ריבית]]+הפחתה[[#This Row],[קרן]]+הפחתה[[#This Row],[מדד]])</f>
        <v>3324.4608708665046</v>
      </c>
      <c r="I207" s="13">
        <f>IF(הפחתה[[#This Row],[תאריך]]="",0,הפחתה[[#This Row],[יתרת פתיחה]]-הפחתה[[#This Row],[קרן]]+הפחתה[[#This Row],[מדד]])</f>
        <v>375045.51341270929</v>
      </c>
      <c r="J207" s="11">
        <f>IF(הפחתה[[#This Row],[יתרת
סגירה]]&gt;0,LastRow-ROW(),0)</f>
        <v>156</v>
      </c>
      <c r="K207" s="11">
        <f>ROWS($K$4:K207)</f>
        <v>204</v>
      </c>
      <c r="L207" s="12">
        <f>IF(ValuesEntered2,IF(הפחתה5[[#This Row],[מס'']]&lt;=תקופת_ההלוואה2,IF(ROW()-ROW(הפחתה5[[#Headers],[תאריך]])=1,LoanStart2,IF(R206&gt;0,EDATE(L206,1),"")),""),"")</f>
        <v>51561</v>
      </c>
      <c r="M207" s="13">
        <f>IF(ROW()-ROW(הפחתה5[[#Headers],[יתרת פתיחה]])=1,סכום_הלוואה2,IF(הפחתה5[[#This Row],[תאריך]]="",0,INDEX(הפחתה5[], ROW()-4,8)))</f>
        <v>137112.35918532813</v>
      </c>
      <c r="N207" s="13">
        <f>IF(ValuesEntered2,IF(ROW()-ROW(הפחתה5[[#Headers],[ריבית]])=1,-IPMT(שיעור_ריבית2/12,1,תקופת_ההלוואה2-ROWS($L$4:L207)+1,הפחתה5[[#This Row],[יתרת פתיחה]]),IFERROR(-IPMT(שיעור_ריבית2/12,1,הפחתה5[[#This Row],[תשלומים
שנותרו]],M208),0)),0)</f>
        <v>532.46161652973456</v>
      </c>
      <c r="O207" s="13">
        <f>IFERROR(IF(AND(ValuesEntered2,הפחתה5[[#This Row],[תאריך]]&lt;&gt;""),-PPMT(שיעור_ריבית2/12,1,תקופת_ההלוואה2-ROWS($L$4:L207)+1,הפחתה5[[#This Row],[יתרת פתיחה]]),""),0)</f>
        <v>1164.7124117788571</v>
      </c>
      <c r="P207" s="13">
        <f>(הפחתה5[[#This Row],[יתרת פתיחה]])*(מדד2/12)</f>
        <v>0</v>
      </c>
      <c r="Q207" s="13">
        <f>IF(הפחתה5[[#This Row],[תאריך]]="",0,הפחתה5[[#This Row],[ריבית]]+הפחתה5[[#This Row],[קרן]]+הפחתה5[[#This Row],[מדד]])</f>
        <v>1697.1740283085917</v>
      </c>
      <c r="R207" s="13">
        <f>IF(הפחתה5[[#This Row],[תאריך]]="",0,הפחתה5[[#This Row],[יתרת פתיחה]]-הפחתה5[[#This Row],[קרן]]+הפחתה5[[#This Row],[מדד]])</f>
        <v>135947.64677354926</v>
      </c>
      <c r="S207" s="11">
        <f>IF(הפחתה5[[#This Row],[יתרת
סגירה]]&gt;0,LastRow2-ROW(),0)</f>
        <v>96</v>
      </c>
      <c r="T207" s="11">
        <f>ROWS($T$4:T207)</f>
        <v>204</v>
      </c>
      <c r="U207" s="12">
        <f ca="1">IF(ValuesEntered3,IF(הפחתה7[[#This Row],[מס'']]&lt;=תקופת_ההלוואה3,IF(ROW()-ROW(הפחתה7[[#Headers],[תאריך]])=1,LoanStart3,IF(AA206&gt;0,EDATE(U206,1),"")),""),"")</f>
        <v>51799</v>
      </c>
      <c r="V207" s="13">
        <f ca="1">IF(ROW()-ROW(הפחתה7[[#Headers],[יתרת פתיחה]])=1,סכום_הלוואה3,IF(הפחתה7[[#This Row],[תאריך]]="",0,INDEX(הפחתה7[], ROW()-4,8)))</f>
        <v>54478.752762611999</v>
      </c>
      <c r="W207" s="13">
        <f ca="1">IF(ValuesEntered3,IF(ROW()-ROW(הפחתה7[[#Headers],[ריבית]])=1,-IPMT(שיעור_ריבית3/12,1,תקופת_ההלוואה3-ROWS($C$4:U207)+1,הפחתה7[[#This Row],[יתרת פתיחה]]),IFERROR(-IPMT(שיעור_ריבית3/12,1,הפחתה7[[#This Row],[תשלומים
שנותרו]],V208),0)),0)</f>
        <v>103.61110826186072</v>
      </c>
      <c r="X207" s="13">
        <f ca="1">IFERROR(IF(AND(ValuesEntered3,הפחתה7[[#This Row],[תאריך]]&lt;&gt;""),-PPMT(שיעור_ריבית3/12,1,תקופת_ההלוואה3-ROWS($C$4:U207)+1,הפחתה7[[#This Row],[יתרת פתיחה]]),""),0)</f>
        <v>511.58115595568455</v>
      </c>
      <c r="Y207" s="13">
        <f ca="1">(הפחתה7[[#This Row],[יתרת פתיחה]])*(מדד3/12)</f>
        <v>90.797921271020002</v>
      </c>
      <c r="Z207" s="13">
        <f ca="1">IF(הפחתה7[[#This Row],[תאריך]]="",0,הפחתה7[[#This Row],[ריבית]]+הפחתה7[[#This Row],[קרן]]+הפחתה7[[#This Row],[מדד]])</f>
        <v>705.9901854885652</v>
      </c>
      <c r="AA207" s="13">
        <f ca="1">IF(הפחתה7[[#This Row],[תאריך]]="",0,הפחתה7[[#This Row],[יתרת פתיחה]]-הפחתה7[[#This Row],[קרן]]+הפחתה7[[#This Row],[מדד]])</f>
        <v>54057.969527927336</v>
      </c>
      <c r="AB207" s="11">
        <f ca="1">IF(הפחתה7[[#This Row],[יתרת
סגירה]]&gt;0,LastRow3-ROW(),0)</f>
        <v>96</v>
      </c>
      <c r="AC207" s="17">
        <f>ROWS($AC$4:AC207)</f>
        <v>204</v>
      </c>
      <c r="AD207" s="18" t="str">
        <f ca="1">IF(ValuesEntered4,IF(הפחתה8[[#This Row],[מס'']]&lt;=תקופת_ההלוואה4,IF(ROW()-ROW(הפחתה8[[#Headers],[תאריך]])=1,LoanStart4,IF(AJ206&gt;0,EDATE(AD206,1),"")),""),"")</f>
        <v/>
      </c>
      <c r="AE207" s="19">
        <f ca="1">IF(ROW()-ROW(הפחתה8[[#Headers],[יתרת פתיחה]])=1,סכום_הלוואה4,IF(הפחתה8[[#This Row],[תאריך]]="",0,INDEX(הפחתה8[], ROW()-4,8)))</f>
        <v>0</v>
      </c>
      <c r="AF207" s="19">
        <f ca="1">IF(ValuesEntered4,IF(ROW()-ROW(הפחתה8[[#Headers],[ריבית]])=1,-IPMT(שיעור_ריבית4/12,1,תקופת_ההלוואה4-ROWS($C$4:AD207)+1,הפחתה8[[#This Row],[יתרת פתיחה]]),IFERROR(-IPMT(שיעור_ריבית4/12,1,הפחתה8[[#This Row],[תשלומים
שנותרו]],AE208),0)),0)</f>
        <v>0</v>
      </c>
      <c r="AG207" s="19" t="str">
        <f ca="1">IFERROR(IF(AND(ValuesEntered4,הפחתה8[[#This Row],[תאריך]]&lt;&gt;""),-PPMT(שיעור_ריבית4/12,1,תקופת_ההלוואה4-ROWS($C$4:AD207)+1,הפחתה8[[#This Row],[יתרת פתיחה]]),""),0)</f>
        <v/>
      </c>
      <c r="AH207" s="19">
        <f ca="1">(הפחתה8[[#This Row],[יתרת פתיחה]])*(מדד4/12)</f>
        <v>0</v>
      </c>
      <c r="AI207" s="19">
        <f ca="1">IF(הפחתה8[[#This Row],[תאריך]]="",0,הפחתה8[[#This Row],[ריבית]]+הפחתה8[[#This Row],[קרן]]+הפחתה8[[#This Row],[מדד]])</f>
        <v>0</v>
      </c>
      <c r="AJ207" s="19">
        <f ca="1">IF(הפחתה8[[#This Row],[תאריך]]="",0,הפחתה8[[#This Row],[יתרת פתיחה]]-הפחתה8[[#This Row],[קרן]])</f>
        <v>0</v>
      </c>
      <c r="AK207" s="20">
        <f ca="1">IF(הפחתה8[[#This Row],[יתרת
סגירה]]&gt;0,LastRow4-ROW(),0)</f>
        <v>0</v>
      </c>
    </row>
    <row r="208" spans="1:37" ht="15" customHeight="1" x14ac:dyDescent="0.25">
      <c r="A208" s="8"/>
      <c r="B208" s="11">
        <f>ROWS($B$4:B208)</f>
        <v>205</v>
      </c>
      <c r="C208" s="12">
        <f>IF(ValuesEntered,IF(הפחתה[[#This Row],[מס'']]&lt;=תקופת_ההלוואה,IF(ROW()-ROW(הפחתה[[#Headers],[תאריך]])=1,LoanStart,IF(I207&gt;0,EDATE(C207,1),"")),""),"")</f>
        <v>51592</v>
      </c>
      <c r="D208" s="13">
        <f>IF(ROW()-ROW(הפחתה[[#Headers],[יתרת פתיחה]])=1,סכום_הלוואה,IF(הפחתה[[#This Row],[תאריך]]="",0,INDEX(הפחתה[], ROW()-4,8)))</f>
        <v>375045.51341270929</v>
      </c>
      <c r="E208" s="13">
        <f>IF(ValuesEntered,IF(ROW()-ROW(הפחתה[[#Headers],[ריבית]])=1,-IPMT(שיעור_ריבית/12,1,תקופת_ההלוואה-ROWS($C$4:C208)+1,הפחתה[[#This Row],[יתרת פתיחה]]),IFERROR(-IPMT(שיעור_ריבית/12,1,הפחתה[[#This Row],[תשלומים
שנותרו]],D209),0)),0)</f>
        <v>1649.0514362785445</v>
      </c>
      <c r="F208" s="13">
        <f>IFERROR(IF(AND(ValuesEntered,הפחתה[[#This Row],[תאריך]]&lt;&gt;""),-PPMT(שיעור_ריבית/12,1,תקופת_ההלוואה-ROWS($C$4:C208)+1,הפחתה[[#This Row],[יתרת פתיחה]]),""),0)</f>
        <v>1675.3768968124198</v>
      </c>
      <c r="G208" s="13">
        <f>(הפחתה[[#This Row],[יתרת פתיחה]])*(מדד/12)</f>
        <v>0</v>
      </c>
      <c r="H208" s="13">
        <f>IF(הפחתה[[#This Row],[תאריך]]="",0,הפחתה[[#This Row],[ריבית]]+הפחתה[[#This Row],[קרן]]+הפחתה[[#This Row],[מדד]])</f>
        <v>3324.4283330909643</v>
      </c>
      <c r="I208" s="13">
        <f>IF(הפחתה[[#This Row],[תאריך]]="",0,הפחתה[[#This Row],[יתרת פתיחה]]-הפחתה[[#This Row],[קרן]]+הפחתה[[#This Row],[מדד]])</f>
        <v>373370.13651589688</v>
      </c>
      <c r="J208" s="11">
        <f>IF(הפחתה[[#This Row],[יתרת
סגירה]]&gt;0,LastRow-ROW(),0)</f>
        <v>155</v>
      </c>
      <c r="K208" s="11">
        <f>ROWS($K$4:K208)</f>
        <v>205</v>
      </c>
      <c r="L208" s="12">
        <f>IF(ValuesEntered2,IF(הפחתה5[[#This Row],[מס'']]&lt;=תקופת_ההלוואה2,IF(ROW()-ROW(הפחתה5[[#Headers],[תאריך]])=1,LoanStart2,IF(R207&gt;0,EDATE(L207,1),"")),""),"")</f>
        <v>51592</v>
      </c>
      <c r="M208" s="13">
        <f>IF(ROW()-ROW(הפחתה5[[#Headers],[יתרת פתיחה]])=1,סכום_הלוואה2,IF(הפחתה5[[#This Row],[תאריך]]="",0,INDEX(הפחתה5[], ROW()-4,8)))</f>
        <v>135947.64677354926</v>
      </c>
      <c r="N208" s="13">
        <f>IF(ValuesEntered2,IF(ROW()-ROW(הפחתה5[[#Headers],[ריבית]])=1,-IPMT(שיעור_ריבית2/12,1,תקופת_ההלוואה2-ROWS($L$4:L208)+1,הפחתה5[[#This Row],[יתרת פתיחה]]),IFERROR(-IPMT(שיעור_ריבית2/12,1,הפחתה5[[#This Row],[תשלומים
שנותרו]],M209),0)),0)</f>
        <v>527.8819592383395</v>
      </c>
      <c r="O208" s="13">
        <f>IFERROR(IF(AND(ValuesEntered2,הפחתה5[[#This Row],[תאריך]]&lt;&gt;""),-PPMT(שיעור_ריבית2/12,1,תקופת_ההלוואה2-ROWS($L$4:L208)+1,הפחתה5[[#This Row],[יתרת פתיחה]]),""),0)</f>
        <v>1169.2742020583239</v>
      </c>
      <c r="P208" s="13">
        <f>(הפחתה5[[#This Row],[יתרת פתיחה]])*(מדד2/12)</f>
        <v>0</v>
      </c>
      <c r="Q208" s="13">
        <f>IF(הפחתה5[[#This Row],[תאריך]]="",0,הפחתה5[[#This Row],[ריבית]]+הפחתה5[[#This Row],[קרן]]+הפחתה5[[#This Row],[מדד]])</f>
        <v>1697.1561612966634</v>
      </c>
      <c r="R208" s="13">
        <f>IF(הפחתה5[[#This Row],[תאריך]]="",0,הפחתה5[[#This Row],[יתרת פתיחה]]-הפחתה5[[#This Row],[קרן]]+הפחתה5[[#This Row],[מדד]])</f>
        <v>134778.37257149094</v>
      </c>
      <c r="S208" s="11">
        <f>IF(הפחתה5[[#This Row],[יתרת
סגירה]]&gt;0,LastRow2-ROW(),0)</f>
        <v>95</v>
      </c>
      <c r="T208" s="11">
        <f>ROWS($T$4:T208)</f>
        <v>205</v>
      </c>
      <c r="U208" s="12">
        <f ca="1">IF(ValuesEntered3,IF(הפחתה7[[#This Row],[מס'']]&lt;=תקופת_ההלוואה3,IF(ROW()-ROW(הפחתה7[[#Headers],[תאריך]])=1,LoanStart3,IF(AA207&gt;0,EDATE(U207,1),"")),""),"")</f>
        <v>51830</v>
      </c>
      <c r="V208" s="13">
        <f ca="1">IF(ROW()-ROW(הפחתה7[[#Headers],[יתרת פתיחה]])=1,סכום_הלוואה3,IF(הפחתה7[[#This Row],[תאריך]]="",0,INDEX(הפחתה7[], ROW()-4,8)))</f>
        <v>54057.969527927336</v>
      </c>
      <c r="W208" s="13">
        <f ca="1">IF(ValuesEntered3,IF(ROW()-ROW(הפחתה7[[#Headers],[ריבית]])=1,-IPMT(שיעור_ריבית3/12,1,תקופת_ההלוואה3-ROWS($C$4:U208)+1,הפחתה7[[#This Row],[יתרת פתיחה]]),IFERROR(-IPMT(שיעור_ריבית3/12,1,הפחתה7[[#This Row],[תשלומים
שנותרו]],V209),0)),0)</f>
        <v>102.79973067209336</v>
      </c>
      <c r="X208" s="13">
        <f ca="1">IFERROR(IF(AND(ValuesEntered3,הפחתה7[[#This Row],[תאריך]]&lt;&gt;""),-PPMT(שיעור_ריבית3/12,1,תקופת_ההלוואה3-ROWS($C$4:U208)+1,הפחתה7[[#This Row],[יתרת פתיחה]]),""),0)</f>
        <v>513.42405401937299</v>
      </c>
      <c r="Y208" s="13">
        <f ca="1">(הפחתה7[[#This Row],[יתרת פתיחה]])*(מדד3/12)</f>
        <v>90.096615879878897</v>
      </c>
      <c r="Z208" s="13">
        <f ca="1">IF(הפחתה7[[#This Row],[תאריך]]="",0,הפחתה7[[#This Row],[ריבית]]+הפחתה7[[#This Row],[קרן]]+הפחתה7[[#This Row],[מדד]])</f>
        <v>706.3204005713452</v>
      </c>
      <c r="AA208" s="13">
        <f ca="1">IF(הפחתה7[[#This Row],[תאריך]]="",0,הפחתה7[[#This Row],[יתרת פתיחה]]-הפחתה7[[#This Row],[קרן]]+הפחתה7[[#This Row],[מדד]])</f>
        <v>53634.642089787842</v>
      </c>
      <c r="AB208" s="11">
        <f ca="1">IF(הפחתה7[[#This Row],[יתרת
סגירה]]&gt;0,LastRow3-ROW(),0)</f>
        <v>95</v>
      </c>
      <c r="AC208" s="17">
        <f>ROWS($AC$4:AC208)</f>
        <v>205</v>
      </c>
      <c r="AD208" s="18" t="str">
        <f ca="1">IF(ValuesEntered4,IF(הפחתה8[[#This Row],[מס'']]&lt;=תקופת_ההלוואה4,IF(ROW()-ROW(הפחתה8[[#Headers],[תאריך]])=1,LoanStart4,IF(AJ207&gt;0,EDATE(AD207,1),"")),""),"")</f>
        <v/>
      </c>
      <c r="AE208" s="19">
        <f ca="1">IF(ROW()-ROW(הפחתה8[[#Headers],[יתרת פתיחה]])=1,סכום_הלוואה4,IF(הפחתה8[[#This Row],[תאריך]]="",0,INDEX(הפחתה8[], ROW()-4,8)))</f>
        <v>0</v>
      </c>
      <c r="AF208" s="19">
        <f ca="1">IF(ValuesEntered4,IF(ROW()-ROW(הפחתה8[[#Headers],[ריבית]])=1,-IPMT(שיעור_ריבית4/12,1,תקופת_ההלוואה4-ROWS($C$4:AD208)+1,הפחתה8[[#This Row],[יתרת פתיחה]]),IFERROR(-IPMT(שיעור_ריבית4/12,1,הפחתה8[[#This Row],[תשלומים
שנותרו]],AE209),0)),0)</f>
        <v>0</v>
      </c>
      <c r="AG208" s="19" t="str">
        <f ca="1">IFERROR(IF(AND(ValuesEntered4,הפחתה8[[#This Row],[תאריך]]&lt;&gt;""),-PPMT(שיעור_ריבית4/12,1,תקופת_ההלוואה4-ROWS($C$4:AD208)+1,הפחתה8[[#This Row],[יתרת פתיחה]]),""),0)</f>
        <v/>
      </c>
      <c r="AH208" s="19">
        <f ca="1">(הפחתה8[[#This Row],[יתרת פתיחה]])*(מדד4/12)</f>
        <v>0</v>
      </c>
      <c r="AI208" s="19">
        <f ca="1">IF(הפחתה8[[#This Row],[תאריך]]="",0,הפחתה8[[#This Row],[ריבית]]+הפחתה8[[#This Row],[קרן]]+הפחתה8[[#This Row],[מדד]])</f>
        <v>0</v>
      </c>
      <c r="AJ208" s="19">
        <f ca="1">IF(הפחתה8[[#This Row],[תאריך]]="",0,הפחתה8[[#This Row],[יתרת פתיחה]]-הפחתה8[[#This Row],[קרן]])</f>
        <v>0</v>
      </c>
      <c r="AK208" s="20">
        <f ca="1">IF(הפחתה8[[#This Row],[יתרת
סגירה]]&gt;0,LastRow4-ROW(),0)</f>
        <v>0</v>
      </c>
    </row>
    <row r="209" spans="1:37" ht="15" customHeight="1" x14ac:dyDescent="0.25">
      <c r="A209" s="8"/>
      <c r="B209" s="11">
        <f>ROWS($B$4:B209)</f>
        <v>206</v>
      </c>
      <c r="C209" s="12">
        <f>IF(ValuesEntered,IF(הפחתה[[#This Row],[מס'']]&lt;=תקופת_ההלוואה,IF(ROW()-ROW(הפחתה[[#Headers],[תאריך]])=1,LoanStart,IF(I208&gt;0,EDATE(C208,1),"")),""),"")</f>
        <v>51622</v>
      </c>
      <c r="D209" s="13">
        <f>IF(ROW()-ROW(הפחתה[[#Headers],[יתרת פתיחה]])=1,סכום_הלוואה,IF(הפחתה[[#This Row],[תאריך]]="",0,INDEX(הפחתה[], ROW()-4,8)))</f>
        <v>373370.13651589688</v>
      </c>
      <c r="E209" s="13">
        <f>IF(ValuesEntered,IF(ROW()-ROW(הפחתה[[#Headers],[ריבית]])=1,-IPMT(שיעור_ריבית/12,1,תקופת_ההלוואה-ROWS($C$4:C209)+1,הפחתה[[#This Row],[יתרת פתיחה]]),IFERROR(-IPMT(שיעור_ריבית/12,1,הפחתה[[#This Row],[תשלומים
שנותרו]],D210),0)),0)</f>
        <v>1641.6191735002401</v>
      </c>
      <c r="F209" s="13">
        <f>IFERROR(IF(AND(ValuesEntered,הפחתה[[#This Row],[תאריך]]&lt;&gt;""),-PPMT(שיעור_ריבית/12,1,תקופת_ההלוואה-ROWS($C$4:C209)+1,הפחתה[[#This Row],[יתרת פתיחה]]),""),0)</f>
        <v>1682.7764781066742</v>
      </c>
      <c r="G209" s="13">
        <f>(הפחתה[[#This Row],[יתרת פתיחה]])*(מדד/12)</f>
        <v>0</v>
      </c>
      <c r="H209" s="13">
        <f>IF(הפחתה[[#This Row],[תאריך]]="",0,הפחתה[[#This Row],[ריבית]]+הפחתה[[#This Row],[קרן]]+הפחתה[[#This Row],[מדד]])</f>
        <v>3324.3956516069143</v>
      </c>
      <c r="I209" s="13">
        <f>IF(הפחתה[[#This Row],[תאריך]]="",0,הפחתה[[#This Row],[יתרת פתיחה]]-הפחתה[[#This Row],[קרן]]+הפחתה[[#This Row],[מדד]])</f>
        <v>371687.3600377902</v>
      </c>
      <c r="J209" s="11">
        <f>IF(הפחתה[[#This Row],[יתרת
סגירה]]&gt;0,LastRow-ROW(),0)</f>
        <v>154</v>
      </c>
      <c r="K209" s="11">
        <f>ROWS($K$4:K209)</f>
        <v>206</v>
      </c>
      <c r="L209" s="12">
        <f>IF(ValuesEntered2,IF(הפחתה5[[#This Row],[מס'']]&lt;=תקופת_ההלוואה2,IF(ROW()-ROW(הפחתה5[[#Headers],[תאריך]])=1,LoanStart2,IF(R208&gt;0,EDATE(L208,1),"")),""),"")</f>
        <v>51622</v>
      </c>
      <c r="M209" s="13">
        <f>IF(ROW()-ROW(הפחתה5[[#Headers],[יתרת פתיחה]])=1,סכום_הלוואה2,IF(הפחתה5[[#This Row],[תאריך]]="",0,INDEX(הפחתה5[], ROW()-4,8)))</f>
        <v>134778.37257149094</v>
      </c>
      <c r="N209" s="13">
        <f>IF(ValuesEntered2,IF(ROW()-ROW(הפחתה5[[#Headers],[ריבית]])=1,-IPMT(שיעור_ריבית2/12,1,תקופת_ההלוואה2-ROWS($L$4:L209)+1,הפחתה5[[#This Row],[יתרת פתיחה]]),IFERROR(-IPMT(שיעור_ריבית2/12,1,הפחתה5[[#This Row],[תשלומים
שנותרו]],M210),0)),0)</f>
        <v>523.28436495588642</v>
      </c>
      <c r="O209" s="13">
        <f>IFERROR(IF(AND(ValuesEntered2,הפחתה5[[#This Row],[תאריך]]&lt;&gt;""),-PPMT(שיעור_ריבית2/12,1,תקופת_ההלוואה2-ROWS($L$4:L209)+1,הפחתה5[[#This Row],[יתרת פתיחה]]),""),0)</f>
        <v>1173.8538593497192</v>
      </c>
      <c r="P209" s="13">
        <f>(הפחתה5[[#This Row],[יתרת פתיחה]])*(מדד2/12)</f>
        <v>0</v>
      </c>
      <c r="Q209" s="13">
        <f>IF(הפחתה5[[#This Row],[תאריך]]="",0,הפחתה5[[#This Row],[ריבית]]+הפחתה5[[#This Row],[קרן]]+הפחתה5[[#This Row],[מדד]])</f>
        <v>1697.1382243056055</v>
      </c>
      <c r="R209" s="13">
        <f>IF(הפחתה5[[#This Row],[תאריך]]="",0,הפחתה5[[#This Row],[יתרת פתיחה]]-הפחתה5[[#This Row],[קרן]]+הפחתה5[[#This Row],[מדד]])</f>
        <v>133604.51871214123</v>
      </c>
      <c r="S209" s="11">
        <f>IF(הפחתה5[[#This Row],[יתרת
סגירה]]&gt;0,LastRow2-ROW(),0)</f>
        <v>94</v>
      </c>
      <c r="T209" s="11">
        <f>ROWS($T$4:T209)</f>
        <v>206</v>
      </c>
      <c r="U209" s="12">
        <f ca="1">IF(ValuesEntered3,IF(הפחתה7[[#This Row],[מס'']]&lt;=תקופת_ההלוואה3,IF(ROW()-ROW(הפחתה7[[#Headers],[תאריך]])=1,LoanStart3,IF(AA208&gt;0,EDATE(U208,1),"")),""),"")</f>
        <v>51860</v>
      </c>
      <c r="V209" s="13">
        <f ca="1">IF(ROW()-ROW(הפחתה7[[#Headers],[יתרת פתיחה]])=1,סכום_הלוואה3,IF(הפחתה7[[#This Row],[תאריך]]="",0,INDEX(הפחתה7[], ROW()-4,8)))</f>
        <v>53634.642089787842</v>
      </c>
      <c r="W209" s="13">
        <f ca="1">IF(ValuesEntered3,IF(ROW()-ROW(הפחתה7[[#Headers],[ריבית]])=1,-IPMT(שיעור_ריבית3/12,1,תקופת_ההלוואה3-ROWS($C$4:U209)+1,הפחתה7[[#This Row],[יתרת פתיחה]]),IFERROR(-IPMT(שיעור_ריבית3/12,1,הפחתה7[[#This Row],[תשלומים
שנותרו]],V210),0)),0)</f>
        <v>101.98345566122396</v>
      </c>
      <c r="X209" s="13">
        <f ca="1">IFERROR(IF(AND(ValuesEntered3,הפחתה7[[#This Row],[תאריך]]&lt;&gt;""),-PPMT(שיעור_ריבית3/12,1,תקופת_ההלוואה3-ROWS($C$4:U209)+1,הפחתה7[[#This Row],[יתרת פתיחה]]),""),0)</f>
        <v>515.27368451629275</v>
      </c>
      <c r="Y209" s="13">
        <f ca="1">(הפחתה7[[#This Row],[יתרת פתיחה]])*(מדד3/12)</f>
        <v>89.39107014964641</v>
      </c>
      <c r="Z209" s="13">
        <f ca="1">IF(הפחתה7[[#This Row],[תאריך]]="",0,הפחתה7[[#This Row],[ריבית]]+הפחתה7[[#This Row],[קרן]]+הפחתה7[[#This Row],[מדד]])</f>
        <v>706.64821032716316</v>
      </c>
      <c r="AA209" s="13">
        <f ca="1">IF(הפחתה7[[#This Row],[תאריך]]="",0,הפחתה7[[#This Row],[יתרת פתיחה]]-הפחתה7[[#This Row],[קרן]]+הפחתה7[[#This Row],[מדד]])</f>
        <v>53208.759475421197</v>
      </c>
      <c r="AB209" s="11">
        <f ca="1">IF(הפחתה7[[#This Row],[יתרת
סגירה]]&gt;0,LastRow3-ROW(),0)</f>
        <v>94</v>
      </c>
      <c r="AC209" s="17">
        <f>ROWS($AC$4:AC209)</f>
        <v>206</v>
      </c>
      <c r="AD209" s="18" t="str">
        <f ca="1">IF(ValuesEntered4,IF(הפחתה8[[#This Row],[מס'']]&lt;=תקופת_ההלוואה4,IF(ROW()-ROW(הפחתה8[[#Headers],[תאריך]])=1,LoanStart4,IF(AJ208&gt;0,EDATE(AD208,1),"")),""),"")</f>
        <v/>
      </c>
      <c r="AE209" s="19">
        <f ca="1">IF(ROW()-ROW(הפחתה8[[#Headers],[יתרת פתיחה]])=1,סכום_הלוואה4,IF(הפחתה8[[#This Row],[תאריך]]="",0,INDEX(הפחתה8[], ROW()-4,8)))</f>
        <v>0</v>
      </c>
      <c r="AF209" s="19">
        <f ca="1">IF(ValuesEntered4,IF(ROW()-ROW(הפחתה8[[#Headers],[ריבית]])=1,-IPMT(שיעור_ריבית4/12,1,תקופת_ההלוואה4-ROWS($C$4:AD209)+1,הפחתה8[[#This Row],[יתרת פתיחה]]),IFERROR(-IPMT(שיעור_ריבית4/12,1,הפחתה8[[#This Row],[תשלומים
שנותרו]],AE210),0)),0)</f>
        <v>0</v>
      </c>
      <c r="AG209" s="19" t="str">
        <f ca="1">IFERROR(IF(AND(ValuesEntered4,הפחתה8[[#This Row],[תאריך]]&lt;&gt;""),-PPMT(שיעור_ריבית4/12,1,תקופת_ההלוואה4-ROWS($C$4:AD209)+1,הפחתה8[[#This Row],[יתרת פתיחה]]),""),0)</f>
        <v/>
      </c>
      <c r="AH209" s="19">
        <f ca="1">(הפחתה8[[#This Row],[יתרת פתיחה]])*(מדד4/12)</f>
        <v>0</v>
      </c>
      <c r="AI209" s="19">
        <f ca="1">IF(הפחתה8[[#This Row],[תאריך]]="",0,הפחתה8[[#This Row],[ריבית]]+הפחתה8[[#This Row],[קרן]]+הפחתה8[[#This Row],[מדד]])</f>
        <v>0</v>
      </c>
      <c r="AJ209" s="19">
        <f ca="1">IF(הפחתה8[[#This Row],[תאריך]]="",0,הפחתה8[[#This Row],[יתרת פתיחה]]-הפחתה8[[#This Row],[קרן]])</f>
        <v>0</v>
      </c>
      <c r="AK209" s="20">
        <f ca="1">IF(הפחתה8[[#This Row],[יתרת
סגירה]]&gt;0,LastRow4-ROW(),0)</f>
        <v>0</v>
      </c>
    </row>
    <row r="210" spans="1:37" ht="15" customHeight="1" x14ac:dyDescent="0.25">
      <c r="A210" s="8"/>
      <c r="B210" s="11">
        <f>ROWS($B$4:B210)</f>
        <v>207</v>
      </c>
      <c r="C210" s="12">
        <f>IF(ValuesEntered,IF(הפחתה[[#This Row],[מס'']]&lt;=תקופת_ההלוואה,IF(ROW()-ROW(הפחתה[[#Headers],[תאריך]])=1,LoanStart,IF(I209&gt;0,EDATE(C209,1),"")),""),"")</f>
        <v>51653</v>
      </c>
      <c r="D210" s="13">
        <f>IF(ROW()-ROW(הפחתה[[#Headers],[יתרת פתיחה]])=1,סכום_הלוואה,IF(הפחתה[[#This Row],[תאריך]]="",0,INDEX(הפחתה[], ROW()-4,8)))</f>
        <v>371687.3600377902</v>
      </c>
      <c r="E210" s="13">
        <f>IF(ValuesEntered,IF(ROW()-ROW(הפחתה[[#Headers],[ריבית]])=1,-IPMT(שיעור_ריבית/12,1,תקופת_ההלוואה-ROWS($C$4:C210)+1,הפחתה[[#This Row],[יתרת פתיחה]]),IFERROR(-IPMT(שיעור_ריבית/12,1,הפחתה[[#This Row],[תשלומים
שנותרו]],D211),0)),0)</f>
        <v>1634.1540848946649</v>
      </c>
      <c r="F210" s="13">
        <f>IFERROR(IF(AND(ValuesEntered,הפחתה[[#This Row],[תאריך]]&lt;&gt;""),-PPMT(שיעור_ריבית/12,1,תקופת_ההלוואה-ROWS($C$4:C210)+1,הפחתה[[#This Row],[יתרת פתיחה]]),""),0)</f>
        <v>1690.2087408849791</v>
      </c>
      <c r="G210" s="13">
        <f>(הפחתה[[#This Row],[יתרת פתיחה]])*(מדד/12)</f>
        <v>0</v>
      </c>
      <c r="H210" s="13">
        <f>IF(הפחתה[[#This Row],[תאריך]]="",0,הפחתה[[#This Row],[ריבית]]+הפחתה[[#This Row],[קרן]]+הפחתה[[#This Row],[מדד]])</f>
        <v>3324.362825779644</v>
      </c>
      <c r="I210" s="13">
        <f>IF(הפחתה[[#This Row],[תאריך]]="",0,הפחתה[[#This Row],[יתרת פתיחה]]-הפחתה[[#This Row],[קרן]]+הפחתה[[#This Row],[מדד]])</f>
        <v>369997.15129690524</v>
      </c>
      <c r="J210" s="11">
        <f>IF(הפחתה[[#This Row],[יתרת
סגירה]]&gt;0,LastRow-ROW(),0)</f>
        <v>153</v>
      </c>
      <c r="K210" s="11">
        <f>ROWS($K$4:K210)</f>
        <v>207</v>
      </c>
      <c r="L210" s="12">
        <f>IF(ValuesEntered2,IF(הפחתה5[[#This Row],[מס'']]&lt;=תקופת_ההלוואה2,IF(ROW()-ROW(הפחתה5[[#Headers],[תאריך]])=1,LoanStart2,IF(R209&gt;0,EDATE(L209,1),"")),""),"")</f>
        <v>51653</v>
      </c>
      <c r="M210" s="13">
        <f>IF(ROW()-ROW(הפחתה5[[#Headers],[יתרת פתיחה]])=1,סכום_הלוואה2,IF(הפחתה5[[#This Row],[תאריך]]="",0,INDEX(הפחתה5[], ROW()-4,8)))</f>
        <v>133604.51871214123</v>
      </c>
      <c r="N210" s="13">
        <f>IF(ValuesEntered2,IF(ROW()-ROW(הפחתה5[[#Headers],[ריבית]])=1,-IPMT(שיעור_ריבית2/12,1,תקופת_ההלוואה2-ROWS($L$4:L210)+1,הפחתה5[[#This Row],[יתרת פתיחה]]),IFERROR(-IPMT(שיעור_ריבית2/12,1,הפחתה5[[#This Row],[תשלומים
שנותרו]],M211),0)),0)</f>
        <v>518.66876342916044</v>
      </c>
      <c r="O210" s="13">
        <f>IFERROR(IF(AND(ValuesEntered2,הפחתה5[[#This Row],[תאריך]]&lt;&gt;""),-PPMT(שיעור_ריבית2/12,1,תקופת_ההלוואה2-ROWS($L$4:L210)+1,הפחתה5[[#This Row],[יתרת פתיחה]]),""),0)</f>
        <v>1178.4514536321722</v>
      </c>
      <c r="P210" s="13">
        <f>(הפחתה5[[#This Row],[יתרת פתיחה]])*(מדד2/12)</f>
        <v>0</v>
      </c>
      <c r="Q210" s="13">
        <f>IF(הפחתה5[[#This Row],[תאריך]]="",0,הפחתה5[[#This Row],[ריבית]]+הפחתה5[[#This Row],[קרן]]+הפחתה5[[#This Row],[מדד]])</f>
        <v>1697.1202170613326</v>
      </c>
      <c r="R210" s="13">
        <f>IF(הפחתה5[[#This Row],[תאריך]]="",0,הפחתה5[[#This Row],[יתרת פתיחה]]-הפחתה5[[#This Row],[קרן]]+הפחתה5[[#This Row],[מדד]])</f>
        <v>132426.06725850905</v>
      </c>
      <c r="S210" s="11">
        <f>IF(הפחתה5[[#This Row],[יתרת
סגירה]]&gt;0,LastRow2-ROW(),0)</f>
        <v>93</v>
      </c>
      <c r="T210" s="11">
        <f>ROWS($T$4:T210)</f>
        <v>207</v>
      </c>
      <c r="U210" s="12">
        <f ca="1">IF(ValuesEntered3,IF(הפחתה7[[#This Row],[מס'']]&lt;=תקופת_ההלוואה3,IF(ROW()-ROW(הפחתה7[[#Headers],[תאריך]])=1,LoanStart3,IF(AA209&gt;0,EDATE(U209,1),"")),""),"")</f>
        <v>51891</v>
      </c>
      <c r="V210" s="13">
        <f ca="1">IF(ROW()-ROW(הפחתה7[[#Headers],[יתרת פתיחה]])=1,סכום_הלוואה3,IF(הפחתה7[[#This Row],[תאריך]]="",0,INDEX(הפחתה7[], ROW()-4,8)))</f>
        <v>53208.759475421197</v>
      </c>
      <c r="W210" s="13">
        <f ca="1">IF(ValuesEntered3,IF(ROW()-ROW(הפחתה7[[#Headers],[ריבית]])=1,-IPMT(שיעור_ריבית3/12,1,תקופת_ההלוואה3-ROWS($C$4:U210)+1,הפחתה7[[#This Row],[יתרת פתיחה]]),IFERROR(-IPMT(שיעור_ריבית3/12,1,הפחתה7[[#This Row],[תשלומים
שנותרו]],V211),0)),0)</f>
        <v>101.16226211143233</v>
      </c>
      <c r="X210" s="13">
        <f ca="1">IFERROR(IF(AND(ValuesEntered3,הפחתה7[[#This Row],[תאריך]]&lt;&gt;""),-PPMT(שיעור_ריבית3/12,1,תקופת_ההלוואה3-ROWS($C$4:U210)+1,הפחתה7[[#This Row],[יתרת פתיחה]]),""),0)</f>
        <v>517.13007437930435</v>
      </c>
      <c r="Y210" s="13">
        <f ca="1">(הפחתה7[[#This Row],[יתרת פתיחה]])*(מדד3/12)</f>
        <v>88.681265792368663</v>
      </c>
      <c r="Z210" s="13">
        <f ca="1">IF(הפחתה7[[#This Row],[תאריך]]="",0,הפחתה7[[#This Row],[ריבית]]+הפחתה7[[#This Row],[קרן]]+הפחתה7[[#This Row],[מדד]])</f>
        <v>706.97360228310538</v>
      </c>
      <c r="AA210" s="13">
        <f ca="1">IF(הפחתה7[[#This Row],[תאריך]]="",0,הפחתה7[[#This Row],[יתרת פתיחה]]-הפחתה7[[#This Row],[קרן]]+הפחתה7[[#This Row],[מדד]])</f>
        <v>52780.310666834259</v>
      </c>
      <c r="AB210" s="11">
        <f ca="1">IF(הפחתה7[[#This Row],[יתרת
סגירה]]&gt;0,LastRow3-ROW(),0)</f>
        <v>93</v>
      </c>
      <c r="AC210" s="17">
        <f>ROWS($AC$4:AC210)</f>
        <v>207</v>
      </c>
      <c r="AD210" s="18" t="str">
        <f ca="1">IF(ValuesEntered4,IF(הפחתה8[[#This Row],[מס'']]&lt;=תקופת_ההלוואה4,IF(ROW()-ROW(הפחתה8[[#Headers],[תאריך]])=1,LoanStart4,IF(AJ209&gt;0,EDATE(AD209,1),"")),""),"")</f>
        <v/>
      </c>
      <c r="AE210" s="19">
        <f ca="1">IF(ROW()-ROW(הפחתה8[[#Headers],[יתרת פתיחה]])=1,סכום_הלוואה4,IF(הפחתה8[[#This Row],[תאריך]]="",0,INDEX(הפחתה8[], ROW()-4,8)))</f>
        <v>0</v>
      </c>
      <c r="AF210" s="19">
        <f ca="1">IF(ValuesEntered4,IF(ROW()-ROW(הפחתה8[[#Headers],[ריבית]])=1,-IPMT(שיעור_ריבית4/12,1,תקופת_ההלוואה4-ROWS($C$4:AD210)+1,הפחתה8[[#This Row],[יתרת פתיחה]]),IFERROR(-IPMT(שיעור_ריבית4/12,1,הפחתה8[[#This Row],[תשלומים
שנותרו]],AE211),0)),0)</f>
        <v>0</v>
      </c>
      <c r="AG210" s="19" t="str">
        <f ca="1">IFERROR(IF(AND(ValuesEntered4,הפחתה8[[#This Row],[תאריך]]&lt;&gt;""),-PPMT(שיעור_ריבית4/12,1,תקופת_ההלוואה4-ROWS($C$4:AD210)+1,הפחתה8[[#This Row],[יתרת פתיחה]]),""),0)</f>
        <v/>
      </c>
      <c r="AH210" s="19">
        <f ca="1">(הפחתה8[[#This Row],[יתרת פתיחה]])*(מדד4/12)</f>
        <v>0</v>
      </c>
      <c r="AI210" s="19">
        <f ca="1">IF(הפחתה8[[#This Row],[תאריך]]="",0,הפחתה8[[#This Row],[ריבית]]+הפחתה8[[#This Row],[קרן]]+הפחתה8[[#This Row],[מדד]])</f>
        <v>0</v>
      </c>
      <c r="AJ210" s="19">
        <f ca="1">IF(הפחתה8[[#This Row],[תאריך]]="",0,הפחתה8[[#This Row],[יתרת פתיחה]]-הפחתה8[[#This Row],[קרן]])</f>
        <v>0</v>
      </c>
      <c r="AK210" s="20">
        <f ca="1">IF(הפחתה8[[#This Row],[יתרת
סגירה]]&gt;0,LastRow4-ROW(),0)</f>
        <v>0</v>
      </c>
    </row>
    <row r="211" spans="1:37" ht="15" customHeight="1" x14ac:dyDescent="0.25">
      <c r="A211" s="8"/>
      <c r="B211" s="11">
        <f>ROWS($B$4:B211)</f>
        <v>208</v>
      </c>
      <c r="C211" s="12">
        <f>IF(ValuesEntered,IF(הפחתה[[#This Row],[מס'']]&lt;=תקופת_ההלוואה,IF(ROW()-ROW(הפחתה[[#Headers],[תאריך]])=1,LoanStart,IF(I210&gt;0,EDATE(C210,1),"")),""),"")</f>
        <v>51683</v>
      </c>
      <c r="D211" s="13">
        <f>IF(ROW()-ROW(הפחתה[[#Headers],[יתרת פתיחה]])=1,סכום_הלוואה,IF(הפחתה[[#This Row],[תאריך]]="",0,INDEX(הפחתה[], ROW()-4,8)))</f>
        <v>369997.15129690524</v>
      </c>
      <c r="E211" s="13">
        <f>IF(ValuesEntered,IF(ROW()-ROW(הפחתה[[#Headers],[ריבית]])=1,-IPMT(שיעור_ריבית/12,1,תקופת_ההלוואה-ROWS($C$4:C211)+1,הפחתה[[#This Row],[יתרת פתיחה]]),IFERROR(-IPMT(שיעור_ריבית/12,1,הפחתה[[#This Row],[תשלומים
שנותרו]],D212),0)),0)</f>
        <v>1626.6560254810815</v>
      </c>
      <c r="F211" s="13">
        <f>IFERROR(IF(AND(ValuesEntered,הפחתה[[#This Row],[תאריך]]&lt;&gt;""),-PPMT(שיעור_ריבית/12,1,תקופת_ההלוואה-ROWS($C$4:C211)+1,הפחתה[[#This Row],[יתרת פתיחה]]),""),0)</f>
        <v>1697.6738294905542</v>
      </c>
      <c r="G211" s="13">
        <f>(הפחתה[[#This Row],[יתרת פתיחה]])*(מדד/12)</f>
        <v>0</v>
      </c>
      <c r="H211" s="13">
        <f>IF(הפחתה[[#This Row],[תאריך]]="",0,הפחתה[[#This Row],[ריבית]]+הפחתה[[#This Row],[קרן]]+הפחתה[[#This Row],[מדד]])</f>
        <v>3324.3298549716355</v>
      </c>
      <c r="I211" s="13">
        <f>IF(הפחתה[[#This Row],[תאריך]]="",0,הפחתה[[#This Row],[יתרת פתיחה]]-הפחתה[[#This Row],[קרן]]+הפחתה[[#This Row],[מדד]])</f>
        <v>368299.47746741469</v>
      </c>
      <c r="J211" s="11">
        <f>IF(הפחתה[[#This Row],[יתרת
סגירה]]&gt;0,LastRow-ROW(),0)</f>
        <v>152</v>
      </c>
      <c r="K211" s="11">
        <f>ROWS($K$4:K211)</f>
        <v>208</v>
      </c>
      <c r="L211" s="12">
        <f>IF(ValuesEntered2,IF(הפחתה5[[#This Row],[מס'']]&lt;=תקופת_ההלוואה2,IF(ROW()-ROW(הפחתה5[[#Headers],[תאריך]])=1,LoanStart2,IF(R210&gt;0,EDATE(L210,1),"")),""),"")</f>
        <v>51683</v>
      </c>
      <c r="M211" s="13">
        <f>IF(ROW()-ROW(הפחתה5[[#Headers],[יתרת פתיחה]])=1,סכום_הלוואה2,IF(הפחתה5[[#This Row],[תאריך]]="",0,INDEX(הפחתה5[], ROW()-4,8)))</f>
        <v>132426.06725850905</v>
      </c>
      <c r="N211" s="13">
        <f>IF(ValuesEntered2,IF(ROW()-ROW(הפחתה5[[#Headers],[ריבית]])=1,-IPMT(שיעור_ריבית2/12,1,תקופת_ההלוואה2-ROWS($L$4:L211)+1,הפחתה5[[#This Row],[יתרת פתיחה]]),IFERROR(-IPMT(שיעור_ריבית2/12,1,הפחתה5[[#This Row],[תשלומים
שנותרו]],M212),0)),0)</f>
        <v>514.03508412978806</v>
      </c>
      <c r="O211" s="13">
        <f>IFERROR(IF(AND(ValuesEntered2,הפחתה5[[#This Row],[תאריך]]&lt;&gt;""),-PPMT(שיעור_ריבית2/12,1,תקופת_ההלוואה2-ROWS($L$4:L211)+1,הפחתה5[[#This Row],[יתרת פתיחה]]),""),0)</f>
        <v>1183.0670551588985</v>
      </c>
      <c r="P211" s="13">
        <f>(הפחתה5[[#This Row],[יתרת פתיחה]])*(מדד2/12)</f>
        <v>0</v>
      </c>
      <c r="Q211" s="13">
        <f>IF(הפחתה5[[#This Row],[תאריך]]="",0,הפחתה5[[#This Row],[ריבית]]+הפחתה5[[#This Row],[קרן]]+הפחתה5[[#This Row],[מדד]])</f>
        <v>1697.1021392886864</v>
      </c>
      <c r="R211" s="13">
        <f>IF(הפחתה5[[#This Row],[תאריך]]="",0,הפחתה5[[#This Row],[יתרת פתיחה]]-הפחתה5[[#This Row],[קרן]]+הפחתה5[[#This Row],[מדד]])</f>
        <v>131243.00020335015</v>
      </c>
      <c r="S211" s="11">
        <f>IF(הפחתה5[[#This Row],[יתרת
סגירה]]&gt;0,LastRow2-ROW(),0)</f>
        <v>92</v>
      </c>
      <c r="T211" s="11">
        <f>ROWS($T$4:T211)</f>
        <v>208</v>
      </c>
      <c r="U211" s="12">
        <f ca="1">IF(ValuesEntered3,IF(הפחתה7[[#This Row],[מס'']]&lt;=תקופת_ההלוואה3,IF(ROW()-ROW(הפחתה7[[#Headers],[תאריך]])=1,LoanStart3,IF(AA210&gt;0,EDATE(U210,1),"")),""),"")</f>
        <v>51922</v>
      </c>
      <c r="V211" s="13">
        <f ca="1">IF(ROW()-ROW(הפחתה7[[#Headers],[יתרת פתיחה]])=1,סכום_הלוואה3,IF(הפחתה7[[#This Row],[תאריך]]="",0,INDEX(הפחתה7[], ROW()-4,8)))</f>
        <v>52780.310666834259</v>
      </c>
      <c r="W211" s="13">
        <f ca="1">IF(ValuesEntered3,IF(ROW()-ROW(הפחתה7[[#Headers],[ריבית]])=1,-IPMT(שיעור_ריבית3/12,1,תקופת_ההלוואה3-ROWS($C$4:U211)+1,הפחתה7[[#This Row],[יתרת פתיחה]]),IFERROR(-IPMT(שיעור_ריבית3/12,1,הפחתה7[[#This Row],[תשלומים
שנותרו]],V212),0)),0)</f>
        <v>100.33612881772157</v>
      </c>
      <c r="X211" s="13">
        <f ca="1">IFERROR(IF(AND(ValuesEntered3,הפחתה7[[#This Row],[תאריך]]&lt;&gt;""),-PPMT(שיעור_ריבית3/12,1,תקופת_ההלוואה3-ROWS($C$4:U211)+1,הפחתה7[[#This Row],[יתרת פתיחה]]),""),0)</f>
        <v>518.99325072858949</v>
      </c>
      <c r="Y211" s="13">
        <f ca="1">(הפחתה7[[#This Row],[יתרת פתיחה]])*(מדד3/12)</f>
        <v>87.96718444472377</v>
      </c>
      <c r="Z211" s="13">
        <f ca="1">IF(הפחתה7[[#This Row],[תאריך]]="",0,הפחתה7[[#This Row],[ריבית]]+הפחתה7[[#This Row],[קרן]]+הפחתה7[[#This Row],[מדד]])</f>
        <v>707.29656399103487</v>
      </c>
      <c r="AA211" s="13">
        <f ca="1">IF(הפחתה7[[#This Row],[תאריך]]="",0,הפחתה7[[#This Row],[יתרת פתיחה]]-הפחתה7[[#This Row],[קרן]]+הפחתה7[[#This Row],[מדד]])</f>
        <v>52349.284600550389</v>
      </c>
      <c r="AB211" s="11">
        <f ca="1">IF(הפחתה7[[#This Row],[יתרת
סגירה]]&gt;0,LastRow3-ROW(),0)</f>
        <v>92</v>
      </c>
      <c r="AC211" s="17">
        <f>ROWS($AC$4:AC211)</f>
        <v>208</v>
      </c>
      <c r="AD211" s="18" t="str">
        <f ca="1">IF(ValuesEntered4,IF(הפחתה8[[#This Row],[מס'']]&lt;=תקופת_ההלוואה4,IF(ROW()-ROW(הפחתה8[[#Headers],[תאריך]])=1,LoanStart4,IF(AJ210&gt;0,EDATE(AD210,1),"")),""),"")</f>
        <v/>
      </c>
      <c r="AE211" s="19">
        <f ca="1">IF(ROW()-ROW(הפחתה8[[#Headers],[יתרת פתיחה]])=1,סכום_הלוואה4,IF(הפחתה8[[#This Row],[תאריך]]="",0,INDEX(הפחתה8[], ROW()-4,8)))</f>
        <v>0</v>
      </c>
      <c r="AF211" s="19">
        <f ca="1">IF(ValuesEntered4,IF(ROW()-ROW(הפחתה8[[#Headers],[ריבית]])=1,-IPMT(שיעור_ריבית4/12,1,תקופת_ההלוואה4-ROWS($C$4:AD211)+1,הפחתה8[[#This Row],[יתרת פתיחה]]),IFERROR(-IPMT(שיעור_ריבית4/12,1,הפחתה8[[#This Row],[תשלומים
שנותרו]],AE212),0)),0)</f>
        <v>0</v>
      </c>
      <c r="AG211" s="19" t="str">
        <f ca="1">IFERROR(IF(AND(ValuesEntered4,הפחתה8[[#This Row],[תאריך]]&lt;&gt;""),-PPMT(שיעור_ריבית4/12,1,תקופת_ההלוואה4-ROWS($C$4:AD211)+1,הפחתה8[[#This Row],[יתרת פתיחה]]),""),0)</f>
        <v/>
      </c>
      <c r="AH211" s="19">
        <f ca="1">(הפחתה8[[#This Row],[יתרת פתיחה]])*(מדד4/12)</f>
        <v>0</v>
      </c>
      <c r="AI211" s="19">
        <f ca="1">IF(הפחתה8[[#This Row],[תאריך]]="",0,הפחתה8[[#This Row],[ריבית]]+הפחתה8[[#This Row],[קרן]]+הפחתה8[[#This Row],[מדד]])</f>
        <v>0</v>
      </c>
      <c r="AJ211" s="19">
        <f ca="1">IF(הפחתה8[[#This Row],[תאריך]]="",0,הפחתה8[[#This Row],[יתרת פתיחה]]-הפחתה8[[#This Row],[קרן]])</f>
        <v>0</v>
      </c>
      <c r="AK211" s="20">
        <f ca="1">IF(הפחתה8[[#This Row],[יתרת
סגירה]]&gt;0,LastRow4-ROW(),0)</f>
        <v>0</v>
      </c>
    </row>
    <row r="212" spans="1:37" ht="15" customHeight="1" x14ac:dyDescent="0.25">
      <c r="A212" s="8"/>
      <c r="B212" s="11">
        <f>ROWS($B$4:B212)</f>
        <v>209</v>
      </c>
      <c r="C212" s="12">
        <f>IF(ValuesEntered,IF(הפחתה[[#This Row],[מס'']]&lt;=תקופת_ההלוואה,IF(ROW()-ROW(הפחתה[[#Headers],[תאריך]])=1,LoanStart,IF(I211&gt;0,EDATE(C211,1),"")),""),"")</f>
        <v>51714</v>
      </c>
      <c r="D212" s="13">
        <f>IF(ROW()-ROW(הפחתה[[#Headers],[יתרת פתיחה]])=1,סכום_הלוואה,IF(הפחתה[[#This Row],[תאריך]]="",0,INDEX(הפחתה[], ROW()-4,8)))</f>
        <v>368299.47746741469</v>
      </c>
      <c r="E212" s="13">
        <f>IF(ValuesEntered,IF(ROW()-ROW(הפחתה[[#Headers],[ריבית]])=1,-IPMT(שיעור_ריבית/12,1,תקופת_ההלוואה-ROWS($C$4:C212)+1,הפחתה[[#This Row],[יתרת פתיחה]]),IFERROR(-IPMT(שיעור_ריבית/12,1,הפחתה[[#This Row],[תשלומים
שנותרו]],D213),0)),0)</f>
        <v>1619.1248496384217</v>
      </c>
      <c r="F212" s="13">
        <f>IFERROR(IF(AND(ValuesEntered,הפחתה[[#This Row],[תאריך]]&lt;&gt;""),-PPMT(שיעור_ריבית/12,1,תקופת_ההלוואה-ROWS($C$4:C212)+1,הפחתה[[#This Row],[יתרת פתיחה]]),""),0)</f>
        <v>1705.1718889041374</v>
      </c>
      <c r="G212" s="13">
        <f>(הפחתה[[#This Row],[יתרת פתיחה]])*(מדד/12)</f>
        <v>0</v>
      </c>
      <c r="H212" s="13">
        <f>IF(הפחתה[[#This Row],[תאריך]]="",0,הפחתה[[#This Row],[ריבית]]+הפחתה[[#This Row],[קרן]]+הפחתה[[#This Row],[מדד]])</f>
        <v>3324.2967385425591</v>
      </c>
      <c r="I212" s="13">
        <f>IF(הפחתה[[#This Row],[תאריך]]="",0,הפחתה[[#This Row],[יתרת פתיחה]]-הפחתה[[#This Row],[קרן]]+הפחתה[[#This Row],[מדד]])</f>
        <v>366594.30557851057</v>
      </c>
      <c r="J212" s="11">
        <f>IF(הפחתה[[#This Row],[יתרת
סגירה]]&gt;0,LastRow-ROW(),0)</f>
        <v>151</v>
      </c>
      <c r="K212" s="11">
        <f>ROWS($K$4:K212)</f>
        <v>209</v>
      </c>
      <c r="L212" s="12">
        <f>IF(ValuesEntered2,IF(הפחתה5[[#This Row],[מס'']]&lt;=תקופת_ההלוואה2,IF(ROW()-ROW(הפחתה5[[#Headers],[תאריך]])=1,LoanStart2,IF(R211&gt;0,EDATE(L211,1),"")),""),"")</f>
        <v>51714</v>
      </c>
      <c r="M212" s="13">
        <f>IF(ROW()-ROW(הפחתה5[[#Headers],[יתרת פתיחה]])=1,סכום_הלוואה2,IF(הפחתה5[[#This Row],[תאריך]]="",0,INDEX(הפחתה5[], ROW()-4,8)))</f>
        <v>131243.00020335015</v>
      </c>
      <c r="N212" s="13">
        <f>IF(ValuesEntered2,IF(ROW()-ROW(הפחתה5[[#Headers],[ריבית]])=1,-IPMT(שיעור_ריבית2/12,1,תקופת_ההלוואה2-ROWS($L$4:L212)+1,הפחתה5[[#This Row],[יתרת פתיחה]]),IFERROR(-IPMT(שיעור_ריבית2/12,1,הפחתה5[[#This Row],[תשלומים
שנותרו]],M213),0)),0)</f>
        <v>509.38325625315986</v>
      </c>
      <c r="O212" s="13">
        <f>IFERROR(IF(AND(ValuesEntered2,הפחתה5[[#This Row],[תאריך]]&lt;&gt;""),-PPMT(שיעור_ריבית2/12,1,תקופת_ההלוואה2-ROWS($L$4:L212)+1,הפחתה5[[#This Row],[יתרת פתיחה]]),""),0)</f>
        <v>1187.7007344582707</v>
      </c>
      <c r="P212" s="13">
        <f>(הפחתה5[[#This Row],[יתרת פתיחה]])*(מדד2/12)</f>
        <v>0</v>
      </c>
      <c r="Q212" s="13">
        <f>IF(הפחתה5[[#This Row],[תאריך]]="",0,הפחתה5[[#This Row],[ריבית]]+הפחתה5[[#This Row],[קרן]]+הפחתה5[[#This Row],[מדד]])</f>
        <v>1697.0839907114305</v>
      </c>
      <c r="R212" s="13">
        <f>IF(הפחתה5[[#This Row],[תאריך]]="",0,הפחתה5[[#This Row],[יתרת פתיחה]]-הפחתה5[[#This Row],[קרן]]+הפחתה5[[#This Row],[מדד]])</f>
        <v>130055.29946889188</v>
      </c>
      <c r="S212" s="11">
        <f>IF(הפחתה5[[#This Row],[יתרת
סגירה]]&gt;0,LastRow2-ROW(),0)</f>
        <v>91</v>
      </c>
      <c r="T212" s="11">
        <f>ROWS($T$4:T212)</f>
        <v>209</v>
      </c>
      <c r="U212" s="12">
        <f ca="1">IF(ValuesEntered3,IF(הפחתה7[[#This Row],[מס'']]&lt;=תקופת_ההלוואה3,IF(ROW()-ROW(הפחתה7[[#Headers],[תאריך]])=1,LoanStart3,IF(AA211&gt;0,EDATE(U211,1),"")),""),"")</f>
        <v>51950</v>
      </c>
      <c r="V212" s="13">
        <f ca="1">IF(ROW()-ROW(הפחתה7[[#Headers],[יתרת פתיחה]])=1,סכום_הלוואה3,IF(הפחתה7[[#This Row],[תאריך]]="",0,INDEX(הפחתה7[], ROW()-4,8)))</f>
        <v>52349.284600550389</v>
      </c>
      <c r="W212" s="13">
        <f ca="1">IF(ValuesEntered3,IF(ROW()-ROW(הפחתה7[[#Headers],[ריבית]])=1,-IPMT(שיעור_ריבית3/12,1,תקופת_ההלוואה3-ROWS($C$4:U212)+1,הפחתה7[[#This Row],[יתרת פתיחה]]),IFERROR(-IPMT(שיעור_ריבית3/12,1,הפחתה7[[#This Row],[תשלומים
שנותרו]],V213),0)),0)</f>
        <v>99.505034487404927</v>
      </c>
      <c r="X212" s="13">
        <f ca="1">IFERROR(IF(AND(ValuesEntered3,הפחתה7[[#This Row],[תאריך]]&lt;&gt;""),-PPMT(שיעור_ריבית3/12,1,תקופת_ההלוואה3-ROWS($C$4:U212)+1,הפחתה7[[#This Row],[יתרת פתיחה]]),""),0)</f>
        <v>520.86324087627224</v>
      </c>
      <c r="Y212" s="13">
        <f ca="1">(הפחתה7[[#This Row],[יתרת פתיחה]])*(מדד3/12)</f>
        <v>87.248807667583989</v>
      </c>
      <c r="Z212" s="13">
        <f ca="1">IF(הפחתה7[[#This Row],[תאריך]]="",0,הפחתה7[[#This Row],[ריבית]]+הפחתה7[[#This Row],[קרן]]+הפחתה7[[#This Row],[מדד]])</f>
        <v>707.61708303126113</v>
      </c>
      <c r="AA212" s="13">
        <f ca="1">IF(הפחתה7[[#This Row],[תאריך]]="",0,הפחתה7[[#This Row],[יתרת פתיחה]]-הפחתה7[[#This Row],[קרן]]+הפחתה7[[#This Row],[מדד]])</f>
        <v>51915.670167341705</v>
      </c>
      <c r="AB212" s="11">
        <f ca="1">IF(הפחתה7[[#This Row],[יתרת
סגירה]]&gt;0,LastRow3-ROW(),0)</f>
        <v>91</v>
      </c>
      <c r="AC212" s="17">
        <f>ROWS($AC$4:AC212)</f>
        <v>209</v>
      </c>
      <c r="AD212" s="18" t="str">
        <f ca="1">IF(ValuesEntered4,IF(הפחתה8[[#This Row],[מס'']]&lt;=תקופת_ההלוואה4,IF(ROW()-ROW(הפחתה8[[#Headers],[תאריך]])=1,LoanStart4,IF(AJ211&gt;0,EDATE(AD211,1),"")),""),"")</f>
        <v/>
      </c>
      <c r="AE212" s="19">
        <f ca="1">IF(ROW()-ROW(הפחתה8[[#Headers],[יתרת פתיחה]])=1,סכום_הלוואה4,IF(הפחתה8[[#This Row],[תאריך]]="",0,INDEX(הפחתה8[], ROW()-4,8)))</f>
        <v>0</v>
      </c>
      <c r="AF212" s="19">
        <f ca="1">IF(ValuesEntered4,IF(ROW()-ROW(הפחתה8[[#Headers],[ריבית]])=1,-IPMT(שיעור_ריבית4/12,1,תקופת_ההלוואה4-ROWS($C$4:AD212)+1,הפחתה8[[#This Row],[יתרת פתיחה]]),IFERROR(-IPMT(שיעור_ריבית4/12,1,הפחתה8[[#This Row],[תשלומים
שנותרו]],AE213),0)),0)</f>
        <v>0</v>
      </c>
      <c r="AG212" s="19" t="str">
        <f ca="1">IFERROR(IF(AND(ValuesEntered4,הפחתה8[[#This Row],[תאריך]]&lt;&gt;""),-PPMT(שיעור_ריבית4/12,1,תקופת_ההלוואה4-ROWS($C$4:AD212)+1,הפחתה8[[#This Row],[יתרת פתיחה]]),""),0)</f>
        <v/>
      </c>
      <c r="AH212" s="19">
        <f ca="1">(הפחתה8[[#This Row],[יתרת פתיחה]])*(מדד4/12)</f>
        <v>0</v>
      </c>
      <c r="AI212" s="19">
        <f ca="1">IF(הפחתה8[[#This Row],[תאריך]]="",0,הפחתה8[[#This Row],[ריבית]]+הפחתה8[[#This Row],[קרן]]+הפחתה8[[#This Row],[מדד]])</f>
        <v>0</v>
      </c>
      <c r="AJ212" s="19">
        <f ca="1">IF(הפחתה8[[#This Row],[תאריך]]="",0,הפחתה8[[#This Row],[יתרת פתיחה]]-הפחתה8[[#This Row],[קרן]])</f>
        <v>0</v>
      </c>
      <c r="AK212" s="20">
        <f ca="1">IF(הפחתה8[[#This Row],[יתרת
סגירה]]&gt;0,LastRow4-ROW(),0)</f>
        <v>0</v>
      </c>
    </row>
    <row r="213" spans="1:37" ht="15" customHeight="1" x14ac:dyDescent="0.25">
      <c r="A213" s="8"/>
      <c r="B213" s="11">
        <f>ROWS($B$4:B213)</f>
        <v>210</v>
      </c>
      <c r="C213" s="12">
        <f>IF(ValuesEntered,IF(הפחתה[[#This Row],[מס'']]&lt;=תקופת_ההלוואה,IF(ROW()-ROW(הפחתה[[#Headers],[תאריך]])=1,LoanStart,IF(I212&gt;0,EDATE(C212,1),"")),""),"")</f>
        <v>51745</v>
      </c>
      <c r="D213" s="13">
        <f>IF(ROW()-ROW(הפחתה[[#Headers],[יתרת פתיחה]])=1,סכום_הלוואה,IF(הפחתה[[#This Row],[תאריך]]="",0,INDEX(הפחתה[], ROW()-4,8)))</f>
        <v>366594.30557851057</v>
      </c>
      <c r="E213" s="13">
        <f>IF(ValuesEntered,IF(ROW()-ROW(הפחתה[[#Headers],[ריבית]])=1,-IPMT(שיעור_ריבית/12,1,תקופת_ההלוואה-ROWS($C$4:C213)+1,הפחתה[[#This Row],[יתרת פתיחה]]),IFERROR(-IPMT(שיעור_ריבית/12,1,הפחתה[[#This Row],[תשלומים
שנותרו]],D214),0)),0)</f>
        <v>1611.5604111024568</v>
      </c>
      <c r="F213" s="13">
        <f>IFERROR(IF(AND(ValuesEntered,הפחתה[[#This Row],[תאריך]]&lt;&gt;""),-PPMT(שיעור_ריבית/12,1,תקופת_ההלוואה-ROWS($C$4:C213)+1,הפחתה[[#This Row],[יתרת פתיחה]]),""),0)</f>
        <v>1712.7030647467975</v>
      </c>
      <c r="G213" s="13">
        <f>(הפחתה[[#This Row],[יתרת פתיחה]])*(מדד/12)</f>
        <v>0</v>
      </c>
      <c r="H213" s="13">
        <f>IF(הפחתה[[#This Row],[תאריך]]="",0,הפחתה[[#This Row],[ריבית]]+הפחתה[[#This Row],[קרן]]+הפחתה[[#This Row],[מדד]])</f>
        <v>3324.2634758492541</v>
      </c>
      <c r="I213" s="13">
        <f>IF(הפחתה[[#This Row],[תאריך]]="",0,הפחתה[[#This Row],[יתרת פתיחה]]-הפחתה[[#This Row],[קרן]]+הפחתה[[#This Row],[מדד]])</f>
        <v>364881.60251376376</v>
      </c>
      <c r="J213" s="11">
        <f>IF(הפחתה[[#This Row],[יתרת
סגירה]]&gt;0,LastRow-ROW(),0)</f>
        <v>150</v>
      </c>
      <c r="K213" s="11">
        <f>ROWS($K$4:K213)</f>
        <v>210</v>
      </c>
      <c r="L213" s="12">
        <f>IF(ValuesEntered2,IF(הפחתה5[[#This Row],[מס'']]&lt;=תקופת_ההלוואה2,IF(ROW()-ROW(הפחתה5[[#Headers],[תאריך]])=1,LoanStart2,IF(R212&gt;0,EDATE(L212,1),"")),""),"")</f>
        <v>51745</v>
      </c>
      <c r="M213" s="13">
        <f>IF(ROW()-ROW(הפחתה5[[#Headers],[יתרת פתיחה]])=1,סכום_הלוואה2,IF(הפחתה5[[#This Row],[תאריך]]="",0,INDEX(הפחתה5[], ROW()-4,8)))</f>
        <v>130055.29946889188</v>
      </c>
      <c r="N213" s="13">
        <f>IF(ValuesEntered2,IF(ROW()-ROW(הפחתה5[[#Headers],[ריבית]])=1,-IPMT(שיעור_ריבית2/12,1,תקופת_ההלוואה2-ROWS($L$4:L213)+1,הפחתה5[[#This Row],[יתרת פתיחה]]),IFERROR(-IPMT(שיעור_ריבית2/12,1,הפחתה5[[#This Row],[תשלומים
שנותרו]],M214),0)),0)</f>
        <v>504.71320871734815</v>
      </c>
      <c r="O213" s="13">
        <f>IFERROR(IF(AND(ValuesEntered2,הפחתה5[[#This Row],[תאריך]]&lt;&gt;""),-PPMT(שיעור_ריבית2/12,1,תקופת_ההלוואה2-ROWS($L$4:L213)+1,הפחתה5[[#This Row],[יתרת פתיחה]]),""),0)</f>
        <v>1192.3525623348989</v>
      </c>
      <c r="P213" s="13">
        <f>(הפחתה5[[#This Row],[יתרת פתיחה]])*(מדד2/12)</f>
        <v>0</v>
      </c>
      <c r="Q213" s="13">
        <f>IF(הפחתה5[[#This Row],[תאריך]]="",0,הפחתה5[[#This Row],[ריבית]]+הפחתה5[[#This Row],[קרן]]+הפחתה5[[#This Row],[מדד]])</f>
        <v>1697.0657710522471</v>
      </c>
      <c r="R213" s="13">
        <f>IF(הפחתה5[[#This Row],[תאריך]]="",0,הפחתה5[[#This Row],[יתרת פתיחה]]-הפחתה5[[#This Row],[קרן]]+הפחתה5[[#This Row],[מדד]])</f>
        <v>128862.94690655699</v>
      </c>
      <c r="S213" s="11">
        <f>IF(הפחתה5[[#This Row],[יתרת
סגירה]]&gt;0,LastRow2-ROW(),0)</f>
        <v>90</v>
      </c>
      <c r="T213" s="11">
        <f>ROWS($T$4:T213)</f>
        <v>210</v>
      </c>
      <c r="U213" s="12">
        <f ca="1">IF(ValuesEntered3,IF(הפחתה7[[#This Row],[מס'']]&lt;=תקופת_ההלוואה3,IF(ROW()-ROW(הפחתה7[[#Headers],[תאריך]])=1,LoanStart3,IF(AA212&gt;0,EDATE(U212,1),"")),""),"")</f>
        <v>51981</v>
      </c>
      <c r="V213" s="13">
        <f ca="1">IF(ROW()-ROW(הפחתה7[[#Headers],[יתרת פתיחה]])=1,סכום_הלוואה3,IF(הפחתה7[[#This Row],[תאריך]]="",0,INDEX(הפחתה7[], ROW()-4,8)))</f>
        <v>51915.670167341705</v>
      </c>
      <c r="W213" s="13">
        <f ca="1">IF(ValuesEntered3,IF(ROW()-ROW(הפחתה7[[#Headers],[ריבית]])=1,-IPMT(שיעור_ריבית3/12,1,תקופת_ההלוואה3-ROWS($C$4:U213)+1,הפחתה7[[#This Row],[יתרת פתיחה]]),IFERROR(-IPMT(שיעור_ריבית3/12,1,הפחתה7[[#This Row],[תשלומים
שנותרו]],V214),0)),0)</f>
        <v>98.668957739582311</v>
      </c>
      <c r="X213" s="13">
        <f ca="1">IFERROR(IF(AND(ValuesEntered3,הפחתה7[[#This Row],[תאריך]]&lt;&gt;""),-PPMT(שיעור_ריבית3/12,1,תקופת_ההלוואה3-ROWS($C$4:U213)+1,הפחתה7[[#This Row],[יתרת פתיחה]]),""),0)</f>
        <v>522.74007233127452</v>
      </c>
      <c r="Y213" s="13">
        <f ca="1">(הפחתה7[[#This Row],[יתרת פתיחה]])*(מדד3/12)</f>
        <v>86.526116945569512</v>
      </c>
      <c r="Z213" s="13">
        <f ca="1">IF(הפחתה7[[#This Row],[תאריך]]="",0,הפחתה7[[#This Row],[ריבית]]+הפחתה7[[#This Row],[קרן]]+הפחתה7[[#This Row],[מדד]])</f>
        <v>707.9351470164263</v>
      </c>
      <c r="AA213" s="13">
        <f ca="1">IF(הפחתה7[[#This Row],[תאריך]]="",0,הפחתה7[[#This Row],[יתרת פתיחה]]-הפחתה7[[#This Row],[קרן]]+הפחתה7[[#This Row],[מדד]])</f>
        <v>51479.456211956</v>
      </c>
      <c r="AB213" s="11">
        <f ca="1">IF(הפחתה7[[#This Row],[יתרת
סגירה]]&gt;0,LastRow3-ROW(),0)</f>
        <v>90</v>
      </c>
      <c r="AC213" s="17">
        <f>ROWS($AC$4:AC213)</f>
        <v>210</v>
      </c>
      <c r="AD213" s="18" t="str">
        <f ca="1">IF(ValuesEntered4,IF(הפחתה8[[#This Row],[מס'']]&lt;=תקופת_ההלוואה4,IF(ROW()-ROW(הפחתה8[[#Headers],[תאריך]])=1,LoanStart4,IF(AJ212&gt;0,EDATE(AD212,1),"")),""),"")</f>
        <v/>
      </c>
      <c r="AE213" s="19">
        <f ca="1">IF(ROW()-ROW(הפחתה8[[#Headers],[יתרת פתיחה]])=1,סכום_הלוואה4,IF(הפחתה8[[#This Row],[תאריך]]="",0,INDEX(הפחתה8[], ROW()-4,8)))</f>
        <v>0</v>
      </c>
      <c r="AF213" s="19">
        <f ca="1">IF(ValuesEntered4,IF(ROW()-ROW(הפחתה8[[#Headers],[ריבית]])=1,-IPMT(שיעור_ריבית4/12,1,תקופת_ההלוואה4-ROWS($C$4:AD213)+1,הפחתה8[[#This Row],[יתרת פתיחה]]),IFERROR(-IPMT(שיעור_ריבית4/12,1,הפחתה8[[#This Row],[תשלומים
שנותרו]],AE214),0)),0)</f>
        <v>0</v>
      </c>
      <c r="AG213" s="19" t="str">
        <f ca="1">IFERROR(IF(AND(ValuesEntered4,הפחתה8[[#This Row],[תאריך]]&lt;&gt;""),-PPMT(שיעור_ריבית4/12,1,תקופת_ההלוואה4-ROWS($C$4:AD213)+1,הפחתה8[[#This Row],[יתרת פתיחה]]),""),0)</f>
        <v/>
      </c>
      <c r="AH213" s="19">
        <f ca="1">(הפחתה8[[#This Row],[יתרת פתיחה]])*(מדד4/12)</f>
        <v>0</v>
      </c>
      <c r="AI213" s="19">
        <f ca="1">IF(הפחתה8[[#This Row],[תאריך]]="",0,הפחתה8[[#This Row],[ריבית]]+הפחתה8[[#This Row],[קרן]]+הפחתה8[[#This Row],[מדד]])</f>
        <v>0</v>
      </c>
      <c r="AJ213" s="19">
        <f ca="1">IF(הפחתה8[[#This Row],[תאריך]]="",0,הפחתה8[[#This Row],[יתרת פתיחה]]-הפחתה8[[#This Row],[קרן]])</f>
        <v>0</v>
      </c>
      <c r="AK213" s="20">
        <f ca="1">IF(הפחתה8[[#This Row],[יתרת
סגירה]]&gt;0,LastRow4-ROW(),0)</f>
        <v>0</v>
      </c>
    </row>
    <row r="214" spans="1:37" ht="15" customHeight="1" x14ac:dyDescent="0.25">
      <c r="A214" s="8"/>
      <c r="B214" s="11">
        <f>ROWS($B$4:B214)</f>
        <v>211</v>
      </c>
      <c r="C214" s="12">
        <f>IF(ValuesEntered,IF(הפחתה[[#This Row],[מס'']]&lt;=תקופת_ההלוואה,IF(ROW()-ROW(הפחתה[[#Headers],[תאריך]])=1,LoanStart,IF(I213&gt;0,EDATE(C213,1),"")),""),"")</f>
        <v>51775</v>
      </c>
      <c r="D214" s="13">
        <f>IF(ROW()-ROW(הפחתה[[#Headers],[יתרת פתיחה]])=1,סכום_הלוואה,IF(הפחתה[[#This Row],[תאריך]]="",0,INDEX(הפחתה[], ROW()-4,8)))</f>
        <v>364881.60251376376</v>
      </c>
      <c r="E214" s="13">
        <f>IF(ValuesEntered,IF(ROW()-ROW(הפחתה[[#Headers],[ריבית]])=1,-IPMT(שיעור_ריבית/12,1,תקופת_ההלוואה-ROWS($C$4:C214)+1,הפחתה[[#This Row],[יתרת פתיחה]]),IFERROR(-IPMT(שיעור_ריבית/12,1,הפחתה[[#This Row],[תשלומים
שנותרו]],D215),0)),0)</f>
        <v>1603.9625629629579</v>
      </c>
      <c r="F214" s="13">
        <f>IFERROR(IF(AND(ValuesEntered,הפחתה[[#This Row],[תאריך]]&lt;&gt;""),-PPMT(שיעור_ריבית/12,1,תקופת_ההלוואה-ROWS($C$4:C214)+1,הפחתה[[#This Row],[יתרת פתיחה]]),""),0)</f>
        <v>1720.2675032827628</v>
      </c>
      <c r="G214" s="13">
        <f>(הפחתה[[#This Row],[יתרת פתיחה]])*(מדד/12)</f>
        <v>0</v>
      </c>
      <c r="H214" s="13">
        <f>IF(הפחתה[[#This Row],[תאריך]]="",0,הפחתה[[#This Row],[ריבית]]+הפחתה[[#This Row],[קרן]]+הפחתה[[#This Row],[מדד]])</f>
        <v>3324.230066245721</v>
      </c>
      <c r="I214" s="13">
        <f>IF(הפחתה[[#This Row],[תאריך]]="",0,הפחתה[[#This Row],[יתרת פתיחה]]-הפחתה[[#This Row],[קרן]]+הפחתה[[#This Row],[מדד]])</f>
        <v>363161.33501048101</v>
      </c>
      <c r="J214" s="11">
        <f>IF(הפחתה[[#This Row],[יתרת
סגירה]]&gt;0,LastRow-ROW(),0)</f>
        <v>149</v>
      </c>
      <c r="K214" s="11">
        <f>ROWS($K$4:K214)</f>
        <v>211</v>
      </c>
      <c r="L214" s="12">
        <f>IF(ValuesEntered2,IF(הפחתה5[[#This Row],[מס'']]&lt;=תקופת_ההלוואה2,IF(ROW()-ROW(הפחתה5[[#Headers],[תאריך]])=1,LoanStart2,IF(R213&gt;0,EDATE(L213,1),"")),""),"")</f>
        <v>51775</v>
      </c>
      <c r="M214" s="13">
        <f>IF(ROW()-ROW(הפחתה5[[#Headers],[יתרת פתיחה]])=1,סכום_הלוואה2,IF(הפחתה5[[#This Row],[תאריך]]="",0,INDEX(הפחתה5[], ROW()-4,8)))</f>
        <v>128862.94690655699</v>
      </c>
      <c r="N214" s="13">
        <f>IF(ValuesEntered2,IF(ROW()-ROW(הפחתה5[[#Headers],[ריבית]])=1,-IPMT(שיעור_ריבית2/12,1,תקופת_ההלוואה2-ROWS($L$4:L214)+1,הפחתה5[[#This Row],[יתרת פתיחה]]),IFERROR(-IPMT(שיעור_ריבית2/12,1,הפחתה5[[#This Row],[תשלומים
שנותרו]],M215),0)),0)</f>
        <v>500.02487016202116</v>
      </c>
      <c r="O214" s="13">
        <f>IFERROR(IF(AND(ValuesEntered2,הפחתה5[[#This Row],[תאריך]]&lt;&gt;""),-PPMT(שיעור_ריבית2/12,1,תקופת_ההלוואה2-ROWS($L$4:L214)+1,הפחתה5[[#This Row],[יתרת פתיחה]]),""),0)</f>
        <v>1197.0226098707108</v>
      </c>
      <c r="P214" s="13">
        <f>(הפחתה5[[#This Row],[יתרת פתיחה]])*(מדד2/12)</f>
        <v>0</v>
      </c>
      <c r="Q214" s="13">
        <f>IF(הפחתה5[[#This Row],[תאריך]]="",0,הפחתה5[[#This Row],[ריבית]]+הפחתה5[[#This Row],[קרן]]+הפחתה5[[#This Row],[מדד]])</f>
        <v>1697.047480032732</v>
      </c>
      <c r="R214" s="13">
        <f>IF(הפחתה5[[#This Row],[תאריך]]="",0,הפחתה5[[#This Row],[יתרת פתיחה]]-הפחתה5[[#This Row],[קרן]]+הפחתה5[[#This Row],[מדד]])</f>
        <v>127665.92429668628</v>
      </c>
      <c r="S214" s="11">
        <f>IF(הפחתה5[[#This Row],[יתרת
סגירה]]&gt;0,LastRow2-ROW(),0)</f>
        <v>89</v>
      </c>
      <c r="T214" s="11">
        <f>ROWS($T$4:T214)</f>
        <v>211</v>
      </c>
      <c r="U214" s="12">
        <f ca="1">IF(ValuesEntered3,IF(הפחתה7[[#This Row],[מס'']]&lt;=תקופת_ההלוואה3,IF(ROW()-ROW(הפחתה7[[#Headers],[תאריך]])=1,LoanStart3,IF(AA213&gt;0,EDATE(U213,1),"")),""),"")</f>
        <v>52011</v>
      </c>
      <c r="V214" s="13">
        <f ca="1">IF(ROW()-ROW(הפחתה7[[#Headers],[יתרת פתיחה]])=1,סכום_הלוואה3,IF(הפחתה7[[#This Row],[תאריך]]="",0,INDEX(הפחתה7[], ROW()-4,8)))</f>
        <v>51479.456211956</v>
      </c>
      <c r="W214" s="13">
        <f ca="1">IF(ValuesEntered3,IF(ROW()-ROW(הפחתה7[[#Headers],[ריבית]])=1,-IPMT(שיעור_ריבית3/12,1,תקופת_ההלוואה3-ROWS($C$4:U214)+1,הפחתה7[[#This Row],[יתרת פתיחה]]),IFERROR(-IPMT(שיעור_ריבית3/12,1,הפחתה7[[#This Row],[תשלומים
שנותרו]],V215),0)),0)</f>
        <v>97.827877104606486</v>
      </c>
      <c r="X214" s="13">
        <f ca="1">IFERROR(IF(AND(ValuesEntered3,הפחתה7[[#This Row],[תאריך]]&lt;&gt;""),-PPMT(שיעור_ריבית3/12,1,תקופת_ההלוואה3-ROWS($C$4:U214)+1,הפחתה7[[#This Row],[יתרת פתיחה]]),""),0)</f>
        <v>524.62377280442013</v>
      </c>
      <c r="Y214" s="13">
        <f ca="1">(הפחתה7[[#This Row],[יתרת פתיחה]])*(מדד3/12)</f>
        <v>85.799093686593338</v>
      </c>
      <c r="Z214" s="13">
        <f ca="1">IF(הפחתה7[[#This Row],[תאריך]]="",0,הפחתה7[[#This Row],[ריבית]]+הפחתה7[[#This Row],[קרן]]+הפחתה7[[#This Row],[מדד]])</f>
        <v>708.25074359561995</v>
      </c>
      <c r="AA214" s="13">
        <f ca="1">IF(הפחתה7[[#This Row],[תאריך]]="",0,הפחתה7[[#This Row],[יתרת פתיחה]]-הפחתה7[[#This Row],[קרן]]+הפחתה7[[#This Row],[מדד]])</f>
        <v>51040.631532838168</v>
      </c>
      <c r="AB214" s="11">
        <f ca="1">IF(הפחתה7[[#This Row],[יתרת
סגירה]]&gt;0,LastRow3-ROW(),0)</f>
        <v>89</v>
      </c>
      <c r="AC214" s="17">
        <f>ROWS($AC$4:AC214)</f>
        <v>211</v>
      </c>
      <c r="AD214" s="18" t="str">
        <f ca="1">IF(ValuesEntered4,IF(הפחתה8[[#This Row],[מס'']]&lt;=תקופת_ההלוואה4,IF(ROW()-ROW(הפחתה8[[#Headers],[תאריך]])=1,LoanStart4,IF(AJ213&gt;0,EDATE(AD213,1),"")),""),"")</f>
        <v/>
      </c>
      <c r="AE214" s="19">
        <f ca="1">IF(ROW()-ROW(הפחתה8[[#Headers],[יתרת פתיחה]])=1,סכום_הלוואה4,IF(הפחתה8[[#This Row],[תאריך]]="",0,INDEX(הפחתה8[], ROW()-4,8)))</f>
        <v>0</v>
      </c>
      <c r="AF214" s="19">
        <f ca="1">IF(ValuesEntered4,IF(ROW()-ROW(הפחתה8[[#Headers],[ריבית]])=1,-IPMT(שיעור_ריבית4/12,1,תקופת_ההלוואה4-ROWS($C$4:AD214)+1,הפחתה8[[#This Row],[יתרת פתיחה]]),IFERROR(-IPMT(שיעור_ריבית4/12,1,הפחתה8[[#This Row],[תשלומים
שנותרו]],AE215),0)),0)</f>
        <v>0</v>
      </c>
      <c r="AG214" s="19" t="str">
        <f ca="1">IFERROR(IF(AND(ValuesEntered4,הפחתה8[[#This Row],[תאריך]]&lt;&gt;""),-PPMT(שיעור_ריבית4/12,1,תקופת_ההלוואה4-ROWS($C$4:AD214)+1,הפחתה8[[#This Row],[יתרת פתיחה]]),""),0)</f>
        <v/>
      </c>
      <c r="AH214" s="19">
        <f ca="1">(הפחתה8[[#This Row],[יתרת פתיחה]])*(מדד4/12)</f>
        <v>0</v>
      </c>
      <c r="AI214" s="19">
        <f ca="1">IF(הפחתה8[[#This Row],[תאריך]]="",0,הפחתה8[[#This Row],[ריבית]]+הפחתה8[[#This Row],[קרן]]+הפחתה8[[#This Row],[מדד]])</f>
        <v>0</v>
      </c>
      <c r="AJ214" s="19">
        <f ca="1">IF(הפחתה8[[#This Row],[תאריך]]="",0,הפחתה8[[#This Row],[יתרת פתיחה]]-הפחתה8[[#This Row],[קרן]])</f>
        <v>0</v>
      </c>
      <c r="AK214" s="20">
        <f ca="1">IF(הפחתה8[[#This Row],[יתרת
סגירה]]&gt;0,LastRow4-ROW(),0)</f>
        <v>0</v>
      </c>
    </row>
    <row r="215" spans="1:37" ht="15" customHeight="1" x14ac:dyDescent="0.25">
      <c r="A215" s="8"/>
      <c r="B215" s="11">
        <f>ROWS($B$4:B215)</f>
        <v>212</v>
      </c>
      <c r="C215" s="12">
        <f>IF(ValuesEntered,IF(הפחתה[[#This Row],[מס'']]&lt;=תקופת_ההלוואה,IF(ROW()-ROW(הפחתה[[#Headers],[תאריך]])=1,LoanStart,IF(I214&gt;0,EDATE(C214,1),"")),""),"")</f>
        <v>51806</v>
      </c>
      <c r="D215" s="13">
        <f>IF(ROW()-ROW(הפחתה[[#Headers],[יתרת פתיחה]])=1,סכום_הלוואה,IF(הפחתה[[#This Row],[תאריך]]="",0,INDEX(הפחתה[], ROW()-4,8)))</f>
        <v>363161.33501048101</v>
      </c>
      <c r="E215" s="13">
        <f>IF(ValuesEntered,IF(ROW()-ROW(הפחתה[[#Headers],[ריבית]])=1,-IPMT(שיעור_ריבית/12,1,תקופת_ההלוואה-ROWS($C$4:C215)+1,הפחתה[[#This Row],[יתרת פתיחה]]),IFERROR(-IPMT(שיעור_ריבית/12,1,הפחתה[[#This Row],[תשלומים
שנותרו]],D216),0)),0)</f>
        <v>1596.3311576608428</v>
      </c>
      <c r="F215" s="13">
        <f>IFERROR(IF(AND(ValuesEntered,הפחתה[[#This Row],[תאריך]]&lt;&gt;""),-PPMT(שיעור_ריבית/12,1,תקופת_ההלוואה-ROWS($C$4:C215)+1,הפחתה[[#This Row],[יתרת פתיחה]]),""),0)</f>
        <v>1727.8653514222619</v>
      </c>
      <c r="G215" s="13">
        <f>(הפחתה[[#This Row],[יתרת פתיחה]])*(מדד/12)</f>
        <v>0</v>
      </c>
      <c r="H215" s="13">
        <f>IF(הפחתה[[#This Row],[תאריך]]="",0,הפחתה[[#This Row],[ריבית]]+הפחתה[[#This Row],[קרן]]+הפחתה[[#This Row],[מדד]])</f>
        <v>3324.1965090831045</v>
      </c>
      <c r="I215" s="13">
        <f>IF(הפחתה[[#This Row],[תאריך]]="",0,הפחתה[[#This Row],[יתרת פתיחה]]-הפחתה[[#This Row],[קרן]]+הפחתה[[#This Row],[מדד]])</f>
        <v>361433.46965905873</v>
      </c>
      <c r="J215" s="11">
        <f>IF(הפחתה[[#This Row],[יתרת
סגירה]]&gt;0,LastRow-ROW(),0)</f>
        <v>148</v>
      </c>
      <c r="K215" s="11">
        <f>ROWS($K$4:K215)</f>
        <v>212</v>
      </c>
      <c r="L215" s="12">
        <f>IF(ValuesEntered2,IF(הפחתה5[[#This Row],[מס'']]&lt;=תקופת_ההלוואה2,IF(ROW()-ROW(הפחתה5[[#Headers],[תאריך]])=1,LoanStart2,IF(R214&gt;0,EDATE(L214,1),"")),""),"")</f>
        <v>51806</v>
      </c>
      <c r="M215" s="13">
        <f>IF(ROW()-ROW(הפחתה5[[#Headers],[יתרת פתיחה]])=1,סכום_הלוואה2,IF(הפחתה5[[#This Row],[תאריך]]="",0,INDEX(הפחתה5[], ROW()-4,8)))</f>
        <v>127665.92429668628</v>
      </c>
      <c r="N215" s="13">
        <f>IF(ValuesEntered2,IF(ROW()-ROW(הפחתה5[[#Headers],[ריבית]])=1,-IPMT(שיעור_ריבית2/12,1,תקופת_ההלוואה2-ROWS($L$4:L215)+1,הפחתה5[[#This Row],[יתרת פתיחה]]),IFERROR(-IPMT(שיעור_ריבית2/12,1,הפחתה5[[#This Row],[תשלומים
שנותרו]],M216),0)),0)</f>
        <v>495.31816894735255</v>
      </c>
      <c r="O215" s="13">
        <f>IFERROR(IF(AND(ValuesEntered2,הפחתה5[[#This Row],[תאריך]]&lt;&gt;""),-PPMT(שיעור_ריבית2/12,1,תקופת_ההלוואה2-ROWS($L$4:L215)+1,הפחתה5[[#This Row],[יתרת פתיחה]]),""),0)</f>
        <v>1201.7109484260377</v>
      </c>
      <c r="P215" s="13">
        <f>(הפחתה5[[#This Row],[יתרת פתיחה]])*(מדד2/12)</f>
        <v>0</v>
      </c>
      <c r="Q215" s="13">
        <f>IF(הפחתה5[[#This Row],[תאריך]]="",0,הפחתה5[[#This Row],[ריבית]]+הפחתה5[[#This Row],[קרן]]+הפחתה5[[#This Row],[מדד]])</f>
        <v>1697.0291173733904</v>
      </c>
      <c r="R215" s="13">
        <f>IF(הפחתה5[[#This Row],[תאריך]]="",0,הפחתה5[[#This Row],[יתרת פתיחה]]-הפחתה5[[#This Row],[קרן]]+הפחתה5[[#This Row],[מדד]])</f>
        <v>126464.21334826024</v>
      </c>
      <c r="S215" s="11">
        <f>IF(הפחתה5[[#This Row],[יתרת
סגירה]]&gt;0,LastRow2-ROW(),0)</f>
        <v>88</v>
      </c>
      <c r="T215" s="11">
        <f>ROWS($T$4:T215)</f>
        <v>212</v>
      </c>
      <c r="U215" s="12">
        <f ca="1">IF(ValuesEntered3,IF(הפחתה7[[#This Row],[מס'']]&lt;=תקופת_ההלוואה3,IF(ROW()-ROW(הפחתה7[[#Headers],[תאריך]])=1,LoanStart3,IF(AA214&gt;0,EDATE(U214,1),"")),""),"")</f>
        <v>52042</v>
      </c>
      <c r="V215" s="13">
        <f ca="1">IF(ROW()-ROW(הפחתה7[[#Headers],[יתרת פתיחה]])=1,סכום_הלוואה3,IF(הפחתה7[[#This Row],[תאריך]]="",0,INDEX(הפחתה7[], ROW()-4,8)))</f>
        <v>51040.631532838168</v>
      </c>
      <c r="W215" s="13">
        <f ca="1">IF(ValuesEntered3,IF(ROW()-ROW(הפחתה7[[#Headers],[ריבית]])=1,-IPMT(שיעור_ריבית3/12,1,תקופת_ההלוואה3-ROWS($C$4:U215)+1,הפחתה7[[#This Row],[יתרת פתיחה]]),IFERROR(-IPMT(שיעור_ריבית3/12,1,הפחתה7[[#This Row],[תשלומים
שנותרו]],V216),0)),0)</f>
        <v>96.981771023537704</v>
      </c>
      <c r="X215" s="13">
        <f ca="1">IFERROR(IF(AND(ValuesEntered3,הפחתה7[[#This Row],[תאריך]]&lt;&gt;""),-PPMT(שיעור_ריבית3/12,1,תקופת_ההלוואה3-ROWS($C$4:U215)+1,הפחתה7[[#This Row],[יתרת פתיחה]]),""),0)</f>
        <v>526.51437021380548</v>
      </c>
      <c r="Y215" s="13">
        <f ca="1">(הפחתה7[[#This Row],[יתרת פתיחה]])*(מדד3/12)</f>
        <v>85.067719221396956</v>
      </c>
      <c r="Z215" s="13">
        <f ca="1">IF(הפחתה7[[#This Row],[תאריך]]="",0,הפחתה7[[#This Row],[ריבית]]+הפחתה7[[#This Row],[קרן]]+הפחתה7[[#This Row],[מדד]])</f>
        <v>708.56386045874012</v>
      </c>
      <c r="AA215" s="13">
        <f ca="1">IF(הפחתה7[[#This Row],[תאריך]]="",0,הפחתה7[[#This Row],[יתרת פתיחה]]-הפחתה7[[#This Row],[קרן]]+הפחתה7[[#This Row],[מדד]])</f>
        <v>50599.184881845758</v>
      </c>
      <c r="AB215" s="11">
        <f ca="1">IF(הפחתה7[[#This Row],[יתרת
סגירה]]&gt;0,LastRow3-ROW(),0)</f>
        <v>88</v>
      </c>
      <c r="AC215" s="17">
        <f>ROWS($AC$4:AC215)</f>
        <v>212</v>
      </c>
      <c r="AD215" s="18" t="str">
        <f ca="1">IF(ValuesEntered4,IF(הפחתה8[[#This Row],[מס'']]&lt;=תקופת_ההלוואה4,IF(ROW()-ROW(הפחתה8[[#Headers],[תאריך]])=1,LoanStart4,IF(AJ214&gt;0,EDATE(AD214,1),"")),""),"")</f>
        <v/>
      </c>
      <c r="AE215" s="19">
        <f ca="1">IF(ROW()-ROW(הפחתה8[[#Headers],[יתרת פתיחה]])=1,סכום_הלוואה4,IF(הפחתה8[[#This Row],[תאריך]]="",0,INDEX(הפחתה8[], ROW()-4,8)))</f>
        <v>0</v>
      </c>
      <c r="AF215" s="19">
        <f ca="1">IF(ValuesEntered4,IF(ROW()-ROW(הפחתה8[[#Headers],[ריבית]])=1,-IPMT(שיעור_ריבית4/12,1,תקופת_ההלוואה4-ROWS($C$4:AD215)+1,הפחתה8[[#This Row],[יתרת פתיחה]]),IFERROR(-IPMT(שיעור_ריבית4/12,1,הפחתה8[[#This Row],[תשלומים
שנותרו]],AE216),0)),0)</f>
        <v>0</v>
      </c>
      <c r="AG215" s="19" t="str">
        <f ca="1">IFERROR(IF(AND(ValuesEntered4,הפחתה8[[#This Row],[תאריך]]&lt;&gt;""),-PPMT(שיעור_ריבית4/12,1,תקופת_ההלוואה4-ROWS($C$4:AD215)+1,הפחתה8[[#This Row],[יתרת פתיחה]]),""),0)</f>
        <v/>
      </c>
      <c r="AH215" s="19">
        <f ca="1">(הפחתה8[[#This Row],[יתרת פתיחה]])*(מדד4/12)</f>
        <v>0</v>
      </c>
      <c r="AI215" s="19">
        <f ca="1">IF(הפחתה8[[#This Row],[תאריך]]="",0,הפחתה8[[#This Row],[ריבית]]+הפחתה8[[#This Row],[קרן]]+הפחתה8[[#This Row],[מדד]])</f>
        <v>0</v>
      </c>
      <c r="AJ215" s="19">
        <f ca="1">IF(הפחתה8[[#This Row],[תאריך]]="",0,הפחתה8[[#This Row],[יתרת פתיחה]]-הפחתה8[[#This Row],[קרן]])</f>
        <v>0</v>
      </c>
      <c r="AK215" s="20">
        <f ca="1">IF(הפחתה8[[#This Row],[יתרת
סגירה]]&gt;0,LastRow4-ROW(),0)</f>
        <v>0</v>
      </c>
    </row>
    <row r="216" spans="1:37" ht="15" customHeight="1" x14ac:dyDescent="0.25">
      <c r="A216" s="8"/>
      <c r="B216" s="11">
        <f>ROWS($B$4:B216)</f>
        <v>213</v>
      </c>
      <c r="C216" s="12">
        <f>IF(ValuesEntered,IF(הפחתה[[#This Row],[מס'']]&lt;=תקופת_ההלוואה,IF(ROW()-ROW(הפחתה[[#Headers],[תאריך]])=1,LoanStart,IF(I215&gt;0,EDATE(C215,1),"")),""),"")</f>
        <v>51836</v>
      </c>
      <c r="D216" s="13">
        <f>IF(ROW()-ROW(הפחתה[[#Headers],[יתרת פתיחה]])=1,סכום_הלוואה,IF(הפחתה[[#This Row],[תאריך]]="",0,INDEX(הפחתה[], ROW()-4,8)))</f>
        <v>361433.46965905873</v>
      </c>
      <c r="E216" s="13">
        <f>IF(ValuesEntered,IF(ROW()-ROW(הפחתה[[#Headers],[ריבית]])=1,-IPMT(שיעור_ריבית/12,1,תקופת_ההלוואה-ROWS($C$4:C216)+1,הפחתה[[#This Row],[יתרת פתיחה]]),IFERROR(-IPMT(שיעור_ריבית/12,1,הפחתה[[#This Row],[תשלומים
שנותרו]],D217),0)),0)</f>
        <v>1588.6660469853102</v>
      </c>
      <c r="F216" s="13">
        <f>IFERROR(IF(AND(ValuesEntered,הפחתה[[#This Row],[תאריך]]&lt;&gt;""),-PPMT(שיעור_ריבית/12,1,תקופת_ההלוואה-ROWS($C$4:C216)+1,הפחתה[[#This Row],[יתרת פתיחה]]),""),0)</f>
        <v>1735.4967567243766</v>
      </c>
      <c r="G216" s="13">
        <f>(הפחתה[[#This Row],[יתרת פתיחה]])*(מדד/12)</f>
        <v>0</v>
      </c>
      <c r="H216" s="13">
        <f>IF(הפחתה[[#This Row],[תאריך]]="",0,הפחתה[[#This Row],[ריבית]]+הפחתה[[#This Row],[קרן]]+הפחתה[[#This Row],[מדד]])</f>
        <v>3324.1628037096871</v>
      </c>
      <c r="I216" s="13">
        <f>IF(הפחתה[[#This Row],[תאריך]]="",0,הפחתה[[#This Row],[יתרת פתיחה]]-הפחתה[[#This Row],[קרן]]+הפחתה[[#This Row],[מדד]])</f>
        <v>359697.97290233435</v>
      </c>
      <c r="J216" s="11">
        <f>IF(הפחתה[[#This Row],[יתרת
סגירה]]&gt;0,LastRow-ROW(),0)</f>
        <v>147</v>
      </c>
      <c r="K216" s="11">
        <f>ROWS($K$4:K216)</f>
        <v>213</v>
      </c>
      <c r="L216" s="12">
        <f>IF(ValuesEntered2,IF(הפחתה5[[#This Row],[מס'']]&lt;=תקופת_ההלוואה2,IF(ROW()-ROW(הפחתה5[[#Headers],[תאריך]])=1,LoanStart2,IF(R215&gt;0,EDATE(L215,1),"")),""),"")</f>
        <v>51836</v>
      </c>
      <c r="M216" s="13">
        <f>IF(ROW()-ROW(הפחתה5[[#Headers],[יתרת פתיחה]])=1,סכום_הלוואה2,IF(הפחתה5[[#This Row],[תאריך]]="",0,INDEX(הפחתה5[], ROW()-4,8)))</f>
        <v>126464.21334826024</v>
      </c>
      <c r="N216" s="13">
        <f>IF(ValuesEntered2,IF(ROW()-ROW(הפחתה5[[#Headers],[ריבית]])=1,-IPMT(שיעור_ריבית2/12,1,תקופת_ההלוואה2-ROWS($L$4:L216)+1,הפחתה5[[#This Row],[יתרת פתיחה]]),IFERROR(-IPMT(שיעור_ריבית2/12,1,הפחתה5[[#This Row],[תשלומים
שנותרו]],M217),0)),0)</f>
        <v>490.59303315292647</v>
      </c>
      <c r="O216" s="13">
        <f>IFERROR(IF(AND(ValuesEntered2,הפחתה5[[#This Row],[תאריך]]&lt;&gt;""),-PPMT(שיעור_ריבית2/12,1,תקופת_ההלוואה2-ROWS($L$4:L216)+1,הפחתה5[[#This Row],[יתרת פתיחה]]),""),0)</f>
        <v>1206.4176496407065</v>
      </c>
      <c r="P216" s="13">
        <f>(הפחתה5[[#This Row],[יתרת פתיחה]])*(מדד2/12)</f>
        <v>0</v>
      </c>
      <c r="Q216" s="13">
        <f>IF(הפחתה5[[#This Row],[תאריך]]="",0,הפחתה5[[#This Row],[ריבית]]+הפחתה5[[#This Row],[קרן]]+הפחתה5[[#This Row],[מדד]])</f>
        <v>1697.0106827936329</v>
      </c>
      <c r="R216" s="13">
        <f>IF(הפחתה5[[#This Row],[תאריך]]="",0,הפחתה5[[#This Row],[יתרת פתיחה]]-הפחתה5[[#This Row],[קרן]]+הפחתה5[[#This Row],[מדד]])</f>
        <v>125257.79569861953</v>
      </c>
      <c r="S216" s="11">
        <f>IF(הפחתה5[[#This Row],[יתרת
סגירה]]&gt;0,LastRow2-ROW(),0)</f>
        <v>87</v>
      </c>
      <c r="T216" s="11">
        <f>ROWS($T$4:T216)</f>
        <v>213</v>
      </c>
      <c r="U216" s="12">
        <f ca="1">IF(ValuesEntered3,IF(הפחתה7[[#This Row],[מס'']]&lt;=תקופת_ההלוואה3,IF(ROW()-ROW(הפחתה7[[#Headers],[תאריך]])=1,LoanStart3,IF(AA215&gt;0,EDATE(U215,1),"")),""),"")</f>
        <v>52072</v>
      </c>
      <c r="V216" s="13">
        <f ca="1">IF(ROW()-ROW(הפחתה7[[#Headers],[יתרת פתיחה]])=1,סכום_הלוואה3,IF(הפחתה7[[#This Row],[תאריך]]="",0,INDEX(הפחתה7[], ROW()-4,8)))</f>
        <v>50599.184881845758</v>
      </c>
      <c r="W216" s="13">
        <f ca="1">IF(ValuesEntered3,IF(ROW()-ROW(הפחתה7[[#Headers],[ריבית]])=1,-IPMT(שיעור_ריבית3/12,1,תקופת_ההלוואה3-ROWS($C$4:U216)+1,הפחתה7[[#This Row],[יתרת פתיחה]]),IFERROR(-IPMT(שיעור_ריבית3/12,1,הפחתה7[[#This Row],[תשלומים
שנותרו]],V217),0)),0)</f>
        <v>96.130617847586876</v>
      </c>
      <c r="X216" s="13">
        <f ca="1">IFERROR(IF(AND(ValuesEntered3,הפחתה7[[#This Row],[תאריך]]&lt;&gt;""),-PPMT(שיעור_ריבית3/12,1,תקופת_ההלוואה3-ROWS($C$4:U216)+1,הפחתה7[[#This Row],[יתרת פתיחה]]),""),0)</f>
        <v>528.41189269045231</v>
      </c>
      <c r="Y216" s="13">
        <f ca="1">(הפחתה7[[#This Row],[יתרת פתיחה]])*(מדד3/12)</f>
        <v>84.331974803076264</v>
      </c>
      <c r="Z216" s="13">
        <f ca="1">IF(הפחתה7[[#This Row],[תאריך]]="",0,הפחתה7[[#This Row],[ריבית]]+הפחתה7[[#This Row],[קרן]]+הפחתה7[[#This Row],[מדד]])</f>
        <v>708.87448534111547</v>
      </c>
      <c r="AA216" s="13">
        <f ca="1">IF(הפחתה7[[#This Row],[תאריך]]="",0,הפחתה7[[#This Row],[יתרת פתיחה]]-הפחתה7[[#This Row],[קרן]]+הפחתה7[[#This Row],[מדד]])</f>
        <v>50155.10496395838</v>
      </c>
      <c r="AB216" s="11">
        <f ca="1">IF(הפחתה7[[#This Row],[יתרת
סגירה]]&gt;0,LastRow3-ROW(),0)</f>
        <v>87</v>
      </c>
      <c r="AC216" s="17">
        <f>ROWS($AC$4:AC216)</f>
        <v>213</v>
      </c>
      <c r="AD216" s="18" t="str">
        <f ca="1">IF(ValuesEntered4,IF(הפחתה8[[#This Row],[מס'']]&lt;=תקופת_ההלוואה4,IF(ROW()-ROW(הפחתה8[[#Headers],[תאריך]])=1,LoanStart4,IF(AJ215&gt;0,EDATE(AD215,1),"")),""),"")</f>
        <v/>
      </c>
      <c r="AE216" s="19">
        <f ca="1">IF(ROW()-ROW(הפחתה8[[#Headers],[יתרת פתיחה]])=1,סכום_הלוואה4,IF(הפחתה8[[#This Row],[תאריך]]="",0,INDEX(הפחתה8[], ROW()-4,8)))</f>
        <v>0</v>
      </c>
      <c r="AF216" s="19">
        <f ca="1">IF(ValuesEntered4,IF(ROW()-ROW(הפחתה8[[#Headers],[ריבית]])=1,-IPMT(שיעור_ריבית4/12,1,תקופת_ההלוואה4-ROWS($C$4:AD216)+1,הפחתה8[[#This Row],[יתרת פתיחה]]),IFERROR(-IPMT(שיעור_ריבית4/12,1,הפחתה8[[#This Row],[תשלומים
שנותרו]],AE217),0)),0)</f>
        <v>0</v>
      </c>
      <c r="AG216" s="19" t="str">
        <f ca="1">IFERROR(IF(AND(ValuesEntered4,הפחתה8[[#This Row],[תאריך]]&lt;&gt;""),-PPMT(שיעור_ריבית4/12,1,תקופת_ההלוואה4-ROWS($C$4:AD216)+1,הפחתה8[[#This Row],[יתרת פתיחה]]),""),0)</f>
        <v/>
      </c>
      <c r="AH216" s="19">
        <f ca="1">(הפחתה8[[#This Row],[יתרת פתיחה]])*(מדד4/12)</f>
        <v>0</v>
      </c>
      <c r="AI216" s="19">
        <f ca="1">IF(הפחתה8[[#This Row],[תאריך]]="",0,הפחתה8[[#This Row],[ריבית]]+הפחתה8[[#This Row],[קרן]]+הפחתה8[[#This Row],[מדד]])</f>
        <v>0</v>
      </c>
      <c r="AJ216" s="19">
        <f ca="1">IF(הפחתה8[[#This Row],[תאריך]]="",0,הפחתה8[[#This Row],[יתרת פתיחה]]-הפחתה8[[#This Row],[קרן]])</f>
        <v>0</v>
      </c>
      <c r="AK216" s="20">
        <f ca="1">IF(הפחתה8[[#This Row],[יתרת
סגירה]]&gt;0,LastRow4-ROW(),0)</f>
        <v>0</v>
      </c>
    </row>
    <row r="217" spans="1:37" ht="15" customHeight="1" x14ac:dyDescent="0.25">
      <c r="A217" s="8"/>
      <c r="B217" s="11">
        <f>ROWS($B$4:B217)</f>
        <v>214</v>
      </c>
      <c r="C217" s="12">
        <f>IF(ValuesEntered,IF(הפחתה[[#This Row],[מס'']]&lt;=תקופת_ההלוואה,IF(ROW()-ROW(הפחתה[[#Headers],[תאריך]])=1,LoanStart,IF(I216&gt;0,EDATE(C216,1),"")),""),"")</f>
        <v>51867</v>
      </c>
      <c r="D217" s="13">
        <f>IF(ROW()-ROW(הפחתה[[#Headers],[יתרת פתיחה]])=1,סכום_הלוואה,IF(הפחתה[[#This Row],[תאריך]]="",0,INDEX(הפחתה[], ROW()-4,8)))</f>
        <v>359697.97290233435</v>
      </c>
      <c r="E217" s="13">
        <f>IF(ValuesEntered,IF(ROW()-ROW(הפחתה[[#Headers],[ריבית]])=1,-IPMT(שיעור_ריבית/12,1,תקופת_ההלוואה-ROWS($C$4:C217)+1,הפחתה[[#This Row],[יתרת פתיחה]]),IFERROR(-IPMT(שיעור_ריבית/12,1,הפחתה[[#This Row],[תשלומים
שנותרו]],D218),0)),0)</f>
        <v>1580.9670820709605</v>
      </c>
      <c r="F217" s="13">
        <f>IFERROR(IF(AND(ValuesEntered,הפחתה[[#This Row],[תאריך]]&lt;&gt;""),-PPMT(שיעור_ריבית/12,1,תקופת_ההלוואה-ROWS($C$4:C217)+1,הפחתה[[#This Row],[יתרת פתיחה]]),""),0)</f>
        <v>1743.1618673999094</v>
      </c>
      <c r="G217" s="13">
        <f>(הפחתה[[#This Row],[יתרת פתיחה]])*(מדד/12)</f>
        <v>0</v>
      </c>
      <c r="H217" s="13">
        <f>IF(הפחתה[[#This Row],[תאריך]]="",0,הפחתה[[#This Row],[ריבית]]+הפחתה[[#This Row],[קרן]]+הפחתה[[#This Row],[מדד]])</f>
        <v>3324.1289494708699</v>
      </c>
      <c r="I217" s="13">
        <f>IF(הפחתה[[#This Row],[תאריך]]="",0,הפחתה[[#This Row],[יתרת פתיחה]]-הפחתה[[#This Row],[קרן]]+הפחתה[[#This Row],[מדד]])</f>
        <v>357954.81103493442</v>
      </c>
      <c r="J217" s="11">
        <f>IF(הפחתה[[#This Row],[יתרת
סגירה]]&gt;0,LastRow-ROW(),0)</f>
        <v>146</v>
      </c>
      <c r="K217" s="11">
        <f>ROWS($K$4:K217)</f>
        <v>214</v>
      </c>
      <c r="L217" s="12">
        <f>IF(ValuesEntered2,IF(הפחתה5[[#This Row],[מס'']]&lt;=תקופת_ההלוואה2,IF(ROW()-ROW(הפחתה5[[#Headers],[תאריך]])=1,LoanStart2,IF(R216&gt;0,EDATE(L216,1),"")),""),"")</f>
        <v>51867</v>
      </c>
      <c r="M217" s="13">
        <f>IF(ROW()-ROW(הפחתה5[[#Headers],[יתרת פתיחה]])=1,סכום_הלוואה2,IF(הפחתה5[[#This Row],[תאריך]]="",0,INDEX(הפחתה5[], ROW()-4,8)))</f>
        <v>125257.79569861953</v>
      </c>
      <c r="N217" s="13">
        <f>IF(ValuesEntered2,IF(ROW()-ROW(הפחתה5[[#Headers],[ריבית]])=1,-IPMT(שיעור_ריבית2/12,1,תקופת_ההלוואה2-ROWS($L$4:L217)+1,הפחתה5[[#This Row],[יתרת פתיחה]]),IFERROR(-IPMT(שיעור_ריבית2/12,1,הפחתה5[[#This Row],[תשלומים
שנותרו]],M218),0)),0)</f>
        <v>485.84939057663888</v>
      </c>
      <c r="O217" s="13">
        <f>IFERROR(IF(AND(ValuesEntered2,הפחתה5[[#This Row],[תאריך]]&lt;&gt;""),-PPMT(שיעור_ריבית2/12,1,תקופת_ההלוואה2-ROWS($L$4:L217)+1,הפחתה5[[#This Row],[יתרת פתיחה]]),""),0)</f>
        <v>1211.1427854351325</v>
      </c>
      <c r="P217" s="13">
        <f>(הפחתה5[[#This Row],[יתרת פתיחה]])*(מדד2/12)</f>
        <v>0</v>
      </c>
      <c r="Q217" s="13">
        <f>IF(הפחתה5[[#This Row],[תאריך]]="",0,הפחתה5[[#This Row],[ריבית]]+הפחתה5[[#This Row],[קרן]]+הפחתה5[[#This Row],[מדד]])</f>
        <v>1696.9921760117713</v>
      </c>
      <c r="R217" s="13">
        <f>IF(הפחתה5[[#This Row],[תאריך]]="",0,הפחתה5[[#This Row],[יתרת פתיחה]]-הפחתה5[[#This Row],[קרן]]+הפחתה5[[#This Row],[מדד]])</f>
        <v>124046.6529131844</v>
      </c>
      <c r="S217" s="11">
        <f>IF(הפחתה5[[#This Row],[יתרת
סגירה]]&gt;0,LastRow2-ROW(),0)</f>
        <v>86</v>
      </c>
      <c r="T217" s="11">
        <f>ROWS($T$4:T217)</f>
        <v>214</v>
      </c>
      <c r="U217" s="12">
        <f ca="1">IF(ValuesEntered3,IF(הפחתה7[[#This Row],[מס'']]&lt;=תקופת_ההלוואה3,IF(ROW()-ROW(הפחתה7[[#Headers],[תאריך]])=1,LoanStart3,IF(AA216&gt;0,EDATE(U216,1),"")),""),"")</f>
        <v>52103</v>
      </c>
      <c r="V217" s="13">
        <f ca="1">IF(ROW()-ROW(הפחתה7[[#Headers],[יתרת פתיחה]])=1,סכום_הלוואה3,IF(הפחתה7[[#This Row],[תאריך]]="",0,INDEX(הפחתה7[], ROW()-4,8)))</f>
        <v>50155.10496395838</v>
      </c>
      <c r="W217" s="13">
        <f ca="1">IF(ValuesEntered3,IF(ROW()-ROW(הפחתה7[[#Headers],[ריבית]])=1,-IPMT(שיעור_ריבית3/12,1,תקופת_ההלוואה3-ROWS($C$4:U217)+1,הפחתה7[[#This Row],[יתרת פתיחה]]),IFERROR(-IPMT(שיעור_ריבית3/12,1,הפחתה7[[#This Row],[תשלומים
שנותרו]],V218),0)),0)</f>
        <v>95.274395837546365</v>
      </c>
      <c r="X217" s="13">
        <f ca="1">IFERROR(IF(AND(ValuesEntered3,הפחתה7[[#This Row],[תאריך]]&lt;&gt;""),-PPMT(שיעור_ריבית3/12,1,תקופת_ההלוואה3-ROWS($C$4:U217)+1,הפחתה7[[#This Row],[יתרת פתיחה]]),""),0)</f>
        <v>530.31636858426396</v>
      </c>
      <c r="Y217" s="13">
        <f ca="1">(הפחתה7[[#This Row],[יתרת פתיחה]])*(מדד3/12)</f>
        <v>83.591841606597299</v>
      </c>
      <c r="Z217" s="13">
        <f ca="1">IF(הפחתה7[[#This Row],[תאריך]]="",0,הפחתה7[[#This Row],[ריבית]]+הפחתה7[[#This Row],[קרן]]+הפחתה7[[#This Row],[מדד]])</f>
        <v>709.18260602840758</v>
      </c>
      <c r="AA217" s="13">
        <f ca="1">IF(הפחתה7[[#This Row],[תאריך]]="",0,הפחתה7[[#This Row],[יתרת פתיחה]]-הפחתה7[[#This Row],[קרן]]+הפחתה7[[#This Row],[מדד]])</f>
        <v>49708.380436980711</v>
      </c>
      <c r="AB217" s="11">
        <f ca="1">IF(הפחתה7[[#This Row],[יתרת
סגירה]]&gt;0,LastRow3-ROW(),0)</f>
        <v>86</v>
      </c>
      <c r="AC217" s="17">
        <f>ROWS($AC$4:AC217)</f>
        <v>214</v>
      </c>
      <c r="AD217" s="18" t="str">
        <f ca="1">IF(ValuesEntered4,IF(הפחתה8[[#This Row],[מס'']]&lt;=תקופת_ההלוואה4,IF(ROW()-ROW(הפחתה8[[#Headers],[תאריך]])=1,LoanStart4,IF(AJ216&gt;0,EDATE(AD216,1),"")),""),"")</f>
        <v/>
      </c>
      <c r="AE217" s="19">
        <f ca="1">IF(ROW()-ROW(הפחתה8[[#Headers],[יתרת פתיחה]])=1,סכום_הלוואה4,IF(הפחתה8[[#This Row],[תאריך]]="",0,INDEX(הפחתה8[], ROW()-4,8)))</f>
        <v>0</v>
      </c>
      <c r="AF217" s="19">
        <f ca="1">IF(ValuesEntered4,IF(ROW()-ROW(הפחתה8[[#Headers],[ריבית]])=1,-IPMT(שיעור_ריבית4/12,1,תקופת_ההלוואה4-ROWS($C$4:AD217)+1,הפחתה8[[#This Row],[יתרת פתיחה]]),IFERROR(-IPMT(שיעור_ריבית4/12,1,הפחתה8[[#This Row],[תשלומים
שנותרו]],AE218),0)),0)</f>
        <v>0</v>
      </c>
      <c r="AG217" s="19" t="str">
        <f ca="1">IFERROR(IF(AND(ValuesEntered4,הפחתה8[[#This Row],[תאריך]]&lt;&gt;""),-PPMT(שיעור_ריבית4/12,1,תקופת_ההלוואה4-ROWS($C$4:AD217)+1,הפחתה8[[#This Row],[יתרת פתיחה]]),""),0)</f>
        <v/>
      </c>
      <c r="AH217" s="19">
        <f ca="1">(הפחתה8[[#This Row],[יתרת פתיחה]])*(מדד4/12)</f>
        <v>0</v>
      </c>
      <c r="AI217" s="19">
        <f ca="1">IF(הפחתה8[[#This Row],[תאריך]]="",0,הפחתה8[[#This Row],[ריבית]]+הפחתה8[[#This Row],[קרן]]+הפחתה8[[#This Row],[מדד]])</f>
        <v>0</v>
      </c>
      <c r="AJ217" s="19">
        <f ca="1">IF(הפחתה8[[#This Row],[תאריך]]="",0,הפחתה8[[#This Row],[יתרת פתיחה]]-הפחתה8[[#This Row],[קרן]])</f>
        <v>0</v>
      </c>
      <c r="AK217" s="20">
        <f ca="1">IF(הפחתה8[[#This Row],[יתרת
סגירה]]&gt;0,LastRow4-ROW(),0)</f>
        <v>0</v>
      </c>
    </row>
    <row r="218" spans="1:37" ht="15" customHeight="1" x14ac:dyDescent="0.25">
      <c r="A218" s="8"/>
      <c r="B218" s="11">
        <f>ROWS($B$4:B218)</f>
        <v>215</v>
      </c>
      <c r="C218" s="12">
        <f>IF(ValuesEntered,IF(הפחתה[[#This Row],[מס'']]&lt;=תקופת_ההלוואה,IF(ROW()-ROW(הפחתה[[#Headers],[תאריך]])=1,LoanStart,IF(I217&gt;0,EDATE(C217,1),"")),""),"")</f>
        <v>51898</v>
      </c>
      <c r="D218" s="13">
        <f>IF(ROW()-ROW(הפחתה[[#Headers],[יתרת פתיחה]])=1,סכום_הלוואה,IF(הפחתה[[#This Row],[תאריך]]="",0,INDEX(הפחתה[], ROW()-4,8)))</f>
        <v>357954.81103493442</v>
      </c>
      <c r="E218" s="13">
        <f>IF(ValuesEntered,IF(ROW()-ROW(הפחתה[[#Headers],[ריבית]])=1,-IPMT(שיעור_ריבית/12,1,תקופת_ההלוואה-ROWS($C$4:C218)+1,הפחתה[[#This Row],[יתרת פתיחה]]),IFERROR(-IPMT(שיעור_ריבית/12,1,הפחתה[[#This Row],[תשלומים
שנותרו]],D219),0)),0)</f>
        <v>1573.2341133949058</v>
      </c>
      <c r="F218" s="13">
        <f>IFERROR(IF(AND(ValuesEntered,הפחתה[[#This Row],[תאריך]]&lt;&gt;""),-PPMT(שיעור_ריבית/12,1,תקופת_ההלוואה-ROWS($C$4:C218)+1,הפחתה[[#This Row],[יתרת פתיחה]]),""),0)</f>
        <v>1750.8608323142587</v>
      </c>
      <c r="G218" s="13">
        <f>(הפחתה[[#This Row],[יתרת פתיחה]])*(מדד/12)</f>
        <v>0</v>
      </c>
      <c r="H218" s="13">
        <f>IF(הפחתה[[#This Row],[תאריך]]="",0,הפחתה[[#This Row],[ריבית]]+הפחתה[[#This Row],[קרן]]+הפחתה[[#This Row],[מדד]])</f>
        <v>3324.0949457091647</v>
      </c>
      <c r="I218" s="13">
        <f>IF(הפחתה[[#This Row],[תאריך]]="",0,הפחתה[[#This Row],[יתרת פתיחה]]-הפחתה[[#This Row],[קרן]]+הפחתה[[#This Row],[מדד]])</f>
        <v>356203.95020262018</v>
      </c>
      <c r="J218" s="11">
        <f>IF(הפחתה[[#This Row],[יתרת
סגירה]]&gt;0,LastRow-ROW(),0)</f>
        <v>145</v>
      </c>
      <c r="K218" s="11">
        <f>ROWS($K$4:K218)</f>
        <v>215</v>
      </c>
      <c r="L218" s="12">
        <f>IF(ValuesEntered2,IF(הפחתה5[[#This Row],[מס'']]&lt;=תקופת_ההלוואה2,IF(ROW()-ROW(הפחתה5[[#Headers],[תאריך]])=1,LoanStart2,IF(R217&gt;0,EDATE(L217,1),"")),""),"")</f>
        <v>51898</v>
      </c>
      <c r="M218" s="13">
        <f>IF(ROW()-ROW(הפחתה5[[#Headers],[יתרת פתיחה]])=1,סכום_הלוואה2,IF(הפחתה5[[#This Row],[תאריך]]="",0,INDEX(הפחתה5[], ROW()-4,8)))</f>
        <v>124046.6529131844</v>
      </c>
      <c r="N218" s="13">
        <f>IF(ValuesEntered2,IF(ROW()-ROW(הפחתה5[[#Headers],[ריבית]])=1,-IPMT(שיעור_ריבית2/12,1,תקופת_ההלוואה2-ROWS($L$4:L218)+1,הפחתה5[[#This Row],[יתרת פתיחה]]),IFERROR(-IPMT(שיעור_ריבית2/12,1,הפחתה5[[#This Row],[תשלומים
שנותרו]],M219),0)),0)</f>
        <v>481.08716873359413</v>
      </c>
      <c r="O218" s="13">
        <f>IFERROR(IF(AND(ValuesEntered2,הפחתה5[[#This Row],[תאריך]]&lt;&gt;""),-PPMT(שיעור_ריבית2/12,1,תקופת_ההלוואה2-ROWS($L$4:L218)+1,הפחתה5[[#This Row],[יתרת פתיחה]]),""),0)</f>
        <v>1215.8864280114201</v>
      </c>
      <c r="P218" s="13">
        <f>(הפחתה5[[#This Row],[יתרת פתיחה]])*(מדד2/12)</f>
        <v>0</v>
      </c>
      <c r="Q218" s="13">
        <f>IF(הפחתה5[[#This Row],[תאריך]]="",0,הפחתה5[[#This Row],[ריבית]]+הפחתה5[[#This Row],[קרן]]+הפחתה5[[#This Row],[מדד]])</f>
        <v>1696.9735967450142</v>
      </c>
      <c r="R218" s="13">
        <f>IF(הפחתה5[[#This Row],[תאריך]]="",0,הפחתה5[[#This Row],[יתרת פתיחה]]-הפחתה5[[#This Row],[קרן]]+הפחתה5[[#This Row],[מדד]])</f>
        <v>122830.76648517298</v>
      </c>
      <c r="S218" s="11">
        <f>IF(הפחתה5[[#This Row],[יתרת
סגירה]]&gt;0,LastRow2-ROW(),0)</f>
        <v>85</v>
      </c>
      <c r="T218" s="11">
        <f>ROWS($T$4:T218)</f>
        <v>215</v>
      </c>
      <c r="U218" s="12">
        <f ca="1">IF(ValuesEntered3,IF(הפחתה7[[#This Row],[מס'']]&lt;=תקופת_ההלוואה3,IF(ROW()-ROW(הפחתה7[[#Headers],[תאריך]])=1,LoanStart3,IF(AA217&gt;0,EDATE(U217,1),"")),""),"")</f>
        <v>52134</v>
      </c>
      <c r="V218" s="13">
        <f ca="1">IF(ROW()-ROW(הפחתה7[[#Headers],[יתרת פתיחה]])=1,סכום_הלוואה3,IF(הפחתה7[[#This Row],[תאריך]]="",0,INDEX(הפחתה7[], ROW()-4,8)))</f>
        <v>49708.380436980711</v>
      </c>
      <c r="W218" s="13">
        <f ca="1">IF(ValuesEntered3,IF(ROW()-ROW(הפחתה7[[#Headers],[ריבית]])=1,-IPMT(שיעור_ריבית3/12,1,תקופת_ההלוואה3-ROWS($C$4:U218)+1,הפחתה7[[#This Row],[יתרת פתיחה]]),IFERROR(-IPMT(שיעור_ריבית3/12,1,הפחתה7[[#This Row],[תשלומים
שנותרו]],V219),0)),0)</f>
        <v>94.413083163207517</v>
      </c>
      <c r="X218" s="13">
        <f ca="1">IFERROR(IF(AND(ValuesEntered3,הפחתה7[[#This Row],[תאריך]]&lt;&gt;""),-PPMT(שיעור_ריבית3/12,1,תקופת_ההלוואה3-ROWS($C$4:U218)+1,הפחתה7[[#This Row],[יתרת פתיחה]]),""),0)</f>
        <v>532.22782647030431</v>
      </c>
      <c r="Y218" s="13">
        <f ca="1">(הפחתה7[[#This Row],[יתרת פתיחה]])*(מדד3/12)</f>
        <v>82.847300728301192</v>
      </c>
      <c r="Z218" s="13">
        <f ca="1">IF(הפחתה7[[#This Row],[תאריך]]="",0,הפחתה7[[#This Row],[ריבית]]+הפחתה7[[#This Row],[קרן]]+הפחתה7[[#This Row],[מדד]])</f>
        <v>709.488210361813</v>
      </c>
      <c r="AA218" s="13">
        <f ca="1">IF(הפחתה7[[#This Row],[תאריך]]="",0,הפחתה7[[#This Row],[יתרת פתיחה]]-הפחתה7[[#This Row],[קרן]]+הפחתה7[[#This Row],[מדד]])</f>
        <v>49258.999911238709</v>
      </c>
      <c r="AB218" s="11">
        <f ca="1">IF(הפחתה7[[#This Row],[יתרת
סגירה]]&gt;0,LastRow3-ROW(),0)</f>
        <v>85</v>
      </c>
      <c r="AC218" s="17">
        <f>ROWS($AC$4:AC218)</f>
        <v>215</v>
      </c>
      <c r="AD218" s="18" t="str">
        <f ca="1">IF(ValuesEntered4,IF(הפחתה8[[#This Row],[מס'']]&lt;=תקופת_ההלוואה4,IF(ROW()-ROW(הפחתה8[[#Headers],[תאריך]])=1,LoanStart4,IF(AJ217&gt;0,EDATE(AD217,1),"")),""),"")</f>
        <v/>
      </c>
      <c r="AE218" s="19">
        <f ca="1">IF(ROW()-ROW(הפחתה8[[#Headers],[יתרת פתיחה]])=1,סכום_הלוואה4,IF(הפחתה8[[#This Row],[תאריך]]="",0,INDEX(הפחתה8[], ROW()-4,8)))</f>
        <v>0</v>
      </c>
      <c r="AF218" s="19">
        <f ca="1">IF(ValuesEntered4,IF(ROW()-ROW(הפחתה8[[#Headers],[ריבית]])=1,-IPMT(שיעור_ריבית4/12,1,תקופת_ההלוואה4-ROWS($C$4:AD218)+1,הפחתה8[[#This Row],[יתרת פתיחה]]),IFERROR(-IPMT(שיעור_ריבית4/12,1,הפחתה8[[#This Row],[תשלומים
שנותרו]],AE219),0)),0)</f>
        <v>0</v>
      </c>
      <c r="AG218" s="19" t="str">
        <f ca="1">IFERROR(IF(AND(ValuesEntered4,הפחתה8[[#This Row],[תאריך]]&lt;&gt;""),-PPMT(שיעור_ריבית4/12,1,תקופת_ההלוואה4-ROWS($C$4:AD218)+1,הפחתה8[[#This Row],[יתרת פתיחה]]),""),0)</f>
        <v/>
      </c>
      <c r="AH218" s="19">
        <f ca="1">(הפחתה8[[#This Row],[יתרת פתיחה]])*(מדד4/12)</f>
        <v>0</v>
      </c>
      <c r="AI218" s="19">
        <f ca="1">IF(הפחתה8[[#This Row],[תאריך]]="",0,הפחתה8[[#This Row],[ריבית]]+הפחתה8[[#This Row],[קרן]]+הפחתה8[[#This Row],[מדד]])</f>
        <v>0</v>
      </c>
      <c r="AJ218" s="19">
        <f ca="1">IF(הפחתה8[[#This Row],[תאריך]]="",0,הפחתה8[[#This Row],[יתרת פתיחה]]-הפחתה8[[#This Row],[קרן]])</f>
        <v>0</v>
      </c>
      <c r="AK218" s="20">
        <f ca="1">IF(הפחתה8[[#This Row],[יתרת
סגירה]]&gt;0,LastRow4-ROW(),0)</f>
        <v>0</v>
      </c>
    </row>
    <row r="219" spans="1:37" ht="15" customHeight="1" x14ac:dyDescent="0.25">
      <c r="A219" s="8"/>
      <c r="B219" s="11">
        <f>ROWS($B$4:B219)</f>
        <v>216</v>
      </c>
      <c r="C219" s="12">
        <f>IF(ValuesEntered,IF(הפחתה[[#This Row],[מס'']]&lt;=תקופת_ההלוואה,IF(ROW()-ROW(הפחתה[[#Headers],[תאריך]])=1,LoanStart,IF(I218&gt;0,EDATE(C218,1),"")),""),"")</f>
        <v>51926</v>
      </c>
      <c r="D219" s="13">
        <f>IF(ROW()-ROW(הפחתה[[#Headers],[יתרת פתיחה]])=1,סכום_הלוואה,IF(הפחתה[[#This Row],[תאריך]]="",0,INDEX(הפחתה[], ROW()-4,8)))</f>
        <v>356203.95020262018</v>
      </c>
      <c r="E219" s="13">
        <f>IF(ValuesEntered,IF(ROW()-ROW(הפחתה[[#Headers],[ריבית]])=1,-IPMT(שיעור_ריבית/12,1,תקופת_ההלוואה-ROWS($C$4:C219)+1,הפחתה[[#This Row],[יתרת פתיחה]]),IFERROR(-IPMT(שיעור_ריבית/12,1,הפחתה[[#This Row],[תשלומים
שנותרו]],D220),0)),0)</f>
        <v>1565.4669907738653</v>
      </c>
      <c r="F219" s="13">
        <f>IFERROR(IF(AND(ValuesEntered,הפחתה[[#This Row],[תאריך]]&lt;&gt;""),-PPMT(שיעור_ריבית/12,1,תקופת_ההלוואה-ROWS($C$4:C219)+1,הפחתה[[#This Row],[יתרת פתיחה]]),""),0)</f>
        <v>1758.5938009903134</v>
      </c>
      <c r="G219" s="13">
        <f>(הפחתה[[#This Row],[יתרת פתיחה]])*(מדד/12)</f>
        <v>0</v>
      </c>
      <c r="H219" s="13">
        <f>IF(הפחתה[[#This Row],[תאריך]]="",0,הפחתה[[#This Row],[ריבית]]+הפחתה[[#This Row],[קרן]]+הפחתה[[#This Row],[מדד]])</f>
        <v>3324.0607917641787</v>
      </c>
      <c r="I219" s="13">
        <f>IF(הפחתה[[#This Row],[תאריך]]="",0,הפחתה[[#This Row],[יתרת פתיחה]]-הפחתה[[#This Row],[קרן]]+הפחתה[[#This Row],[מדד]])</f>
        <v>354445.35640162986</v>
      </c>
      <c r="J219" s="11">
        <f>IF(הפחתה[[#This Row],[יתרת
סגירה]]&gt;0,LastRow-ROW(),0)</f>
        <v>144</v>
      </c>
      <c r="K219" s="11">
        <f>ROWS($K$4:K219)</f>
        <v>216</v>
      </c>
      <c r="L219" s="12">
        <f>IF(ValuesEntered2,IF(הפחתה5[[#This Row],[מס'']]&lt;=תקופת_ההלוואה2,IF(ROW()-ROW(הפחתה5[[#Headers],[תאריך]])=1,LoanStart2,IF(R218&gt;0,EDATE(L218,1),"")),""),"")</f>
        <v>51926</v>
      </c>
      <c r="M219" s="13">
        <f>IF(ROW()-ROW(הפחתה5[[#Headers],[יתרת פתיחה]])=1,סכום_הלוואה2,IF(הפחתה5[[#This Row],[תאריך]]="",0,INDEX(הפחתה5[], ROW()-4,8)))</f>
        <v>122830.76648517298</v>
      </c>
      <c r="N219" s="13">
        <f>IF(ValuesEntered2,IF(ROW()-ROW(הפחתה5[[#Headers],[ריבית]])=1,-IPMT(שיעור_ריבית2/12,1,תקופת_ההלוואה2-ROWS($L$4:L219)+1,הפחתה5[[#This Row],[יתרת פתיחה]]),IFERROR(-IPMT(שיעור_ריבית2/12,1,הפחתה5[[#This Row],[תשלומים
שנותרו]],M220),0)),0)</f>
        <v>476.30629485499742</v>
      </c>
      <c r="O219" s="13">
        <f>IFERROR(IF(AND(ValuesEntered2,הפחתה5[[#This Row],[תאריך]]&lt;&gt;""),-PPMT(שיעור_ריבית2/12,1,תקופת_ההלוואה2-ROWS($L$4:L219)+1,הפחתה5[[#This Row],[יתרת פתיחה]]),""),0)</f>
        <v>1220.6486498544648</v>
      </c>
      <c r="P219" s="13">
        <f>(הפחתה5[[#This Row],[יתרת פתיחה]])*(מדד2/12)</f>
        <v>0</v>
      </c>
      <c r="Q219" s="13">
        <f>IF(הפחתה5[[#This Row],[תאריך]]="",0,הפחתה5[[#This Row],[ריבית]]+הפחתה5[[#This Row],[קרן]]+הפחתה5[[#This Row],[מדד]])</f>
        <v>1696.9549447094623</v>
      </c>
      <c r="R219" s="13">
        <f>IF(הפחתה5[[#This Row],[תאריך]]="",0,הפחתה5[[#This Row],[יתרת פתיחה]]-הפחתה5[[#This Row],[קרן]]+הפחתה5[[#This Row],[מדד]])</f>
        <v>121610.11783531851</v>
      </c>
      <c r="S219" s="11">
        <f>IF(הפחתה5[[#This Row],[יתרת
סגירה]]&gt;0,LastRow2-ROW(),0)</f>
        <v>84</v>
      </c>
      <c r="T219" s="11">
        <f>ROWS($T$4:T219)</f>
        <v>216</v>
      </c>
      <c r="U219" s="12">
        <f ca="1">IF(ValuesEntered3,IF(הפחתה7[[#This Row],[מס'']]&lt;=תקופת_ההלוואה3,IF(ROW()-ROW(הפחתה7[[#Headers],[תאריך]])=1,LoanStart3,IF(AA218&gt;0,EDATE(U218,1),"")),""),"")</f>
        <v>52164</v>
      </c>
      <c r="V219" s="13">
        <f ca="1">IF(ROW()-ROW(הפחתה7[[#Headers],[יתרת פתיחה]])=1,סכום_הלוואה3,IF(הפחתה7[[#This Row],[תאריך]]="",0,INDEX(הפחתה7[], ROW()-4,8)))</f>
        <v>49258.999911238709</v>
      </c>
      <c r="W219" s="13">
        <f ca="1">IF(ValuesEntered3,IF(ROW()-ROW(הפחתה7[[#Headers],[ריבית]])=1,-IPMT(שיעור_ריבית3/12,1,תקופת_ההלוואה3-ROWS($C$4:U219)+1,הפחתה7[[#This Row],[יתרת פתיחה]]),IFERROR(-IPMT(שיעור_ריבית3/12,1,הפחתה7[[#This Row],[תשלומים
שנותרו]],V220),0)),0)</f>
        <v>93.546657902764977</v>
      </c>
      <c r="X219" s="13">
        <f ca="1">IFERROR(IF(AND(ValuesEntered3,הפחתה7[[#This Row],[תאריך]]&lt;&gt;""),-PPMT(שיעור_ריבית3/12,1,תקופת_ההלוואה3-ROWS($C$4:U219)+1,הפחתה7[[#This Row],[יתרת פתיחה]]),""),0)</f>
        <v>534.14629515542265</v>
      </c>
      <c r="Y219" s="13">
        <f ca="1">(הפחתה7[[#This Row],[יתרת פתיחה]])*(מדד3/12)</f>
        <v>82.098333185397848</v>
      </c>
      <c r="Z219" s="13">
        <f ca="1">IF(הפחתה7[[#This Row],[תאריך]]="",0,הפחתה7[[#This Row],[ריבית]]+הפחתה7[[#This Row],[קרן]]+הפחתה7[[#This Row],[מדד]])</f>
        <v>709.79128624358555</v>
      </c>
      <c r="AA219" s="13">
        <f ca="1">IF(הפחתה7[[#This Row],[תאריך]]="",0,הפחתה7[[#This Row],[יתרת פתיחה]]-הפחתה7[[#This Row],[קרן]]+הפחתה7[[#This Row],[מדד]])</f>
        <v>48806.951949268689</v>
      </c>
      <c r="AB219" s="11">
        <f ca="1">IF(הפחתה7[[#This Row],[יתרת
סגירה]]&gt;0,LastRow3-ROW(),0)</f>
        <v>84</v>
      </c>
      <c r="AC219" s="17">
        <f>ROWS($AC$4:AC219)</f>
        <v>216</v>
      </c>
      <c r="AD219" s="18" t="str">
        <f ca="1">IF(ValuesEntered4,IF(הפחתה8[[#This Row],[מס'']]&lt;=תקופת_ההלוואה4,IF(ROW()-ROW(הפחתה8[[#Headers],[תאריך]])=1,LoanStart4,IF(AJ218&gt;0,EDATE(AD218,1),"")),""),"")</f>
        <v/>
      </c>
      <c r="AE219" s="19">
        <f ca="1">IF(ROW()-ROW(הפחתה8[[#Headers],[יתרת פתיחה]])=1,סכום_הלוואה4,IF(הפחתה8[[#This Row],[תאריך]]="",0,INDEX(הפחתה8[], ROW()-4,8)))</f>
        <v>0</v>
      </c>
      <c r="AF219" s="19">
        <f ca="1">IF(ValuesEntered4,IF(ROW()-ROW(הפחתה8[[#Headers],[ריבית]])=1,-IPMT(שיעור_ריבית4/12,1,תקופת_ההלוואה4-ROWS($C$4:AD219)+1,הפחתה8[[#This Row],[יתרת פתיחה]]),IFERROR(-IPMT(שיעור_ריבית4/12,1,הפחתה8[[#This Row],[תשלומים
שנותרו]],AE220),0)),0)</f>
        <v>0</v>
      </c>
      <c r="AG219" s="19" t="str">
        <f ca="1">IFERROR(IF(AND(ValuesEntered4,הפחתה8[[#This Row],[תאריך]]&lt;&gt;""),-PPMT(שיעור_ריבית4/12,1,תקופת_ההלוואה4-ROWS($C$4:AD219)+1,הפחתה8[[#This Row],[יתרת פתיחה]]),""),0)</f>
        <v/>
      </c>
      <c r="AH219" s="19">
        <f ca="1">(הפחתה8[[#This Row],[יתרת פתיחה]])*(מדד4/12)</f>
        <v>0</v>
      </c>
      <c r="AI219" s="19">
        <f ca="1">IF(הפחתה8[[#This Row],[תאריך]]="",0,הפחתה8[[#This Row],[ריבית]]+הפחתה8[[#This Row],[קרן]]+הפחתה8[[#This Row],[מדד]])</f>
        <v>0</v>
      </c>
      <c r="AJ219" s="19">
        <f ca="1">IF(הפחתה8[[#This Row],[תאריך]]="",0,הפחתה8[[#This Row],[יתרת פתיחה]]-הפחתה8[[#This Row],[קרן]])</f>
        <v>0</v>
      </c>
      <c r="AK219" s="20">
        <f ca="1">IF(הפחתה8[[#This Row],[יתרת
סגירה]]&gt;0,LastRow4-ROW(),0)</f>
        <v>0</v>
      </c>
    </row>
    <row r="220" spans="1:37" ht="15" customHeight="1" x14ac:dyDescent="0.25">
      <c r="A220" s="8"/>
      <c r="B220" s="11">
        <f>ROWS($B$4:B220)</f>
        <v>217</v>
      </c>
      <c r="C220" s="12">
        <f>IF(ValuesEntered,IF(הפחתה[[#This Row],[מס'']]&lt;=תקופת_ההלוואה,IF(ROW()-ROW(הפחתה[[#Headers],[תאריך]])=1,LoanStart,IF(I219&gt;0,EDATE(C219,1),"")),""),"")</f>
        <v>51957</v>
      </c>
      <c r="D220" s="13">
        <f>IF(ROW()-ROW(הפחתה[[#Headers],[יתרת פתיחה]])=1,סכום_הלוואה,IF(הפחתה[[#This Row],[תאריך]]="",0,INDEX(הפחתה[], ROW()-4,8)))</f>
        <v>354445.35640162986</v>
      </c>
      <c r="E220" s="13">
        <f>IF(ValuesEntered,IF(ROW()-ROW(הפחתה[[#Headers],[ריבית]])=1,-IPMT(שיעור_ריבית/12,1,תקופת_ההלוואה-ROWS($C$4:C220)+1,הפחתה[[#This Row],[יתרת פתיחה]]),IFERROR(-IPMT(שיעור_ריבית/12,1,הפחתה[[#This Row],[תשלומים
שנותרו]],D221),0)),0)</f>
        <v>1557.6655633612486</v>
      </c>
      <c r="F220" s="13">
        <f>IFERROR(IF(AND(ValuesEntered,הפחתה[[#This Row],[תאריך]]&lt;&gt;""),-PPMT(שיעור_ריבית/12,1,תקופת_ההלוואה-ROWS($C$4:C220)+1,הפחתה[[#This Row],[יתרת פתיחה]]),""),0)</f>
        <v>1766.3609236113541</v>
      </c>
      <c r="G220" s="13">
        <f>(הפחתה[[#This Row],[יתרת פתיחה]])*(מדד/12)</f>
        <v>0</v>
      </c>
      <c r="H220" s="13">
        <f>IF(הפחתה[[#This Row],[תאריך]]="",0,הפחתה[[#This Row],[ריבית]]+הפחתה[[#This Row],[קרן]]+הפחתה[[#This Row],[מדד]])</f>
        <v>3324.0264869726025</v>
      </c>
      <c r="I220" s="13">
        <f>IF(הפחתה[[#This Row],[תאריך]]="",0,הפחתה[[#This Row],[יתרת פתיחה]]-הפחתה[[#This Row],[קרן]]+הפחתה[[#This Row],[מדד]])</f>
        <v>352678.99547801854</v>
      </c>
      <c r="J220" s="11">
        <f>IF(הפחתה[[#This Row],[יתרת
סגירה]]&gt;0,LastRow-ROW(),0)</f>
        <v>143</v>
      </c>
      <c r="K220" s="11">
        <f>ROWS($K$4:K220)</f>
        <v>217</v>
      </c>
      <c r="L220" s="12">
        <f>IF(ValuesEntered2,IF(הפחתה5[[#This Row],[מס'']]&lt;=תקופת_ההלוואה2,IF(ROW()-ROW(הפחתה5[[#Headers],[תאריך]])=1,LoanStart2,IF(R219&gt;0,EDATE(L219,1),"")),""),"")</f>
        <v>51957</v>
      </c>
      <c r="M220" s="13">
        <f>IF(ROW()-ROW(הפחתה5[[#Headers],[יתרת פתיחה]])=1,סכום_הלוואה2,IF(הפחתה5[[#This Row],[תאריך]]="",0,INDEX(הפחתה5[], ROW()-4,8)))</f>
        <v>121610.11783531851</v>
      </c>
      <c r="N220" s="13">
        <f>IF(ValuesEntered2,IF(ROW()-ROW(הפחתה5[[#Headers],[ריבית]])=1,-IPMT(שיעור_ריבית2/12,1,תקופת_ההלוואה2-ROWS($L$4:L220)+1,הפחתה5[[#This Row],[יתרת פתיחה]]),IFERROR(-IPMT(שיעור_ריבית2/12,1,הפחתה5[[#This Row],[תשלומים
שנותרו]],M221),0)),0)</f>
        <v>471.50669588704295</v>
      </c>
      <c r="O220" s="13">
        <f>IFERROR(IF(AND(ValuesEntered2,הפחתה5[[#This Row],[תאריך]]&lt;&gt;""),-PPMT(שיעור_ריבית2/12,1,תקופת_ההלוואה2-ROWS($L$4:L220)+1,הפחתה5[[#This Row],[יתרת פתיחה]]),""),0)</f>
        <v>1225.4295237330612</v>
      </c>
      <c r="P220" s="13">
        <f>(הפחתה5[[#This Row],[יתרת פתיחה]])*(מדד2/12)</f>
        <v>0</v>
      </c>
      <c r="Q220" s="13">
        <f>IF(הפחתה5[[#This Row],[תאריך]]="",0,הפחתה5[[#This Row],[ריבית]]+הפחתה5[[#This Row],[קרן]]+הפחתה5[[#This Row],[מדד]])</f>
        <v>1696.9362196201041</v>
      </c>
      <c r="R220" s="13">
        <f>IF(הפחתה5[[#This Row],[תאריך]]="",0,הפחתה5[[#This Row],[יתרת פתיחה]]-הפחתה5[[#This Row],[קרן]]+הפחתה5[[#This Row],[מדד]])</f>
        <v>120384.68831158544</v>
      </c>
      <c r="S220" s="11">
        <f>IF(הפחתה5[[#This Row],[יתרת
סגירה]]&gt;0,LastRow2-ROW(),0)</f>
        <v>83</v>
      </c>
      <c r="T220" s="11">
        <f>ROWS($T$4:T220)</f>
        <v>217</v>
      </c>
      <c r="U220" s="12">
        <f ca="1">IF(ValuesEntered3,IF(הפחתה7[[#This Row],[מס'']]&lt;=תקופת_ההלוואה3,IF(ROW()-ROW(הפחתה7[[#Headers],[תאריך]])=1,LoanStart3,IF(AA219&gt;0,EDATE(U219,1),"")),""),"")</f>
        <v>52195</v>
      </c>
      <c r="V220" s="13">
        <f ca="1">IF(ROW()-ROW(הפחתה7[[#Headers],[יתרת פתיחה]])=1,סכום_הלוואה3,IF(הפחתה7[[#This Row],[תאריך]]="",0,INDEX(הפחתה7[], ROW()-4,8)))</f>
        <v>48806.951949268689</v>
      </c>
      <c r="W220" s="13">
        <f ca="1">IF(ValuesEntered3,IF(ROW()-ROW(הפחתה7[[#Headers],[ריבית]])=1,-IPMT(שיעור_ריבית3/12,1,תקופת_ההלוואה3-ROWS($C$4:U220)+1,הפחתה7[[#This Row],[יתרת פתיחה]]),IFERROR(-IPMT(שיעור_ריבית3/12,1,הפחתה7[[#This Row],[תשלומים
שנותרו]],V221),0)),0)</f>
        <v>92.675098042206201</v>
      </c>
      <c r="X220" s="13">
        <f ca="1">IFERROR(IF(AND(ValuesEntered3,הפחתה7[[#This Row],[תאריך]]&lt;&gt;""),-PPMT(שיעור_ריבית3/12,1,תקופת_ההלוואה3-ROWS($C$4:U220)+1,הפחתה7[[#This Row],[יתרת פתיחה]]),""),0)</f>
        <v>536.07180368524985</v>
      </c>
      <c r="Y220" s="13">
        <f ca="1">(הפחתה7[[#This Row],[יתרת פתיחה]])*(מדד3/12)</f>
        <v>81.344919915447818</v>
      </c>
      <c r="Z220" s="13">
        <f ca="1">IF(הפחתה7[[#This Row],[תאריך]]="",0,הפחתה7[[#This Row],[ריבית]]+הפחתה7[[#This Row],[קרן]]+הפחתה7[[#This Row],[מדד]])</f>
        <v>710.09182164290382</v>
      </c>
      <c r="AA220" s="13">
        <f ca="1">IF(הפחתה7[[#This Row],[תאריך]]="",0,הפחתה7[[#This Row],[יתרת פתיחה]]-הפחתה7[[#This Row],[קרן]]+הפחתה7[[#This Row],[מדד]])</f>
        <v>48352.225065498889</v>
      </c>
      <c r="AB220" s="11">
        <f ca="1">IF(הפחתה7[[#This Row],[יתרת
סגירה]]&gt;0,LastRow3-ROW(),0)</f>
        <v>83</v>
      </c>
      <c r="AC220" s="17">
        <f>ROWS($AC$4:AC220)</f>
        <v>217</v>
      </c>
      <c r="AD220" s="18" t="str">
        <f ca="1">IF(ValuesEntered4,IF(הפחתה8[[#This Row],[מס'']]&lt;=תקופת_ההלוואה4,IF(ROW()-ROW(הפחתה8[[#Headers],[תאריך]])=1,LoanStart4,IF(AJ219&gt;0,EDATE(AD219,1),"")),""),"")</f>
        <v/>
      </c>
      <c r="AE220" s="19">
        <f ca="1">IF(ROW()-ROW(הפחתה8[[#Headers],[יתרת פתיחה]])=1,סכום_הלוואה4,IF(הפחתה8[[#This Row],[תאריך]]="",0,INDEX(הפחתה8[], ROW()-4,8)))</f>
        <v>0</v>
      </c>
      <c r="AF220" s="19">
        <f ca="1">IF(ValuesEntered4,IF(ROW()-ROW(הפחתה8[[#Headers],[ריבית]])=1,-IPMT(שיעור_ריבית4/12,1,תקופת_ההלוואה4-ROWS($C$4:AD220)+1,הפחתה8[[#This Row],[יתרת פתיחה]]),IFERROR(-IPMT(שיעור_ריבית4/12,1,הפחתה8[[#This Row],[תשלומים
שנותרו]],AE221),0)),0)</f>
        <v>0</v>
      </c>
      <c r="AG220" s="19" t="str">
        <f ca="1">IFERROR(IF(AND(ValuesEntered4,הפחתה8[[#This Row],[תאריך]]&lt;&gt;""),-PPMT(שיעור_ריבית4/12,1,תקופת_ההלוואה4-ROWS($C$4:AD220)+1,הפחתה8[[#This Row],[יתרת פתיחה]]),""),0)</f>
        <v/>
      </c>
      <c r="AH220" s="19">
        <f ca="1">(הפחתה8[[#This Row],[יתרת פתיחה]])*(מדד4/12)</f>
        <v>0</v>
      </c>
      <c r="AI220" s="19">
        <f ca="1">IF(הפחתה8[[#This Row],[תאריך]]="",0,הפחתה8[[#This Row],[ריבית]]+הפחתה8[[#This Row],[קרן]]+הפחתה8[[#This Row],[מדד]])</f>
        <v>0</v>
      </c>
      <c r="AJ220" s="19">
        <f ca="1">IF(הפחתה8[[#This Row],[תאריך]]="",0,הפחתה8[[#This Row],[יתרת פתיחה]]-הפחתה8[[#This Row],[קרן]])</f>
        <v>0</v>
      </c>
      <c r="AK220" s="20">
        <f ca="1">IF(הפחתה8[[#This Row],[יתרת
סגירה]]&gt;0,LastRow4-ROW(),0)</f>
        <v>0</v>
      </c>
    </row>
    <row r="221" spans="1:37" ht="15" customHeight="1" x14ac:dyDescent="0.25">
      <c r="A221" s="8"/>
      <c r="B221" s="11">
        <f>ROWS($B$4:B221)</f>
        <v>218</v>
      </c>
      <c r="C221" s="12">
        <f>IF(ValuesEntered,IF(הפחתה[[#This Row],[מס'']]&lt;=תקופת_ההלוואה,IF(ROW()-ROW(הפחתה[[#Headers],[תאריך]])=1,LoanStart,IF(I220&gt;0,EDATE(C220,1),"")),""),"")</f>
        <v>51987</v>
      </c>
      <c r="D221" s="13">
        <f>IF(ROW()-ROW(הפחתה[[#Headers],[יתרת פתיחה]])=1,סכום_הלוואה,IF(הפחתה[[#This Row],[תאריך]]="",0,INDEX(הפחתה[], ROW()-4,8)))</f>
        <v>352678.99547801854</v>
      </c>
      <c r="E221" s="13">
        <f>IF(ValuesEntered,IF(ROW()-ROW(הפחתה[[#Headers],[ריבית]])=1,-IPMT(שיעור_ריבית/12,1,תקופת_ההלוואה-ROWS($C$4:C221)+1,הפחתה[[#This Row],[יתרת פתיחה]]),IFERROR(-IPMT(שיעור_ריבית/12,1,הפחתה[[#This Row],[תשלומים
שנותרו]],D222),0)),0)</f>
        <v>1549.829679644226</v>
      </c>
      <c r="F221" s="13">
        <f>IFERROR(IF(AND(ValuesEntered,הפחתה[[#This Row],[תאריך]]&lt;&gt;""),-PPMT(שיעור_ריבית/12,1,תקופת_ההלוואה-ROWS($C$4:C221)+1,הפחתה[[#This Row],[יתרת פתיחה]]),""),0)</f>
        <v>1774.1623510239708</v>
      </c>
      <c r="G221" s="13">
        <f>(הפחתה[[#This Row],[יתרת פתיחה]])*(מדד/12)</f>
        <v>0</v>
      </c>
      <c r="H221" s="13">
        <f>IF(הפחתה[[#This Row],[תאריך]]="",0,הפחתה[[#This Row],[ריבית]]+הפחתה[[#This Row],[קרן]]+הפחתה[[#This Row],[מדד]])</f>
        <v>3323.992030668197</v>
      </c>
      <c r="I221" s="13">
        <f>IF(הפחתה[[#This Row],[תאריך]]="",0,הפחתה[[#This Row],[יתרת פתיחה]]-הפחתה[[#This Row],[קרן]]+הפחתה[[#This Row],[מדד]])</f>
        <v>350904.83312699455</v>
      </c>
      <c r="J221" s="11">
        <f>IF(הפחתה[[#This Row],[יתרת
סגירה]]&gt;0,LastRow-ROW(),0)</f>
        <v>142</v>
      </c>
      <c r="K221" s="11">
        <f>ROWS($K$4:K221)</f>
        <v>218</v>
      </c>
      <c r="L221" s="12">
        <f>IF(ValuesEntered2,IF(הפחתה5[[#This Row],[מס'']]&lt;=תקופת_ההלוואה2,IF(ROW()-ROW(הפחתה5[[#Headers],[תאריך]])=1,LoanStart2,IF(R220&gt;0,EDATE(L220,1),"")),""),"")</f>
        <v>51987</v>
      </c>
      <c r="M221" s="13">
        <f>IF(ROW()-ROW(הפחתה5[[#Headers],[יתרת פתיחה]])=1,סכום_הלוואה2,IF(הפחתה5[[#This Row],[תאריך]]="",0,INDEX(הפחתה5[], ROW()-4,8)))</f>
        <v>120384.68831158544</v>
      </c>
      <c r="N221" s="13">
        <f>IF(ValuesEntered2,IF(ROW()-ROW(הפחתה5[[#Headers],[ריבית]])=1,-IPMT(שיעור_ריבית2/12,1,תקופת_ההלוואה2-ROWS($L$4:L221)+1,הפחתה5[[#This Row],[יתרת פתיחה]]),IFERROR(-IPMT(שיעור_ריבית2/12,1,הפחתה5[[#This Row],[תשלומים
שנותרו]],M222),0)),0)</f>
        <v>466.68829848979732</v>
      </c>
      <c r="O221" s="13">
        <f>IFERROR(IF(AND(ValuesEntered2,הפחתה5[[#This Row],[תאריך]]&lt;&gt;""),-PPMT(שיעור_ריבית2/12,1,תקופת_ההלוואה2-ROWS($L$4:L221)+1,הפחתה5[[#This Row],[יתרת פתיחה]]),""),0)</f>
        <v>1230.229122701016</v>
      </c>
      <c r="P221" s="13">
        <f>(הפחתה5[[#This Row],[יתרת פתיחה]])*(מדד2/12)</f>
        <v>0</v>
      </c>
      <c r="Q221" s="13">
        <f>IF(הפחתה5[[#This Row],[תאריך]]="",0,הפחתה5[[#This Row],[ריבית]]+הפחתה5[[#This Row],[קרן]]+הפחתה5[[#This Row],[מדד]])</f>
        <v>1696.9174211908132</v>
      </c>
      <c r="R221" s="13">
        <f>IF(הפחתה5[[#This Row],[תאריך]]="",0,הפחתה5[[#This Row],[יתרת פתיחה]]-הפחתה5[[#This Row],[קרן]]+הפחתה5[[#This Row],[מדד]])</f>
        <v>119154.45918888443</v>
      </c>
      <c r="S221" s="11">
        <f>IF(הפחתה5[[#This Row],[יתרת
סגירה]]&gt;0,LastRow2-ROW(),0)</f>
        <v>82</v>
      </c>
      <c r="T221" s="11">
        <f>ROWS($T$4:T221)</f>
        <v>218</v>
      </c>
      <c r="U221" s="12">
        <f ca="1">IF(ValuesEntered3,IF(הפחתה7[[#This Row],[מס'']]&lt;=תקופת_ההלוואה3,IF(ROW()-ROW(הפחתה7[[#Headers],[תאריך]])=1,LoanStart3,IF(AA220&gt;0,EDATE(U220,1),"")),""),"")</f>
        <v>52225</v>
      </c>
      <c r="V221" s="13">
        <f ca="1">IF(ROW()-ROW(הפחתה7[[#Headers],[יתרת פתיחה]])=1,סכום_הלוואה3,IF(הפחתה7[[#This Row],[תאריך]]="",0,INDEX(הפחתה7[], ROW()-4,8)))</f>
        <v>48352.225065498889</v>
      </c>
      <c r="W221" s="13">
        <f ca="1">IF(ValuesEntered3,IF(ROW()-ROW(הפחתה7[[#Headers],[ריבית]])=1,-IPMT(שיעור_ריבית3/12,1,תקופת_ההלוואה3-ROWS($C$4:U221)+1,הפחתה7[[#This Row],[יתרת פתיחה]]),IFERROR(-IPMT(שיעור_ריבית3/12,1,הפחתה7[[#This Row],[תשלומים
שנותרו]],V222),0)),0)</f>
        <v>91.798381474686011</v>
      </c>
      <c r="X221" s="13">
        <f ca="1">IFERROR(IF(AND(ValuesEntered3,הפחתה7[[#This Row],[תאריך]]&lt;&gt;""),-PPMT(שיעור_ריבית3/12,1,תקופת_ההלוואה3-ROWS($C$4:U221)+1,הפחתה7[[#This Row],[יתרת פתיחה]]),""),0)</f>
        <v>538.00438135158936</v>
      </c>
      <c r="Y221" s="13">
        <f ca="1">(הפחתה7[[#This Row],[יתרת פתיחה]])*(מדד3/12)</f>
        <v>80.587041775831494</v>
      </c>
      <c r="Z221" s="13">
        <f ca="1">IF(הפחתה7[[#This Row],[תאריך]]="",0,הפחתה7[[#This Row],[ריבית]]+הפחתה7[[#This Row],[קרן]]+הפחתה7[[#This Row],[מדד]])</f>
        <v>710.38980460210689</v>
      </c>
      <c r="AA221" s="13">
        <f ca="1">IF(הפחתה7[[#This Row],[תאריך]]="",0,הפחתה7[[#This Row],[יתרת פתיחה]]-הפחתה7[[#This Row],[קרן]]+הפחתה7[[#This Row],[מדד]])</f>
        <v>47894.807725923136</v>
      </c>
      <c r="AB221" s="11">
        <f ca="1">IF(הפחתה7[[#This Row],[יתרת
סגירה]]&gt;0,LastRow3-ROW(),0)</f>
        <v>82</v>
      </c>
      <c r="AC221" s="17">
        <f>ROWS($AC$4:AC221)</f>
        <v>218</v>
      </c>
      <c r="AD221" s="18" t="str">
        <f ca="1">IF(ValuesEntered4,IF(הפחתה8[[#This Row],[מס'']]&lt;=תקופת_ההלוואה4,IF(ROW()-ROW(הפחתה8[[#Headers],[תאריך]])=1,LoanStart4,IF(AJ220&gt;0,EDATE(AD220,1),"")),""),"")</f>
        <v/>
      </c>
      <c r="AE221" s="19">
        <f ca="1">IF(ROW()-ROW(הפחתה8[[#Headers],[יתרת פתיחה]])=1,סכום_הלוואה4,IF(הפחתה8[[#This Row],[תאריך]]="",0,INDEX(הפחתה8[], ROW()-4,8)))</f>
        <v>0</v>
      </c>
      <c r="AF221" s="19">
        <f ca="1">IF(ValuesEntered4,IF(ROW()-ROW(הפחתה8[[#Headers],[ריבית]])=1,-IPMT(שיעור_ריבית4/12,1,תקופת_ההלוואה4-ROWS($C$4:AD221)+1,הפחתה8[[#This Row],[יתרת פתיחה]]),IFERROR(-IPMT(שיעור_ריבית4/12,1,הפחתה8[[#This Row],[תשלומים
שנותרו]],AE222),0)),0)</f>
        <v>0</v>
      </c>
      <c r="AG221" s="19" t="str">
        <f ca="1">IFERROR(IF(AND(ValuesEntered4,הפחתה8[[#This Row],[תאריך]]&lt;&gt;""),-PPMT(שיעור_ריבית4/12,1,תקופת_ההלוואה4-ROWS($C$4:AD221)+1,הפחתה8[[#This Row],[יתרת פתיחה]]),""),0)</f>
        <v/>
      </c>
      <c r="AH221" s="19">
        <f ca="1">(הפחתה8[[#This Row],[יתרת פתיחה]])*(מדד4/12)</f>
        <v>0</v>
      </c>
      <c r="AI221" s="19">
        <f ca="1">IF(הפחתה8[[#This Row],[תאריך]]="",0,הפחתה8[[#This Row],[ריבית]]+הפחתה8[[#This Row],[קרן]]+הפחתה8[[#This Row],[מדד]])</f>
        <v>0</v>
      </c>
      <c r="AJ221" s="19">
        <f ca="1">IF(הפחתה8[[#This Row],[תאריך]]="",0,הפחתה8[[#This Row],[יתרת פתיחה]]-הפחתה8[[#This Row],[קרן]])</f>
        <v>0</v>
      </c>
      <c r="AK221" s="20">
        <f ca="1">IF(הפחתה8[[#This Row],[יתרת
סגירה]]&gt;0,LastRow4-ROW(),0)</f>
        <v>0</v>
      </c>
    </row>
    <row r="222" spans="1:37" ht="15" customHeight="1" x14ac:dyDescent="0.25">
      <c r="A222" s="8"/>
      <c r="B222" s="11">
        <f>ROWS($B$4:B222)</f>
        <v>219</v>
      </c>
      <c r="C222" s="12">
        <f>IF(ValuesEntered,IF(הפחתה[[#This Row],[מס'']]&lt;=תקופת_ההלוואה,IF(ROW()-ROW(הפחתה[[#Headers],[תאריך]])=1,LoanStart,IF(I221&gt;0,EDATE(C221,1),"")),""),"")</f>
        <v>52018</v>
      </c>
      <c r="D222" s="13">
        <f>IF(ROW()-ROW(הפחתה[[#Headers],[יתרת פתיחה]])=1,סכום_הלוואה,IF(הפחתה[[#This Row],[תאריך]]="",0,INDEX(הפחתה[], ROW()-4,8)))</f>
        <v>350904.83312699455</v>
      </c>
      <c r="E222" s="13">
        <f>IF(ValuesEntered,IF(ROW()-ROW(הפחתה[[#Headers],[ריבית]])=1,-IPMT(שיעור_ריבית/12,1,תקופת_ההלוואה-ROWS($C$4:C222)+1,הפחתה[[#This Row],[יתרת פתיחה]]),IFERROR(-IPMT(שיעור_ריבית/12,1,הפחתה[[#This Row],[תשלומים
שנותרו]],D223),0)),0)</f>
        <v>1541.9591874407865</v>
      </c>
      <c r="F222" s="13">
        <f>IFERROR(IF(AND(ValuesEntered,הפחתה[[#This Row],[תאריך]]&lt;&gt;""),-PPMT(שיעור_ריבית/12,1,תקופת_ההלוואה-ROWS($C$4:C222)+1,הפחתה[[#This Row],[יתרת פתיחה]]),""),0)</f>
        <v>1781.9982347409934</v>
      </c>
      <c r="G222" s="13">
        <f>(הפחתה[[#This Row],[יתרת פתיחה]])*(מדד/12)</f>
        <v>0</v>
      </c>
      <c r="H222" s="13">
        <f>IF(הפחתה[[#This Row],[תאריך]]="",0,הפחתה[[#This Row],[ריבית]]+הפחתה[[#This Row],[קרן]]+הפחתה[[#This Row],[מדד]])</f>
        <v>3323.9574221817802</v>
      </c>
      <c r="I222" s="13">
        <f>IF(הפחתה[[#This Row],[תאריך]]="",0,הפחתה[[#This Row],[יתרת פתיחה]]-הפחתה[[#This Row],[קרן]]+הפחתה[[#This Row],[מדד]])</f>
        <v>349122.83489225357</v>
      </c>
      <c r="J222" s="11">
        <f>IF(הפחתה[[#This Row],[יתרת
סגירה]]&gt;0,LastRow-ROW(),0)</f>
        <v>141</v>
      </c>
      <c r="K222" s="11">
        <f>ROWS($K$4:K222)</f>
        <v>219</v>
      </c>
      <c r="L222" s="12">
        <f>IF(ValuesEntered2,IF(הפחתה5[[#This Row],[מס'']]&lt;=תקופת_ההלוואה2,IF(ROW()-ROW(הפחתה5[[#Headers],[תאריך]])=1,LoanStart2,IF(R221&gt;0,EDATE(L221,1),"")),""),"")</f>
        <v>52018</v>
      </c>
      <c r="M222" s="13">
        <f>IF(ROW()-ROW(הפחתה5[[#Headers],[יתרת פתיחה]])=1,סכום_הלוואה2,IF(הפחתה5[[#This Row],[תאריך]]="",0,INDEX(הפחתה5[], ROW()-4,8)))</f>
        <v>119154.45918888443</v>
      </c>
      <c r="N222" s="13">
        <f>IF(ValuesEntered2,IF(ROW()-ROW(הפחתה5[[#Headers],[ריבית]])=1,-IPMT(שיעור_ריבית2/12,1,תקופת_ההלוואה2-ROWS($L$4:L222)+1,הפחתה5[[#This Row],[יתרת פתיחה]]),IFERROR(-IPMT(שיעור_ריבית2/12,1,הפחתה5[[#This Row],[תשלומים
שנותרו]],M223),0)),0)</f>
        <v>461.85102903607913</v>
      </c>
      <c r="O222" s="13">
        <f>IFERROR(IF(AND(ValuesEntered2,הפחתה5[[#This Row],[תאריך]]&lt;&gt;""),-PPMT(שיעור_ריבית2/12,1,תקופת_ההלוואה2-ROWS($L$4:L222)+1,הפחתה5[[#This Row],[יתרת פתיחה]]),""),0)</f>
        <v>1235.0475200982614</v>
      </c>
      <c r="P222" s="13">
        <f>(הפחתה5[[#This Row],[יתרת פתיחה]])*(מדד2/12)</f>
        <v>0</v>
      </c>
      <c r="Q222" s="13">
        <f>IF(הפחתה5[[#This Row],[תאריך]]="",0,הפחתה5[[#This Row],[ריבית]]+הפחתה5[[#This Row],[קרן]]+הפחתה5[[#This Row],[מדד]])</f>
        <v>1696.8985491343406</v>
      </c>
      <c r="R222" s="13">
        <f>IF(הפחתה5[[#This Row],[תאריך]]="",0,הפחתה5[[#This Row],[יתרת פתיחה]]-הפחתה5[[#This Row],[קרן]]+הפחתה5[[#This Row],[מדד]])</f>
        <v>117919.41166878617</v>
      </c>
      <c r="S222" s="11">
        <f>IF(הפחתה5[[#This Row],[יתרת
סגירה]]&gt;0,LastRow2-ROW(),0)</f>
        <v>81</v>
      </c>
      <c r="T222" s="11">
        <f>ROWS($T$4:T222)</f>
        <v>219</v>
      </c>
      <c r="U222" s="12">
        <f ca="1">IF(ValuesEntered3,IF(הפחתה7[[#This Row],[מס'']]&lt;=תקופת_ההלוואה3,IF(ROW()-ROW(הפחתה7[[#Headers],[תאריך]])=1,LoanStart3,IF(AA221&gt;0,EDATE(U221,1),"")),""),"")</f>
        <v>52256</v>
      </c>
      <c r="V222" s="13">
        <f ca="1">IF(ROW()-ROW(הפחתה7[[#Headers],[יתרת פתיחה]])=1,סכום_הלוואה3,IF(הפחתה7[[#This Row],[תאריך]]="",0,INDEX(הפחתה7[], ROW()-4,8)))</f>
        <v>47894.807725923136</v>
      </c>
      <c r="W222" s="13">
        <f ca="1">IF(ValuesEntered3,IF(ROW()-ROW(הפחתה7[[#Headers],[ריבית]])=1,-IPMT(שיעור_ריבית3/12,1,תקופת_ההלוואה3-ROWS($C$4:U222)+1,הפחתה7[[#This Row],[יתרת פתיחה]]),IFERROR(-IPMT(שיעור_ריבית3/12,1,הפחתה7[[#This Row],[תשלומים
שנותרו]],V223),0)),0)</f>
        <v>90.91648599988504</v>
      </c>
      <c r="X222" s="13">
        <f ca="1">IFERROR(IF(AND(ValuesEntered3,הפחתה7[[#This Row],[תאריך]]&lt;&gt;""),-PPMT(שיעור_ריבית3/12,1,תקופת_ההלוואה3-ROWS($C$4:U222)+1,הפחתה7[[#This Row],[יתרת פתיחה]]),""),0)</f>
        <v>539.94405770023423</v>
      </c>
      <c r="Y222" s="13">
        <f ca="1">(הפחתה7[[#This Row],[יתרת פתיחה]])*(מדד3/12)</f>
        <v>79.824679543205235</v>
      </c>
      <c r="Z222" s="13">
        <f ca="1">IF(הפחתה7[[#This Row],[תאריך]]="",0,הפחתה7[[#This Row],[ריבית]]+הפחתה7[[#This Row],[קרן]]+הפחתה7[[#This Row],[מדד]])</f>
        <v>710.68522324332446</v>
      </c>
      <c r="AA222" s="13">
        <f ca="1">IF(הפחתה7[[#This Row],[תאריך]]="",0,הפחתה7[[#This Row],[יתרת פתיחה]]-הפחתה7[[#This Row],[קרן]]+הפחתה7[[#This Row],[מדד]])</f>
        <v>47434.68834776611</v>
      </c>
      <c r="AB222" s="11">
        <f ca="1">IF(הפחתה7[[#This Row],[יתרת
סגירה]]&gt;0,LastRow3-ROW(),0)</f>
        <v>81</v>
      </c>
      <c r="AC222" s="17">
        <f>ROWS($AC$4:AC222)</f>
        <v>219</v>
      </c>
      <c r="AD222" s="18" t="str">
        <f ca="1">IF(ValuesEntered4,IF(הפחתה8[[#This Row],[מס'']]&lt;=תקופת_ההלוואה4,IF(ROW()-ROW(הפחתה8[[#Headers],[תאריך]])=1,LoanStart4,IF(AJ221&gt;0,EDATE(AD221,1),"")),""),"")</f>
        <v/>
      </c>
      <c r="AE222" s="19">
        <f ca="1">IF(ROW()-ROW(הפחתה8[[#Headers],[יתרת פתיחה]])=1,סכום_הלוואה4,IF(הפחתה8[[#This Row],[תאריך]]="",0,INDEX(הפחתה8[], ROW()-4,8)))</f>
        <v>0</v>
      </c>
      <c r="AF222" s="19">
        <f ca="1">IF(ValuesEntered4,IF(ROW()-ROW(הפחתה8[[#Headers],[ריבית]])=1,-IPMT(שיעור_ריבית4/12,1,תקופת_ההלוואה4-ROWS($C$4:AD222)+1,הפחתה8[[#This Row],[יתרת פתיחה]]),IFERROR(-IPMT(שיעור_ריבית4/12,1,הפחתה8[[#This Row],[תשלומים
שנותרו]],AE223),0)),0)</f>
        <v>0</v>
      </c>
      <c r="AG222" s="19" t="str">
        <f ca="1">IFERROR(IF(AND(ValuesEntered4,הפחתה8[[#This Row],[תאריך]]&lt;&gt;""),-PPMT(שיעור_ריבית4/12,1,תקופת_ההלוואה4-ROWS($C$4:AD222)+1,הפחתה8[[#This Row],[יתרת פתיחה]]),""),0)</f>
        <v/>
      </c>
      <c r="AH222" s="19">
        <f ca="1">(הפחתה8[[#This Row],[יתרת פתיחה]])*(מדד4/12)</f>
        <v>0</v>
      </c>
      <c r="AI222" s="19">
        <f ca="1">IF(הפחתה8[[#This Row],[תאריך]]="",0,הפחתה8[[#This Row],[ריבית]]+הפחתה8[[#This Row],[קרן]]+הפחתה8[[#This Row],[מדד]])</f>
        <v>0</v>
      </c>
      <c r="AJ222" s="19">
        <f ca="1">IF(הפחתה8[[#This Row],[תאריך]]="",0,הפחתה8[[#This Row],[יתרת פתיחה]]-הפחתה8[[#This Row],[קרן]])</f>
        <v>0</v>
      </c>
      <c r="AK222" s="20">
        <f ca="1">IF(הפחתה8[[#This Row],[יתרת
סגירה]]&gt;0,LastRow4-ROW(),0)</f>
        <v>0</v>
      </c>
    </row>
    <row r="223" spans="1:37" ht="15" customHeight="1" x14ac:dyDescent="0.25">
      <c r="A223" s="8"/>
      <c r="B223" s="11">
        <f>ROWS($B$4:B223)</f>
        <v>220</v>
      </c>
      <c r="C223" s="12">
        <f>IF(ValuesEntered,IF(הפחתה[[#This Row],[מס'']]&lt;=תקופת_ההלוואה,IF(ROW()-ROW(הפחתה[[#Headers],[תאריך]])=1,LoanStart,IF(I222&gt;0,EDATE(C222,1),"")),""),"")</f>
        <v>52048</v>
      </c>
      <c r="D223" s="13">
        <f>IF(ROW()-ROW(הפחתה[[#Headers],[יתרת פתיחה]])=1,סכום_הלוואה,IF(הפחתה[[#This Row],[תאריך]]="",0,INDEX(הפחתה[], ROW()-4,8)))</f>
        <v>349122.83489225357</v>
      </c>
      <c r="E223" s="13">
        <f>IF(ValuesEntered,IF(ROW()-ROW(הפחתה[[#Headers],[ריבית]])=1,-IPMT(שיעור_ריבית/12,1,תקופת_ההלוואה-ROWS($C$4:C223)+1,הפחתה[[#This Row],[יתרת פתיחה]]),IFERROR(-IPMT(שיעור_ריבית/12,1,הפחתה[[#This Row],[תשלומים
שנותרו]],D224),0)),0)</f>
        <v>1534.0539338967822</v>
      </c>
      <c r="F223" s="13">
        <f>IFERROR(IF(AND(ValuesEntered,הפחתה[[#This Row],[תאריך]]&lt;&gt;""),-PPMT(שיעור_ריבית/12,1,תקופת_ההלוואה-ROWS($C$4:C223)+1,הפחתה[[#This Row],[יתרת פתיחה]]),""),0)</f>
        <v>1789.8687269444329</v>
      </c>
      <c r="G223" s="13">
        <f>(הפחתה[[#This Row],[יתרת פתיחה]])*(מדד/12)</f>
        <v>0</v>
      </c>
      <c r="H223" s="13">
        <f>IF(הפחתה[[#This Row],[תאריך]]="",0,הפחתה[[#This Row],[ריבית]]+הפחתה[[#This Row],[קרן]]+הפחתה[[#This Row],[מדד]])</f>
        <v>3323.922660841215</v>
      </c>
      <c r="I223" s="13">
        <f>IF(הפחתה[[#This Row],[תאריך]]="",0,הפחתה[[#This Row],[יתרת פתיחה]]-הפחתה[[#This Row],[קרן]]+הפחתה[[#This Row],[מדד]])</f>
        <v>347332.96616530913</v>
      </c>
      <c r="J223" s="11">
        <f>IF(הפחתה[[#This Row],[יתרת
סגירה]]&gt;0,LastRow-ROW(),0)</f>
        <v>140</v>
      </c>
      <c r="K223" s="11">
        <f>ROWS($K$4:K223)</f>
        <v>220</v>
      </c>
      <c r="L223" s="12">
        <f>IF(ValuesEntered2,IF(הפחתה5[[#This Row],[מס'']]&lt;=תקופת_ההלוואה2,IF(ROW()-ROW(הפחתה5[[#Headers],[תאריך]])=1,LoanStart2,IF(R222&gt;0,EDATE(L222,1),"")),""),"")</f>
        <v>52048</v>
      </c>
      <c r="M223" s="13">
        <f>IF(ROW()-ROW(הפחתה5[[#Headers],[יתרת פתיחה]])=1,סכום_הלוואה2,IF(הפחתה5[[#This Row],[תאריך]]="",0,INDEX(הפחתה5[], ROW()-4,8)))</f>
        <v>117919.41166878617</v>
      </c>
      <c r="N223" s="13">
        <f>IF(ValuesEntered2,IF(ROW()-ROW(הפחתה5[[#Headers],[ריבית]])=1,-IPMT(שיעור_ריבית2/12,1,תקופת_ההלוואה2-ROWS($L$4:L223)+1,הפחתה5[[#This Row],[יתרת פתיחה]]),IFERROR(-IPMT(שיעור_ריבית2/12,1,הפחתה5[[#This Row],[תשלומים
שנותרו]],M224),0)),0)</f>
        <v>456.99481361033384</v>
      </c>
      <c r="O223" s="13">
        <f>IFERROR(IF(AND(ValuesEntered2,הפחתה5[[#This Row],[תאריך]]&lt;&gt;""),-PPMT(שיעור_ריבית2/12,1,תקופת_ההלוואה2-ROWS($L$4:L223)+1,הפחתה5[[#This Row],[יתרת פתיחה]]),""),0)</f>
        <v>1239.8847895519798</v>
      </c>
      <c r="P223" s="13">
        <f>(הפחתה5[[#This Row],[יתרת פתיחה]])*(מדד2/12)</f>
        <v>0</v>
      </c>
      <c r="Q223" s="13">
        <f>IF(הפחתה5[[#This Row],[תאריך]]="",0,הפחתה5[[#This Row],[ריבית]]+הפחתה5[[#This Row],[קרן]]+הפחתה5[[#This Row],[מדד]])</f>
        <v>1696.8796031623137</v>
      </c>
      <c r="R223" s="13">
        <f>IF(הפחתה5[[#This Row],[תאריך]]="",0,הפחתה5[[#This Row],[יתרת פתיחה]]-הפחתה5[[#This Row],[קרן]]+הפחתה5[[#This Row],[מדד]])</f>
        <v>116679.52687923418</v>
      </c>
      <c r="S223" s="11">
        <f>IF(הפחתה5[[#This Row],[יתרת
סגירה]]&gt;0,LastRow2-ROW(),0)</f>
        <v>80</v>
      </c>
      <c r="T223" s="11">
        <f>ROWS($T$4:T223)</f>
        <v>220</v>
      </c>
      <c r="U223" s="12">
        <f ca="1">IF(ValuesEntered3,IF(הפחתה7[[#This Row],[מס'']]&lt;=תקופת_ההלוואה3,IF(ROW()-ROW(הפחתה7[[#Headers],[תאריך]])=1,LoanStart3,IF(AA222&gt;0,EDATE(U222,1),"")),""),"")</f>
        <v>52287</v>
      </c>
      <c r="V223" s="13">
        <f ca="1">IF(ROW()-ROW(הפחתה7[[#Headers],[יתרת פתיחה]])=1,סכום_הלוואה3,IF(הפחתה7[[#This Row],[תאריך]]="",0,INDEX(הפחתה7[], ROW()-4,8)))</f>
        <v>47434.68834776611</v>
      </c>
      <c r="W223" s="13">
        <f ca="1">IF(ValuesEntered3,IF(ROW()-ROW(הפחתה7[[#Headers],[ריבית]])=1,-IPMT(שיעור_ריבית3/12,1,תקופת_ההלוואה3-ROWS($C$4:U223)+1,הפחתה7[[#This Row],[יתרת פתיחה]]),IFERROR(-IPMT(שיעור_ריבית3/12,1,הפחתה7[[#This Row],[תשלומים
שנותרו]],V224),0)),0)</f>
        <v>90.029389323351296</v>
      </c>
      <c r="X223" s="13">
        <f ca="1">IFERROR(IF(AND(ValuesEntered3,הפחתה7[[#This Row],[תאריך]]&lt;&gt;""),-PPMT(שיעור_ריבית3/12,1,תקופת_ההלוואה3-ROWS($C$4:U223)+1,הפחתה7[[#This Row],[יתרת פתיחה]]),""),0)</f>
        <v>541.8908625392412</v>
      </c>
      <c r="Y223" s="13">
        <f ca="1">(הפחתה7[[#This Row],[יתרת פתיחה]])*(מדד3/12)</f>
        <v>79.057813912943516</v>
      </c>
      <c r="Z223" s="13">
        <f ca="1">IF(הפחתה7[[#This Row],[תאריך]]="",0,הפחתה7[[#This Row],[ריבית]]+הפחתה7[[#This Row],[קרן]]+הפחתה7[[#This Row],[מדד]])</f>
        <v>710.97806577553604</v>
      </c>
      <c r="AA223" s="13">
        <f ca="1">IF(הפחתה7[[#This Row],[תאריך]]="",0,הפחתה7[[#This Row],[יתרת פתיחה]]-הפחתה7[[#This Row],[קרן]]+הפחתה7[[#This Row],[מדד]])</f>
        <v>46971.85529913981</v>
      </c>
      <c r="AB223" s="11">
        <f ca="1">IF(הפחתה7[[#This Row],[יתרת
סגירה]]&gt;0,LastRow3-ROW(),0)</f>
        <v>80</v>
      </c>
      <c r="AC223" s="17">
        <f>ROWS($AC$4:AC223)</f>
        <v>220</v>
      </c>
      <c r="AD223" s="18" t="str">
        <f ca="1">IF(ValuesEntered4,IF(הפחתה8[[#This Row],[מס'']]&lt;=תקופת_ההלוואה4,IF(ROW()-ROW(הפחתה8[[#Headers],[תאריך]])=1,LoanStart4,IF(AJ222&gt;0,EDATE(AD222,1),"")),""),"")</f>
        <v/>
      </c>
      <c r="AE223" s="19">
        <f ca="1">IF(ROW()-ROW(הפחתה8[[#Headers],[יתרת פתיחה]])=1,סכום_הלוואה4,IF(הפחתה8[[#This Row],[תאריך]]="",0,INDEX(הפחתה8[], ROW()-4,8)))</f>
        <v>0</v>
      </c>
      <c r="AF223" s="19">
        <f ca="1">IF(ValuesEntered4,IF(ROW()-ROW(הפחתה8[[#Headers],[ריבית]])=1,-IPMT(שיעור_ריבית4/12,1,תקופת_ההלוואה4-ROWS($C$4:AD223)+1,הפחתה8[[#This Row],[יתרת פתיחה]]),IFERROR(-IPMT(שיעור_ריבית4/12,1,הפחתה8[[#This Row],[תשלומים
שנותרו]],AE224),0)),0)</f>
        <v>0</v>
      </c>
      <c r="AG223" s="19" t="str">
        <f ca="1">IFERROR(IF(AND(ValuesEntered4,הפחתה8[[#This Row],[תאריך]]&lt;&gt;""),-PPMT(שיעור_ריבית4/12,1,תקופת_ההלוואה4-ROWS($C$4:AD223)+1,הפחתה8[[#This Row],[יתרת פתיחה]]),""),0)</f>
        <v/>
      </c>
      <c r="AH223" s="19">
        <f ca="1">(הפחתה8[[#This Row],[יתרת פתיחה]])*(מדד4/12)</f>
        <v>0</v>
      </c>
      <c r="AI223" s="19">
        <f ca="1">IF(הפחתה8[[#This Row],[תאריך]]="",0,הפחתה8[[#This Row],[ריבית]]+הפחתה8[[#This Row],[קרן]]+הפחתה8[[#This Row],[מדד]])</f>
        <v>0</v>
      </c>
      <c r="AJ223" s="19">
        <f ca="1">IF(הפחתה8[[#This Row],[תאריך]]="",0,הפחתה8[[#This Row],[יתרת פתיחה]]-הפחתה8[[#This Row],[קרן]])</f>
        <v>0</v>
      </c>
      <c r="AK223" s="20">
        <f ca="1">IF(הפחתה8[[#This Row],[יתרת
סגירה]]&gt;0,LastRow4-ROW(),0)</f>
        <v>0</v>
      </c>
    </row>
    <row r="224" spans="1:37" ht="15" customHeight="1" x14ac:dyDescent="0.25">
      <c r="A224" s="8"/>
      <c r="B224" s="11">
        <f>ROWS($B$4:B224)</f>
        <v>221</v>
      </c>
      <c r="C224" s="12">
        <f>IF(ValuesEntered,IF(הפחתה[[#This Row],[מס'']]&lt;=תקופת_ההלוואה,IF(ROW()-ROW(הפחתה[[#Headers],[תאריך]])=1,LoanStart,IF(I223&gt;0,EDATE(C223,1),"")),""),"")</f>
        <v>52079</v>
      </c>
      <c r="D224" s="13">
        <f>IF(ROW()-ROW(הפחתה[[#Headers],[יתרת פתיחה]])=1,סכום_הלוואה,IF(הפחתה[[#This Row],[תאריך]]="",0,INDEX(הפחתה[], ROW()-4,8)))</f>
        <v>347332.96616530913</v>
      </c>
      <c r="E224" s="13">
        <f>IF(ValuesEntered,IF(ROW()-ROW(הפחתה[[#Headers],[ריבית]])=1,-IPMT(שיעור_ריבית/12,1,תקופת_ההלוואה-ROWS($C$4:C224)+1,הפחתה[[#This Row],[יתרת פתיחה]]),IFERROR(-IPMT(שיעור_ריבית/12,1,הפחתה[[#This Row],[תשלומים
שנותרו]],D225),0)),0)</f>
        <v>1526.1137654829581</v>
      </c>
      <c r="F224" s="13">
        <f>IFERROR(IF(AND(ValuesEntered,הפחתה[[#This Row],[תאריך]]&lt;&gt;""),-PPMT(שיעור_ריבית/12,1,תקופת_ההלוואה-ROWS($C$4:C224)+1,הפחתה[[#This Row],[יתרת פתיחה]]),""),0)</f>
        <v>1797.7739804884375</v>
      </c>
      <c r="G224" s="13">
        <f>(הפחתה[[#This Row],[יתרת פתיחה]])*(מדד/12)</f>
        <v>0</v>
      </c>
      <c r="H224" s="13">
        <f>IF(הפחתה[[#This Row],[תאריך]]="",0,הפחתה[[#This Row],[ריבית]]+הפחתה[[#This Row],[קרן]]+הפחתה[[#This Row],[מדד]])</f>
        <v>3323.8877459713958</v>
      </c>
      <c r="I224" s="13">
        <f>IF(הפחתה[[#This Row],[תאריך]]="",0,הפחתה[[#This Row],[יתרת פתיחה]]-הפחתה[[#This Row],[קרן]]+הפחתה[[#This Row],[מדד]])</f>
        <v>345535.19218482071</v>
      </c>
      <c r="J224" s="11">
        <f>IF(הפחתה[[#This Row],[יתרת
סגירה]]&gt;0,LastRow-ROW(),0)</f>
        <v>139</v>
      </c>
      <c r="K224" s="11">
        <f>ROWS($K$4:K224)</f>
        <v>221</v>
      </c>
      <c r="L224" s="12">
        <f>IF(ValuesEntered2,IF(הפחתה5[[#This Row],[מס'']]&lt;=תקופת_ההלוואה2,IF(ROW()-ROW(הפחתה5[[#Headers],[תאריך]])=1,LoanStart2,IF(R223&gt;0,EDATE(L223,1),"")),""),"")</f>
        <v>52079</v>
      </c>
      <c r="M224" s="13">
        <f>IF(ROW()-ROW(הפחתה5[[#Headers],[יתרת פתיחה]])=1,סכום_הלוואה2,IF(הפחתה5[[#This Row],[תאריך]]="",0,INDEX(הפחתה5[], ROW()-4,8)))</f>
        <v>116679.52687923418</v>
      </c>
      <c r="N224" s="13">
        <f>IF(ValuesEntered2,IF(ROW()-ROW(הפחתה5[[#Headers],[ריבית]])=1,-IPMT(שיעור_ריבית2/12,1,תקופת_ההלוואה2-ROWS($L$4:L224)+1,הפחתה5[[#This Row],[יתרת פתיחה]]),IFERROR(-IPMT(שיעור_ריבית2/12,1,הפחתה5[[#This Row],[תשלומים
שנותרו]],M225),0)),0)</f>
        <v>452.1195780075044</v>
      </c>
      <c r="O224" s="13">
        <f>IFERROR(IF(AND(ValuesEntered2,הפחתה5[[#This Row],[תאריך]]&lt;&gt;""),-PPMT(שיעור_ריבית2/12,1,תקופת_ההלוואה2-ROWS($L$4:L224)+1,הפחתה5[[#This Row],[יתרת פתיחה]]),""),0)</f>
        <v>1244.741004977725</v>
      </c>
      <c r="P224" s="13">
        <f>(הפחתה5[[#This Row],[יתרת פתיחה]])*(מדד2/12)</f>
        <v>0</v>
      </c>
      <c r="Q224" s="13">
        <f>IF(הפחתה5[[#This Row],[תאריך]]="",0,הפחתה5[[#This Row],[ריבית]]+הפחתה5[[#This Row],[קרן]]+הפחתה5[[#This Row],[מדד]])</f>
        <v>1696.8605829852295</v>
      </c>
      <c r="R224" s="13">
        <f>IF(הפחתה5[[#This Row],[תאריך]]="",0,הפחתה5[[#This Row],[יתרת פתיחה]]-הפחתה5[[#This Row],[קרן]]+הפחתה5[[#This Row],[מדד]])</f>
        <v>115434.78587425646</v>
      </c>
      <c r="S224" s="11">
        <f>IF(הפחתה5[[#This Row],[יתרת
סגירה]]&gt;0,LastRow2-ROW(),0)</f>
        <v>79</v>
      </c>
      <c r="T224" s="11">
        <f>ROWS($T$4:T224)</f>
        <v>221</v>
      </c>
      <c r="U224" s="12">
        <f ca="1">IF(ValuesEntered3,IF(הפחתה7[[#This Row],[מס'']]&lt;=תקופת_ההלוואה3,IF(ROW()-ROW(הפחתה7[[#Headers],[תאריך]])=1,LoanStart3,IF(AA223&gt;0,EDATE(U223,1),"")),""),"")</f>
        <v>52315</v>
      </c>
      <c r="V224" s="13">
        <f ca="1">IF(ROW()-ROW(הפחתה7[[#Headers],[יתרת פתיחה]])=1,סכום_הלוואה3,IF(הפחתה7[[#This Row],[תאריך]]="",0,INDEX(הפחתה7[], ROW()-4,8)))</f>
        <v>46971.85529913981</v>
      </c>
      <c r="W224" s="13">
        <f ca="1">IF(ValuesEntered3,IF(ROW()-ROW(הפחתה7[[#Headers],[ריבית]])=1,-IPMT(שיעור_ריבית3/12,1,תקופת_ההלוואה3-ROWS($C$4:U224)+1,הפחתה7[[#This Row],[יתרת פתיחה]]),IFERROR(-IPMT(שיעור_ריבית3/12,1,הפחתה7[[#This Row],[תשלומים
שנותרו]],V225),0)),0)</f>
        <v>89.137069055823815</v>
      </c>
      <c r="X224" s="13">
        <f ca="1">IFERROR(IF(AND(ValuesEntered3,הפחתה7[[#This Row],[תאריך]]&lt;&gt;""),-PPMT(שיעור_ריבית3/12,1,תקופת_ההלוואה3-ROWS($C$4:U224)+1,הפחתה7[[#This Row],[יתרת פתיחה]]),""),0)</f>
        <v>543.8448259476927</v>
      </c>
      <c r="Y224" s="13">
        <f ca="1">(הפחתה7[[#This Row],[יתרת פתיחה]])*(מדד3/12)</f>
        <v>78.286425498566359</v>
      </c>
      <c r="Z224" s="13">
        <f ca="1">IF(הפחתה7[[#This Row],[תאריך]]="",0,הפחתה7[[#This Row],[ריבית]]+הפחתה7[[#This Row],[קרן]]+הפחתה7[[#This Row],[מדד]])</f>
        <v>711.26832050208282</v>
      </c>
      <c r="AA224" s="13">
        <f ca="1">IF(הפחתה7[[#This Row],[תאריך]]="",0,הפחתה7[[#This Row],[יתרת פתיחה]]-הפחתה7[[#This Row],[קרן]]+הפחתה7[[#This Row],[מדד]])</f>
        <v>46506.296898690685</v>
      </c>
      <c r="AB224" s="11">
        <f ca="1">IF(הפחתה7[[#This Row],[יתרת
סגירה]]&gt;0,LastRow3-ROW(),0)</f>
        <v>79</v>
      </c>
      <c r="AC224" s="17">
        <f>ROWS($AC$4:AC224)</f>
        <v>221</v>
      </c>
      <c r="AD224" s="18" t="str">
        <f ca="1">IF(ValuesEntered4,IF(הפחתה8[[#This Row],[מס'']]&lt;=תקופת_ההלוואה4,IF(ROW()-ROW(הפחתה8[[#Headers],[תאריך]])=1,LoanStart4,IF(AJ223&gt;0,EDATE(AD223,1),"")),""),"")</f>
        <v/>
      </c>
      <c r="AE224" s="19">
        <f ca="1">IF(ROW()-ROW(הפחתה8[[#Headers],[יתרת פתיחה]])=1,סכום_הלוואה4,IF(הפחתה8[[#This Row],[תאריך]]="",0,INDEX(הפחתה8[], ROW()-4,8)))</f>
        <v>0</v>
      </c>
      <c r="AF224" s="19">
        <f ca="1">IF(ValuesEntered4,IF(ROW()-ROW(הפחתה8[[#Headers],[ריבית]])=1,-IPMT(שיעור_ריבית4/12,1,תקופת_ההלוואה4-ROWS($C$4:AD224)+1,הפחתה8[[#This Row],[יתרת פתיחה]]),IFERROR(-IPMT(שיעור_ריבית4/12,1,הפחתה8[[#This Row],[תשלומים
שנותרו]],AE225),0)),0)</f>
        <v>0</v>
      </c>
      <c r="AG224" s="19" t="str">
        <f ca="1">IFERROR(IF(AND(ValuesEntered4,הפחתה8[[#This Row],[תאריך]]&lt;&gt;""),-PPMT(שיעור_ריבית4/12,1,תקופת_ההלוואה4-ROWS($C$4:AD224)+1,הפחתה8[[#This Row],[יתרת פתיחה]]),""),0)</f>
        <v/>
      </c>
      <c r="AH224" s="19">
        <f ca="1">(הפחתה8[[#This Row],[יתרת פתיחה]])*(מדד4/12)</f>
        <v>0</v>
      </c>
      <c r="AI224" s="19">
        <f ca="1">IF(הפחתה8[[#This Row],[תאריך]]="",0,הפחתה8[[#This Row],[ריבית]]+הפחתה8[[#This Row],[קרן]]+הפחתה8[[#This Row],[מדד]])</f>
        <v>0</v>
      </c>
      <c r="AJ224" s="19">
        <f ca="1">IF(הפחתה8[[#This Row],[תאריך]]="",0,הפחתה8[[#This Row],[יתרת פתיחה]]-הפחתה8[[#This Row],[קרן]])</f>
        <v>0</v>
      </c>
      <c r="AK224" s="20">
        <f ca="1">IF(הפחתה8[[#This Row],[יתרת
סגירה]]&gt;0,LastRow4-ROW(),0)</f>
        <v>0</v>
      </c>
    </row>
    <row r="225" spans="1:37" ht="15" customHeight="1" x14ac:dyDescent="0.25">
      <c r="A225" s="8"/>
      <c r="B225" s="11">
        <f>ROWS($B$4:B225)</f>
        <v>222</v>
      </c>
      <c r="C225" s="12">
        <f>IF(ValuesEntered,IF(הפחתה[[#This Row],[מס'']]&lt;=תקופת_ההלוואה,IF(ROW()-ROW(הפחתה[[#Headers],[תאריך]])=1,LoanStart,IF(I224&gt;0,EDATE(C224,1),"")),""),"")</f>
        <v>52110</v>
      </c>
      <c r="D225" s="13">
        <f>IF(ROW()-ROW(הפחתה[[#Headers],[יתרת פתיחה]])=1,סכום_הלוואה,IF(הפחתה[[#This Row],[תאריך]]="",0,INDEX(הפחתה[], ROW()-4,8)))</f>
        <v>345535.19218482071</v>
      </c>
      <c r="E225" s="13">
        <f>IF(ValuesEntered,IF(ROW()-ROW(הפחתה[[#Headers],[ריבית]])=1,-IPMT(שיעור_ריבית/12,1,תקופת_ההלוואה-ROWS($C$4:C225)+1,הפחתה[[#This Row],[יתרת פתיחה]]),IFERROR(-IPMT(שיעור_ריבית/12,1,הפחתה[[#This Row],[תשלומים
שנותרו]],D226),0)),0)</f>
        <v>1518.1385279919732</v>
      </c>
      <c r="F225" s="13">
        <f>IFERROR(IF(AND(ValuesEntered,הפחתה[[#This Row],[תאריך]]&lt;&gt;""),-PPMT(שיעור_ריבית/12,1,תקופת_ההלוואה-ROWS($C$4:C225)+1,הפחתה[[#This Row],[יתרת פתיחה]]),""),0)</f>
        <v>1805.7141489022615</v>
      </c>
      <c r="G225" s="13">
        <f>(הפחתה[[#This Row],[יתרת פתיחה]])*(מדד/12)</f>
        <v>0</v>
      </c>
      <c r="H225" s="13">
        <f>IF(הפחתה[[#This Row],[תאריך]]="",0,הפחתה[[#This Row],[ריבית]]+הפחתה[[#This Row],[קרן]]+הפחתה[[#This Row],[מדד]])</f>
        <v>3323.8526768942347</v>
      </c>
      <c r="I225" s="13">
        <f>IF(הפחתה[[#This Row],[תאריך]]="",0,הפחתה[[#This Row],[יתרת פתיחה]]-הפחתה[[#This Row],[קרן]]+הפחתה[[#This Row],[מדד]])</f>
        <v>343729.47803591844</v>
      </c>
      <c r="J225" s="11">
        <f>IF(הפחתה[[#This Row],[יתרת
סגירה]]&gt;0,LastRow-ROW(),0)</f>
        <v>138</v>
      </c>
      <c r="K225" s="11">
        <f>ROWS($K$4:K225)</f>
        <v>222</v>
      </c>
      <c r="L225" s="12">
        <f>IF(ValuesEntered2,IF(הפחתה5[[#This Row],[מס'']]&lt;=תקופת_ההלוואה2,IF(ROW()-ROW(הפחתה5[[#Headers],[תאריך]])=1,LoanStart2,IF(R224&gt;0,EDATE(L224,1),"")),""),"")</f>
        <v>52110</v>
      </c>
      <c r="M225" s="13">
        <f>IF(ROW()-ROW(הפחתה5[[#Headers],[יתרת פתיחה]])=1,סכום_הלוואה2,IF(הפחתה5[[#This Row],[תאריך]]="",0,INDEX(הפחתה5[], ROW()-4,8)))</f>
        <v>115434.78587425646</v>
      </c>
      <c r="N225" s="13">
        <f>IF(ValuesEntered2,IF(ROW()-ROW(הפחתה5[[#Headers],[ריבית]])=1,-IPMT(שיעור_ריבית2/12,1,תקופת_ההלוואה2-ROWS($L$4:L225)+1,הפחתה5[[#This Row],[יתרת פתיחה]]),IFERROR(-IPMT(שיעור_ריבית2/12,1,הפחתה5[[#This Row],[תשלומים
שנותרו]],M226),0)),0)</f>
        <v>447.22524773189724</v>
      </c>
      <c r="O225" s="13">
        <f>IFERROR(IF(AND(ValuesEntered2,הפחתה5[[#This Row],[תאריך]]&lt;&gt;""),-PPMT(שיעור_ריבית2/12,1,תקופת_ההלוואה2-ROWS($L$4:L225)+1,הפחתה5[[#This Row],[יתרת פתיחה]]),""),0)</f>
        <v>1249.6162405805542</v>
      </c>
      <c r="P225" s="13">
        <f>(הפחתה5[[#This Row],[יתרת פתיחה]])*(מדד2/12)</f>
        <v>0</v>
      </c>
      <c r="Q225" s="13">
        <f>IF(הפחתה5[[#This Row],[תאריך]]="",0,הפחתה5[[#This Row],[ריבית]]+הפחתה5[[#This Row],[קרן]]+הפחתה5[[#This Row],[מדד]])</f>
        <v>1696.8414883124515</v>
      </c>
      <c r="R225" s="13">
        <f>IF(הפחתה5[[#This Row],[תאריך]]="",0,הפחתה5[[#This Row],[יתרת פתיחה]]-הפחתה5[[#This Row],[קרן]]+הפחתה5[[#This Row],[מדד]])</f>
        <v>114185.16963367591</v>
      </c>
      <c r="S225" s="11">
        <f>IF(הפחתה5[[#This Row],[יתרת
סגירה]]&gt;0,LastRow2-ROW(),0)</f>
        <v>78</v>
      </c>
      <c r="T225" s="11">
        <f>ROWS($T$4:T225)</f>
        <v>222</v>
      </c>
      <c r="U225" s="12">
        <f ca="1">IF(ValuesEntered3,IF(הפחתה7[[#This Row],[מס'']]&lt;=תקופת_ההלוואה3,IF(ROW()-ROW(הפחתה7[[#Headers],[תאריך]])=1,LoanStart3,IF(AA224&gt;0,EDATE(U224,1),"")),""),"")</f>
        <v>52346</v>
      </c>
      <c r="V225" s="13">
        <f ca="1">IF(ROW()-ROW(הפחתה7[[#Headers],[יתרת פתיחה]])=1,סכום_הלוואה3,IF(הפחתה7[[#This Row],[תאריך]]="",0,INDEX(הפחתה7[], ROW()-4,8)))</f>
        <v>46506.296898690685</v>
      </c>
      <c r="W225" s="13">
        <f ca="1">IF(ValuesEntered3,IF(ROW()-ROW(הפחתה7[[#Headers],[ריבית]])=1,-IPMT(שיעור_ריבית3/12,1,תקופת_ההלוואה3-ROWS($C$4:U225)+1,הפחתה7[[#This Row],[יתרת פתיחה]]),IFERROR(-IPMT(שיעור_ריבית3/12,1,הפחתה7[[#This Row],[תשלומים
שנותרו]],V226),0)),0)</f>
        <v>88.239502712537302</v>
      </c>
      <c r="X225" s="13">
        <f ca="1">IFERROR(IF(AND(ValuesEntered3,הפחתה7[[#This Row],[תאריך]]&lt;&gt;""),-PPMT(שיעור_ריבית3/12,1,תקופת_ההלוואה3-ROWS($C$4:U225)+1,הפחתה7[[#This Row],[יתרת פתיחה]]),""),0)</f>
        <v>545.80597828498821</v>
      </c>
      <c r="Y225" s="13">
        <f ca="1">(הפחתה7[[#This Row],[יתרת פתיחה]])*(מדד3/12)</f>
        <v>77.510494831151149</v>
      </c>
      <c r="Z225" s="13">
        <f ca="1">IF(הפחתה7[[#This Row],[תאריך]]="",0,הפחתה7[[#This Row],[ריבית]]+הפחתה7[[#This Row],[קרן]]+הפחתה7[[#This Row],[מדד]])</f>
        <v>711.55597582867665</v>
      </c>
      <c r="AA225" s="13">
        <f ca="1">IF(הפחתה7[[#This Row],[תאריך]]="",0,הפחתה7[[#This Row],[יתרת פתיחה]]-הפחתה7[[#This Row],[קרן]]+הפחתה7[[#This Row],[מדד]])</f>
        <v>46038.001415236846</v>
      </c>
      <c r="AB225" s="11">
        <f ca="1">IF(הפחתה7[[#This Row],[יתרת
סגירה]]&gt;0,LastRow3-ROW(),0)</f>
        <v>78</v>
      </c>
      <c r="AC225" s="17">
        <f>ROWS($AC$4:AC225)</f>
        <v>222</v>
      </c>
      <c r="AD225" s="18" t="str">
        <f ca="1">IF(ValuesEntered4,IF(הפחתה8[[#This Row],[מס'']]&lt;=תקופת_ההלוואה4,IF(ROW()-ROW(הפחתה8[[#Headers],[תאריך]])=1,LoanStart4,IF(AJ224&gt;0,EDATE(AD224,1),"")),""),"")</f>
        <v/>
      </c>
      <c r="AE225" s="19">
        <f ca="1">IF(ROW()-ROW(הפחתה8[[#Headers],[יתרת פתיחה]])=1,סכום_הלוואה4,IF(הפחתה8[[#This Row],[תאריך]]="",0,INDEX(הפחתה8[], ROW()-4,8)))</f>
        <v>0</v>
      </c>
      <c r="AF225" s="19">
        <f ca="1">IF(ValuesEntered4,IF(ROW()-ROW(הפחתה8[[#Headers],[ריבית]])=1,-IPMT(שיעור_ריבית4/12,1,תקופת_ההלוואה4-ROWS($C$4:AD225)+1,הפחתה8[[#This Row],[יתרת פתיחה]]),IFERROR(-IPMT(שיעור_ריבית4/12,1,הפחתה8[[#This Row],[תשלומים
שנותרו]],AE226),0)),0)</f>
        <v>0</v>
      </c>
      <c r="AG225" s="19" t="str">
        <f ca="1">IFERROR(IF(AND(ValuesEntered4,הפחתה8[[#This Row],[תאריך]]&lt;&gt;""),-PPMT(שיעור_ריבית4/12,1,תקופת_ההלוואה4-ROWS($C$4:AD225)+1,הפחתה8[[#This Row],[יתרת פתיחה]]),""),0)</f>
        <v/>
      </c>
      <c r="AH225" s="19">
        <f ca="1">(הפחתה8[[#This Row],[יתרת פתיחה]])*(מדד4/12)</f>
        <v>0</v>
      </c>
      <c r="AI225" s="19">
        <f ca="1">IF(הפחתה8[[#This Row],[תאריך]]="",0,הפחתה8[[#This Row],[ריבית]]+הפחתה8[[#This Row],[קרן]]+הפחתה8[[#This Row],[מדד]])</f>
        <v>0</v>
      </c>
      <c r="AJ225" s="19">
        <f ca="1">IF(הפחתה8[[#This Row],[תאריך]]="",0,הפחתה8[[#This Row],[יתרת פתיחה]]-הפחתה8[[#This Row],[קרן]])</f>
        <v>0</v>
      </c>
      <c r="AK225" s="20">
        <f ca="1">IF(הפחתה8[[#This Row],[יתרת
סגירה]]&gt;0,LastRow4-ROW(),0)</f>
        <v>0</v>
      </c>
    </row>
    <row r="226" spans="1:37" ht="15" customHeight="1" x14ac:dyDescent="0.25">
      <c r="A226" s="8"/>
      <c r="B226" s="11">
        <f>ROWS($B$4:B226)</f>
        <v>223</v>
      </c>
      <c r="C226" s="12">
        <f>IF(ValuesEntered,IF(הפחתה[[#This Row],[מס'']]&lt;=תקופת_ההלוואה,IF(ROW()-ROW(הפחתה[[#Headers],[תאריך]])=1,LoanStart,IF(I225&gt;0,EDATE(C225,1),"")),""),"")</f>
        <v>52140</v>
      </c>
      <c r="D226" s="13">
        <f>IF(ROW()-ROW(הפחתה[[#Headers],[יתרת פתיחה]])=1,סכום_הלוואה,IF(הפחתה[[#This Row],[תאריך]]="",0,INDEX(הפחתה[], ROW()-4,8)))</f>
        <v>343729.47803591844</v>
      </c>
      <c r="E226" s="13">
        <f>IF(ValuesEntered,IF(ROW()-ROW(הפחתה[[#Headers],[ריבית]])=1,-IPMT(שיעור_ריבית/12,1,תקופת_ההלוואה-ROWS($C$4:C226)+1,הפחתה[[#This Row],[יתרת פתיחה]]),IFERROR(-IPMT(שיעור_ריבית/12,1,הפחתה[[#This Row],[תשלומים
שנותרו]],D227),0)),0)</f>
        <v>1510.1280665354029</v>
      </c>
      <c r="F226" s="13">
        <f>IFERROR(IF(AND(ValuesEntered,הפחתה[[#This Row],[תאריך]]&lt;&gt;""),-PPMT(שיעור_ריבית/12,1,תקופת_ההלוואה-ROWS($C$4:C226)+1,הפחתה[[#This Row],[יתרת פתיחה]]),""),0)</f>
        <v>1813.689386393246</v>
      </c>
      <c r="G226" s="13">
        <f>(הפחתה[[#This Row],[יתרת פתיחה]])*(מדד/12)</f>
        <v>0</v>
      </c>
      <c r="H226" s="13">
        <f>IF(הפחתה[[#This Row],[תאריך]]="",0,הפחתה[[#This Row],[ריבית]]+הפחתה[[#This Row],[קרן]]+הפחתה[[#This Row],[מדד]])</f>
        <v>3323.8174529286489</v>
      </c>
      <c r="I226" s="13">
        <f>IF(הפחתה[[#This Row],[תאריך]]="",0,הפחתה[[#This Row],[יתרת פתיחה]]-הפחתה[[#This Row],[קרן]]+הפחתה[[#This Row],[מדד]])</f>
        <v>341915.7886495252</v>
      </c>
      <c r="J226" s="11">
        <f>IF(הפחתה[[#This Row],[יתרת
סגירה]]&gt;0,LastRow-ROW(),0)</f>
        <v>137</v>
      </c>
      <c r="K226" s="11">
        <f>ROWS($K$4:K226)</f>
        <v>223</v>
      </c>
      <c r="L226" s="12">
        <f>IF(ValuesEntered2,IF(הפחתה5[[#This Row],[מס'']]&lt;=תקופת_ההלוואה2,IF(ROW()-ROW(הפחתה5[[#Headers],[תאריך]])=1,LoanStart2,IF(R225&gt;0,EDATE(L225,1),"")),""),"")</f>
        <v>52140</v>
      </c>
      <c r="M226" s="13">
        <f>IF(ROW()-ROW(הפחתה5[[#Headers],[יתרת פתיחה]])=1,סכום_הלוואה2,IF(הפחתה5[[#This Row],[תאריך]]="",0,INDEX(הפחתה5[], ROW()-4,8)))</f>
        <v>114185.16963367591</v>
      </c>
      <c r="N226" s="13">
        <f>IF(ValuesEntered2,IF(ROW()-ROW(הפחתה5[[#Headers],[ריבית]])=1,-IPMT(שיעור_ריבית2/12,1,תקופת_ההלוואה2-ROWS($L$4:L226)+1,הפחתה5[[#This Row],[יתרת פתיחה]]),IFERROR(-IPMT(שיעור_ריבית2/12,1,הפחתה5[[#This Row],[תשלומים
שנותרו]],M227),0)),0)</f>
        <v>442.31174799604395</v>
      </c>
      <c r="O226" s="13">
        <f>IFERROR(IF(AND(ValuesEntered2,הפחתה5[[#This Row],[תאריך]]&lt;&gt;""),-PPMT(שיעור_ריבית2/12,1,תקופת_ההלוואה2-ROWS($L$4:L226)+1,הפחתה5[[#This Row],[יתרת פתיחה]]),""),0)</f>
        <v>1254.5105708561614</v>
      </c>
      <c r="P226" s="13">
        <f>(הפחתה5[[#This Row],[יתרת פתיחה]])*(מדד2/12)</f>
        <v>0</v>
      </c>
      <c r="Q226" s="13">
        <f>IF(הפחתה5[[#This Row],[תאריך]]="",0,הפחתה5[[#This Row],[ריבית]]+הפחתה5[[#This Row],[קרן]]+הפחתה5[[#This Row],[מדד]])</f>
        <v>1696.8223188522054</v>
      </c>
      <c r="R226" s="13">
        <f>IF(הפחתה5[[#This Row],[תאריך]]="",0,הפחתה5[[#This Row],[יתרת פתיחה]]-הפחתה5[[#This Row],[קרן]]+הפחתה5[[#This Row],[מדד]])</f>
        <v>112930.65906281974</v>
      </c>
      <c r="S226" s="11">
        <f>IF(הפחתה5[[#This Row],[יתרת
סגירה]]&gt;0,LastRow2-ROW(),0)</f>
        <v>77</v>
      </c>
      <c r="T226" s="11">
        <f>ROWS($T$4:T226)</f>
        <v>223</v>
      </c>
      <c r="U226" s="12">
        <f ca="1">IF(ValuesEntered3,IF(הפחתה7[[#This Row],[מס'']]&lt;=תקופת_ההלוואה3,IF(ROW()-ROW(הפחתה7[[#Headers],[תאריך]])=1,LoanStart3,IF(AA225&gt;0,EDATE(U225,1),"")),""),"")</f>
        <v>52376</v>
      </c>
      <c r="V226" s="13">
        <f ca="1">IF(ROW()-ROW(הפחתה7[[#Headers],[יתרת פתיחה]])=1,סכום_הלוואה3,IF(הפחתה7[[#This Row],[תאריך]]="",0,INDEX(הפחתה7[], ROW()-4,8)))</f>
        <v>46038.001415236846</v>
      </c>
      <c r="W226" s="13">
        <f ca="1">IF(ValuesEntered3,IF(ROW()-ROW(הפחתה7[[#Headers],[ריבית]])=1,-IPMT(שיעור_ריבית3/12,1,תקופת_ההלוואה3-ROWS($C$4:U226)+1,הפחתה7[[#This Row],[יתרת פתיחה]]),IFERROR(-IPMT(שיעור_ריבית3/12,1,הפחתה7[[#This Row],[תשלומים
שנותרו]],V227),0)),0)</f>
        <v>87.336667712506838</v>
      </c>
      <c r="X226" s="13">
        <f ca="1">IFERROR(IF(AND(ValuesEntered3,הפחתה7[[#This Row],[תאריך]]&lt;&gt;""),-PPMT(שיעור_ריבית3/12,1,תקופת_ההלוואה3-ROWS($C$4:U226)+1,הפחתה7[[#This Row],[יתרת פתיחה]]),""),0)</f>
        <v>547.77435020070038</v>
      </c>
      <c r="Y226" s="13">
        <f ca="1">(הפחתה7[[#This Row],[יתרת פתיחה]])*(מדד3/12)</f>
        <v>76.730002358728086</v>
      </c>
      <c r="Z226" s="13">
        <f ca="1">IF(הפחתה7[[#This Row],[תאריך]]="",0,הפחתה7[[#This Row],[ריבית]]+הפחתה7[[#This Row],[קרן]]+הפחתה7[[#This Row],[מדד]])</f>
        <v>711.84102027193535</v>
      </c>
      <c r="AA226" s="13">
        <f ca="1">IF(הפחתה7[[#This Row],[תאריך]]="",0,הפחתה7[[#This Row],[יתרת פתיחה]]-הפחתה7[[#This Row],[קרן]]+הפחתה7[[#This Row],[מדד]])</f>
        <v>45566.957067394877</v>
      </c>
      <c r="AB226" s="11">
        <f ca="1">IF(הפחתה7[[#This Row],[יתרת
סגירה]]&gt;0,LastRow3-ROW(),0)</f>
        <v>77</v>
      </c>
      <c r="AC226" s="17">
        <f>ROWS($AC$4:AC226)</f>
        <v>223</v>
      </c>
      <c r="AD226" s="18" t="str">
        <f ca="1">IF(ValuesEntered4,IF(הפחתה8[[#This Row],[מס'']]&lt;=תקופת_ההלוואה4,IF(ROW()-ROW(הפחתה8[[#Headers],[תאריך]])=1,LoanStart4,IF(AJ225&gt;0,EDATE(AD225,1),"")),""),"")</f>
        <v/>
      </c>
      <c r="AE226" s="19">
        <f ca="1">IF(ROW()-ROW(הפחתה8[[#Headers],[יתרת פתיחה]])=1,סכום_הלוואה4,IF(הפחתה8[[#This Row],[תאריך]]="",0,INDEX(הפחתה8[], ROW()-4,8)))</f>
        <v>0</v>
      </c>
      <c r="AF226" s="19">
        <f ca="1">IF(ValuesEntered4,IF(ROW()-ROW(הפחתה8[[#Headers],[ריבית]])=1,-IPMT(שיעור_ריבית4/12,1,תקופת_ההלוואה4-ROWS($C$4:AD226)+1,הפחתה8[[#This Row],[יתרת פתיחה]]),IFERROR(-IPMT(שיעור_ריבית4/12,1,הפחתה8[[#This Row],[תשלומים
שנותרו]],AE227),0)),0)</f>
        <v>0</v>
      </c>
      <c r="AG226" s="19" t="str">
        <f ca="1">IFERROR(IF(AND(ValuesEntered4,הפחתה8[[#This Row],[תאריך]]&lt;&gt;""),-PPMT(שיעור_ריבית4/12,1,תקופת_ההלוואה4-ROWS($C$4:AD226)+1,הפחתה8[[#This Row],[יתרת פתיחה]]),""),0)</f>
        <v/>
      </c>
      <c r="AH226" s="19">
        <f ca="1">(הפחתה8[[#This Row],[יתרת פתיחה]])*(מדד4/12)</f>
        <v>0</v>
      </c>
      <c r="AI226" s="19">
        <f ca="1">IF(הפחתה8[[#This Row],[תאריך]]="",0,הפחתה8[[#This Row],[ריבית]]+הפחתה8[[#This Row],[קרן]]+הפחתה8[[#This Row],[מדד]])</f>
        <v>0</v>
      </c>
      <c r="AJ226" s="19">
        <f ca="1">IF(הפחתה8[[#This Row],[תאריך]]="",0,הפחתה8[[#This Row],[יתרת פתיחה]]-הפחתה8[[#This Row],[קרן]])</f>
        <v>0</v>
      </c>
      <c r="AK226" s="20">
        <f ca="1">IF(הפחתה8[[#This Row],[יתרת
סגירה]]&gt;0,LastRow4-ROW(),0)</f>
        <v>0</v>
      </c>
    </row>
    <row r="227" spans="1:37" ht="15" customHeight="1" x14ac:dyDescent="0.25">
      <c r="A227" s="8"/>
      <c r="B227" s="11">
        <f>ROWS($B$4:B227)</f>
        <v>224</v>
      </c>
      <c r="C227" s="12">
        <f>IF(ValuesEntered,IF(הפחתה[[#This Row],[מס'']]&lt;=תקופת_ההלוואה,IF(ROW()-ROW(הפחתה[[#Headers],[תאריך]])=1,LoanStart,IF(I226&gt;0,EDATE(C226,1),"")),""),"")</f>
        <v>52171</v>
      </c>
      <c r="D227" s="13">
        <f>IF(ROW()-ROW(הפחתה[[#Headers],[יתרת פתיחה]])=1,סכום_הלוואה,IF(הפחתה[[#This Row],[תאריך]]="",0,INDEX(הפחתה[], ROW()-4,8)))</f>
        <v>341915.7886495252</v>
      </c>
      <c r="E227" s="13">
        <f>IF(ValuesEntered,IF(ROW()-ROW(הפחתה[[#Headers],[ריבית]])=1,-IPMT(שיעור_ריבית/12,1,תקופת_ההלוואה-ROWS($C$4:C227)+1,הפחתה[[#This Row],[יתרת פתיחה]]),IFERROR(-IPMT(שיעור_ריבית/12,1,הפחתה[[#This Row],[תשלומים
שנותרו]],D228),0)),0)</f>
        <v>1502.0822255407329</v>
      </c>
      <c r="F227" s="13">
        <f>IFERROR(IF(AND(ValuesEntered,הפחתה[[#This Row],[תאריך]]&lt;&gt;""),-PPMT(שיעור_ריבית/12,1,תקופת_ההלוואה-ROWS($C$4:C227)+1,הפחתה[[#This Row],[יתרת פתיחה]]),""),0)</f>
        <v>1821.6998478498163</v>
      </c>
      <c r="G227" s="13">
        <f>(הפחתה[[#This Row],[יתרת פתיחה]])*(מדד/12)</f>
        <v>0</v>
      </c>
      <c r="H227" s="13">
        <f>IF(הפחתה[[#This Row],[תאריך]]="",0,הפחתה[[#This Row],[ריבית]]+הפחתה[[#This Row],[קרן]]+הפחתה[[#This Row],[מדד]])</f>
        <v>3323.7820733905492</v>
      </c>
      <c r="I227" s="13">
        <f>IF(הפחתה[[#This Row],[תאריך]]="",0,הפחתה[[#This Row],[יתרת פתיחה]]-הפחתה[[#This Row],[קרן]]+הפחתה[[#This Row],[מדד]])</f>
        <v>340094.08880167536</v>
      </c>
      <c r="J227" s="11">
        <f>IF(הפחתה[[#This Row],[יתרת
סגירה]]&gt;0,LastRow-ROW(),0)</f>
        <v>136</v>
      </c>
      <c r="K227" s="11">
        <f>ROWS($K$4:K227)</f>
        <v>224</v>
      </c>
      <c r="L227" s="12">
        <f>IF(ValuesEntered2,IF(הפחתה5[[#This Row],[מס'']]&lt;=תקופת_ההלוואה2,IF(ROW()-ROW(הפחתה5[[#Headers],[תאריך]])=1,LoanStart2,IF(R226&gt;0,EDATE(L226,1),"")),""),"")</f>
        <v>52171</v>
      </c>
      <c r="M227" s="13">
        <f>IF(ROW()-ROW(הפחתה5[[#Headers],[יתרת פתיחה]])=1,סכום_הלוואה2,IF(הפחתה5[[#This Row],[תאריך]]="",0,INDEX(הפחתה5[], ROW()-4,8)))</f>
        <v>112930.65906281974</v>
      </c>
      <c r="N227" s="13">
        <f>IF(ValuesEntered2,IF(ROW()-ROW(הפחתה5[[#Headers],[ריבית]])=1,-IPMT(שיעור_ריבית2/12,1,תקופת_ההלוואה2-ROWS($L$4:L227)+1,הפחתה5[[#This Row],[יתרת פתיחה]]),IFERROR(-IPMT(שיעור_ריבית2/12,1,הפחתה5[[#This Row],[תשלומים
שנותרו]],M228),0)),0)</f>
        <v>437.37900371955863</v>
      </c>
      <c r="O227" s="13">
        <f>IFERROR(IF(AND(ValuesEntered2,הפחתה5[[#This Row],[תאריך]]&lt;&gt;""),-PPMT(שיעור_ריבית2/12,1,תקופת_ההלוואה2-ROWS($L$4:L227)+1,הפחתה5[[#This Row],[יתרת פתיחה]]),""),0)</f>
        <v>1259.4240705920147</v>
      </c>
      <c r="P227" s="13">
        <f>(הפחתה5[[#This Row],[יתרת פתיחה]])*(מדד2/12)</f>
        <v>0</v>
      </c>
      <c r="Q227" s="13">
        <f>IF(הפחתה5[[#This Row],[תאריך]]="",0,הפחתה5[[#This Row],[ריבית]]+הפחתה5[[#This Row],[קרן]]+הפחתה5[[#This Row],[מדד]])</f>
        <v>1696.8030743115733</v>
      </c>
      <c r="R227" s="13">
        <f>IF(הפחתה5[[#This Row],[תאריך]]="",0,הפחתה5[[#This Row],[יתרת פתיחה]]-הפחתה5[[#This Row],[קרן]]+הפחתה5[[#This Row],[מדד]])</f>
        <v>111671.23499222774</v>
      </c>
      <c r="S227" s="11">
        <f>IF(הפחתה5[[#This Row],[יתרת
סגירה]]&gt;0,LastRow2-ROW(),0)</f>
        <v>76</v>
      </c>
      <c r="T227" s="11">
        <f>ROWS($T$4:T227)</f>
        <v>224</v>
      </c>
      <c r="U227" s="12">
        <f ca="1">IF(ValuesEntered3,IF(הפחתה7[[#This Row],[מס'']]&lt;=תקופת_ההלוואה3,IF(ROW()-ROW(הפחתה7[[#Headers],[תאריך]])=1,LoanStart3,IF(AA226&gt;0,EDATE(U226,1),"")),""),"")</f>
        <v>52407</v>
      </c>
      <c r="V227" s="13">
        <f ca="1">IF(ROW()-ROW(הפחתה7[[#Headers],[יתרת פתיחה]])=1,סכום_הלוואה3,IF(הפחתה7[[#This Row],[תאריך]]="",0,INDEX(הפחתה7[], ROW()-4,8)))</f>
        <v>45566.957067394877</v>
      </c>
      <c r="W227" s="13">
        <f ca="1">IF(ValuesEntered3,IF(ROW()-ROW(הפחתה7[[#Headers],[ריבית]])=1,-IPMT(שיעור_ריבית3/12,1,תקופת_ההלוואה3-ROWS($C$4:U227)+1,הפחתה7[[#This Row],[יתרת פתיחה]]),IFERROR(-IPMT(שיעור_ריבית3/12,1,הפחתה7[[#This Row],[תשלומים
שנותרו]],V228),0)),0)</f>
        <v>86.428541377791362</v>
      </c>
      <c r="X227" s="13">
        <f ca="1">IFERROR(IF(AND(ValuesEntered3,הפחתה7[[#This Row],[תאריך]]&lt;&gt;""),-PPMT(שיעור_ריבית3/12,1,תקופת_ההלוואה3-ROWS($C$4:U227)+1,הפחתה7[[#This Row],[יתרת פתיחה]]),""),0)</f>
        <v>549.74997264504168</v>
      </c>
      <c r="Y227" s="13">
        <f ca="1">(הפחתה7[[#This Row],[יתרת פתיחה]])*(מדד3/12)</f>
        <v>75.944928445658135</v>
      </c>
      <c r="Z227" s="13">
        <f ca="1">IF(הפחתה7[[#This Row],[תאריך]]="",0,הפחתה7[[#This Row],[ריבית]]+הפחתה7[[#This Row],[קרן]]+הפחתה7[[#This Row],[מדד]])</f>
        <v>712.12344246849113</v>
      </c>
      <c r="AA227" s="13">
        <f ca="1">IF(הפחתה7[[#This Row],[תאריך]]="",0,הפחתה7[[#This Row],[יתרת פתיחה]]-הפחתה7[[#This Row],[קרן]]+הפחתה7[[#This Row],[מדד]])</f>
        <v>45093.152023195493</v>
      </c>
      <c r="AB227" s="11">
        <f ca="1">IF(הפחתה7[[#This Row],[יתרת
סגירה]]&gt;0,LastRow3-ROW(),0)</f>
        <v>76</v>
      </c>
      <c r="AC227" s="17">
        <f>ROWS($AC$4:AC227)</f>
        <v>224</v>
      </c>
      <c r="AD227" s="18" t="str">
        <f ca="1">IF(ValuesEntered4,IF(הפחתה8[[#This Row],[מס'']]&lt;=תקופת_ההלוואה4,IF(ROW()-ROW(הפחתה8[[#Headers],[תאריך]])=1,LoanStart4,IF(AJ226&gt;0,EDATE(AD226,1),"")),""),"")</f>
        <v/>
      </c>
      <c r="AE227" s="19">
        <f ca="1">IF(ROW()-ROW(הפחתה8[[#Headers],[יתרת פתיחה]])=1,סכום_הלוואה4,IF(הפחתה8[[#This Row],[תאריך]]="",0,INDEX(הפחתה8[], ROW()-4,8)))</f>
        <v>0</v>
      </c>
      <c r="AF227" s="19">
        <f ca="1">IF(ValuesEntered4,IF(ROW()-ROW(הפחתה8[[#Headers],[ריבית]])=1,-IPMT(שיעור_ריבית4/12,1,תקופת_ההלוואה4-ROWS($C$4:AD227)+1,הפחתה8[[#This Row],[יתרת פתיחה]]),IFERROR(-IPMT(שיעור_ריבית4/12,1,הפחתה8[[#This Row],[תשלומים
שנותרו]],AE228),0)),0)</f>
        <v>0</v>
      </c>
      <c r="AG227" s="19" t="str">
        <f ca="1">IFERROR(IF(AND(ValuesEntered4,הפחתה8[[#This Row],[תאריך]]&lt;&gt;""),-PPMT(שיעור_ריבית4/12,1,תקופת_ההלוואה4-ROWS($C$4:AD227)+1,הפחתה8[[#This Row],[יתרת פתיחה]]),""),0)</f>
        <v/>
      </c>
      <c r="AH227" s="19">
        <f ca="1">(הפחתה8[[#This Row],[יתרת פתיחה]])*(מדד4/12)</f>
        <v>0</v>
      </c>
      <c r="AI227" s="19">
        <f ca="1">IF(הפחתה8[[#This Row],[תאריך]]="",0,הפחתה8[[#This Row],[ריבית]]+הפחתה8[[#This Row],[קרן]]+הפחתה8[[#This Row],[מדד]])</f>
        <v>0</v>
      </c>
      <c r="AJ227" s="19">
        <f ca="1">IF(הפחתה8[[#This Row],[תאריך]]="",0,הפחתה8[[#This Row],[יתרת פתיחה]]-הפחתה8[[#This Row],[קרן]])</f>
        <v>0</v>
      </c>
      <c r="AK227" s="20">
        <f ca="1">IF(הפחתה8[[#This Row],[יתרת
סגירה]]&gt;0,LastRow4-ROW(),0)</f>
        <v>0</v>
      </c>
    </row>
    <row r="228" spans="1:37" ht="15" customHeight="1" x14ac:dyDescent="0.25">
      <c r="A228" s="8"/>
      <c r="B228" s="11">
        <f>ROWS($B$4:B228)</f>
        <v>225</v>
      </c>
      <c r="C228" s="12">
        <f>IF(ValuesEntered,IF(הפחתה[[#This Row],[מס'']]&lt;=תקופת_ההלוואה,IF(ROW()-ROW(הפחתה[[#Headers],[תאריך]])=1,LoanStart,IF(I227&gt;0,EDATE(C227,1),"")),""),"")</f>
        <v>52201</v>
      </c>
      <c r="D228" s="13">
        <f>IF(ROW()-ROW(הפחתה[[#Headers],[יתרת פתיחה]])=1,סכום_הלוואה,IF(הפחתה[[#This Row],[תאריך]]="",0,INDEX(הפחתה[], ROW()-4,8)))</f>
        <v>340094.08880167536</v>
      </c>
      <c r="E228" s="13">
        <f>IF(ValuesEntered,IF(ROW()-ROW(הפחתה[[#Headers],[ריבית]])=1,-IPMT(שיעור_ריבית/12,1,תקופת_ההלוואה-ROWS($C$4:C228)+1,הפחתה[[#This Row],[יתרת פתיחה]]),IFERROR(-IPMT(שיעור_ריבית/12,1,הפחתה[[#This Row],[תשלומים
שנותרו]],D229),0)),0)</f>
        <v>1494.0008487483365</v>
      </c>
      <c r="F228" s="13">
        <f>IFERROR(IF(AND(ValuesEntered,הפחתה[[#This Row],[תאריך]]&lt;&gt;""),-PPMT(שיעור_ריבית/12,1,תקופת_ההלוואה-ROWS($C$4:C228)+1,הפחתה[[#This Row],[יתרת פתיחה]]),""),0)</f>
        <v>1829.745688844486</v>
      </c>
      <c r="G228" s="13">
        <f>(הפחתה[[#This Row],[יתרת פתיחה]])*(מדד/12)</f>
        <v>0</v>
      </c>
      <c r="H228" s="13">
        <f>IF(הפחתה[[#This Row],[תאריך]]="",0,הפחתה[[#This Row],[ריבית]]+הפחתה[[#This Row],[קרן]]+הפחתה[[#This Row],[מדד]])</f>
        <v>3323.7465375928223</v>
      </c>
      <c r="I228" s="13">
        <f>IF(הפחתה[[#This Row],[תאריך]]="",0,הפחתה[[#This Row],[יתרת פתיחה]]-הפחתה[[#This Row],[קרן]]+הפחתה[[#This Row],[מדד]])</f>
        <v>338264.34311283089</v>
      </c>
      <c r="J228" s="11">
        <f>IF(הפחתה[[#This Row],[יתרת
סגירה]]&gt;0,LastRow-ROW(),0)</f>
        <v>135</v>
      </c>
      <c r="K228" s="11">
        <f>ROWS($K$4:K228)</f>
        <v>225</v>
      </c>
      <c r="L228" s="12">
        <f>IF(ValuesEntered2,IF(הפחתה5[[#This Row],[מס'']]&lt;=תקופת_ההלוואה2,IF(ROW()-ROW(הפחתה5[[#Headers],[תאריך]])=1,LoanStart2,IF(R227&gt;0,EDATE(L227,1),"")),""),"")</f>
        <v>52201</v>
      </c>
      <c r="M228" s="13">
        <f>IF(ROW()-ROW(הפחתה5[[#Headers],[יתרת פתיחה]])=1,סכום_הלוואה2,IF(הפחתה5[[#This Row],[תאריך]]="",0,INDEX(הפחתה5[], ROW()-4,8)))</f>
        <v>111671.23499222774</v>
      </c>
      <c r="N228" s="13">
        <f>IF(ValuesEntered2,IF(ROW()-ROW(הפחתה5[[#Headers],[ריבית]])=1,-IPMT(שיעור_ריבית2/12,1,תקופת_ההלוואה2-ROWS($L$4:L228)+1,הפחתה5[[#This Row],[יתרת פתיחה]]),IFERROR(-IPMT(שיעור_ריבית2/12,1,הפחתה5[[#This Row],[תשלומים
שנותרו]],M229),0)),0)</f>
        <v>432.42693952799033</v>
      </c>
      <c r="O228" s="13">
        <f>IFERROR(IF(AND(ValuesEntered2,הפחתה5[[#This Row],[תאריך]]&lt;&gt;""),-PPMT(שיעור_ריבית2/12,1,תקופת_ההלוואה2-ROWS($L$4:L228)+1,הפחתה5[[#This Row],[יתרת פתיחה]]),""),0)</f>
        <v>1264.3568148685004</v>
      </c>
      <c r="P228" s="13">
        <f>(הפחתה5[[#This Row],[יתרת פתיחה]])*(מדד2/12)</f>
        <v>0</v>
      </c>
      <c r="Q228" s="13">
        <f>IF(הפחתה5[[#This Row],[תאריך]]="",0,הפחתה5[[#This Row],[ריבית]]+הפחתה5[[#This Row],[קרן]]+הפחתה5[[#This Row],[מדד]])</f>
        <v>1696.7837543964906</v>
      </c>
      <c r="R228" s="13">
        <f>IF(הפחתה5[[#This Row],[תאריך]]="",0,הפחתה5[[#This Row],[יתרת פתיחה]]-הפחתה5[[#This Row],[קרן]]+הפחתה5[[#This Row],[מדד]])</f>
        <v>110406.87817735923</v>
      </c>
      <c r="S228" s="11">
        <f>IF(הפחתה5[[#This Row],[יתרת
סגירה]]&gt;0,LastRow2-ROW(),0)</f>
        <v>75</v>
      </c>
      <c r="T228" s="11">
        <f>ROWS($T$4:T228)</f>
        <v>225</v>
      </c>
      <c r="U228" s="12">
        <f ca="1">IF(ValuesEntered3,IF(הפחתה7[[#This Row],[מס'']]&lt;=תקופת_ההלוואה3,IF(ROW()-ROW(הפחתה7[[#Headers],[תאריך]])=1,LoanStart3,IF(AA227&gt;0,EDATE(U227,1),"")),""),"")</f>
        <v>52437</v>
      </c>
      <c r="V228" s="13">
        <f ca="1">IF(ROW()-ROW(הפחתה7[[#Headers],[יתרת פתיחה]])=1,סכום_הלוואה3,IF(הפחתה7[[#This Row],[תאריך]]="",0,INDEX(הפחתה7[], ROW()-4,8)))</f>
        <v>45093.152023195493</v>
      </c>
      <c r="W228" s="13">
        <f ca="1">IF(ValuesEntered3,IF(ROW()-ROW(הפחתה7[[#Headers],[ריבית]])=1,-IPMT(שיעור_ריבית3/12,1,תקופת_ההלוואה3-ROWS($C$4:U228)+1,הפחתה7[[#This Row],[יתרת פתיחה]]),IFERROR(-IPMT(שיעור_ריבית3/12,1,הפחתה7[[#This Row],[תשלומים
שנותרו]],V229),0)),0)</f>
        <v>85.515100932734356</v>
      </c>
      <c r="X228" s="13">
        <f ca="1">IFERROR(IF(AND(ValuesEntered3,הפחתה7[[#This Row],[תאריך]]&lt;&gt;""),-PPMT(שיעור_ריבית3/12,1,תקופת_ההלוואה3-ROWS($C$4:U228)+1,הפחתה7[[#This Row],[יתרת פתיחה]]),""),0)</f>
        <v>551.73287687998982</v>
      </c>
      <c r="Y228" s="13">
        <f ca="1">(הפחתה7[[#This Row],[יתרת פתיחה]])*(מדד3/12)</f>
        <v>75.155253371992487</v>
      </c>
      <c r="Z228" s="13">
        <f ca="1">IF(הפחתה7[[#This Row],[תאריך]]="",0,הפחתה7[[#This Row],[ריבית]]+הפחתה7[[#This Row],[קרן]]+הפחתה7[[#This Row],[מדד]])</f>
        <v>712.40323118471667</v>
      </c>
      <c r="AA228" s="13">
        <f ca="1">IF(הפחתה7[[#This Row],[תאריך]]="",0,הפחתה7[[#This Row],[יתרת פתיחה]]-הפחתה7[[#This Row],[קרן]]+הפחתה7[[#This Row],[מדד]])</f>
        <v>44616.574399687495</v>
      </c>
      <c r="AB228" s="11">
        <f ca="1">IF(הפחתה7[[#This Row],[יתרת
סגירה]]&gt;0,LastRow3-ROW(),0)</f>
        <v>75</v>
      </c>
      <c r="AC228" s="17">
        <f>ROWS($AC$4:AC228)</f>
        <v>225</v>
      </c>
      <c r="AD228" s="18" t="str">
        <f ca="1">IF(ValuesEntered4,IF(הפחתה8[[#This Row],[מס'']]&lt;=תקופת_ההלוואה4,IF(ROW()-ROW(הפחתה8[[#Headers],[תאריך]])=1,LoanStart4,IF(AJ227&gt;0,EDATE(AD227,1),"")),""),"")</f>
        <v/>
      </c>
      <c r="AE228" s="19">
        <f ca="1">IF(ROW()-ROW(הפחתה8[[#Headers],[יתרת פתיחה]])=1,סכום_הלוואה4,IF(הפחתה8[[#This Row],[תאריך]]="",0,INDEX(הפחתה8[], ROW()-4,8)))</f>
        <v>0</v>
      </c>
      <c r="AF228" s="19">
        <f ca="1">IF(ValuesEntered4,IF(ROW()-ROW(הפחתה8[[#Headers],[ריבית]])=1,-IPMT(שיעור_ריבית4/12,1,תקופת_ההלוואה4-ROWS($C$4:AD228)+1,הפחתה8[[#This Row],[יתרת פתיחה]]),IFERROR(-IPMT(שיעור_ריבית4/12,1,הפחתה8[[#This Row],[תשלומים
שנותרו]],AE229),0)),0)</f>
        <v>0</v>
      </c>
      <c r="AG228" s="19" t="str">
        <f ca="1">IFERROR(IF(AND(ValuesEntered4,הפחתה8[[#This Row],[תאריך]]&lt;&gt;""),-PPMT(שיעור_ריבית4/12,1,תקופת_ההלוואה4-ROWS($C$4:AD228)+1,הפחתה8[[#This Row],[יתרת פתיחה]]),""),0)</f>
        <v/>
      </c>
      <c r="AH228" s="19">
        <f ca="1">(הפחתה8[[#This Row],[יתרת פתיחה]])*(מדד4/12)</f>
        <v>0</v>
      </c>
      <c r="AI228" s="19">
        <f ca="1">IF(הפחתה8[[#This Row],[תאריך]]="",0,הפחתה8[[#This Row],[ריבית]]+הפחתה8[[#This Row],[קרן]]+הפחתה8[[#This Row],[מדד]])</f>
        <v>0</v>
      </c>
      <c r="AJ228" s="19">
        <f ca="1">IF(הפחתה8[[#This Row],[תאריך]]="",0,הפחתה8[[#This Row],[יתרת פתיחה]]-הפחתה8[[#This Row],[קרן]])</f>
        <v>0</v>
      </c>
      <c r="AK228" s="20">
        <f ca="1">IF(הפחתה8[[#This Row],[יתרת
סגירה]]&gt;0,LastRow4-ROW(),0)</f>
        <v>0</v>
      </c>
    </row>
    <row r="229" spans="1:37" ht="15" customHeight="1" x14ac:dyDescent="0.25">
      <c r="A229" s="8"/>
      <c r="B229" s="11">
        <f>ROWS($B$4:B229)</f>
        <v>226</v>
      </c>
      <c r="C229" s="12">
        <f>IF(ValuesEntered,IF(הפחתה[[#This Row],[מס'']]&lt;=תקופת_ההלוואה,IF(ROW()-ROW(הפחתה[[#Headers],[תאריך]])=1,LoanStart,IF(I228&gt;0,EDATE(C228,1),"")),""),"")</f>
        <v>52232</v>
      </c>
      <c r="D229" s="13">
        <f>IF(ROW()-ROW(הפחתה[[#Headers],[יתרת פתיחה]])=1,סכום_הלוואה,IF(הפחתה[[#This Row],[תאריך]]="",0,INDEX(הפחתה[], ROW()-4,8)))</f>
        <v>338264.34311283089</v>
      </c>
      <c r="E229" s="13">
        <f>IF(ValuesEntered,IF(ROW()-ROW(הפחתה[[#Headers],[ריבית]])=1,-IPMT(שיעור_ריבית/12,1,תקופת_ההלוואה-ROWS($C$4:C229)+1,הפחתה[[#This Row],[יתרת פתיחה]]),IFERROR(-IPMT(שיעור_ריבית/12,1,הפחתה[[#This Row],[תשלומים
שנותרו]],D230),0)),0)</f>
        <v>1485.8837792084403</v>
      </c>
      <c r="F229" s="13">
        <f>IFERROR(IF(AND(ValuesEntered,הפחתה[[#This Row],[תאריך]]&lt;&gt;""),-PPMT(שיעור_ריבית/12,1,תקופת_ההלוואה-ROWS($C$4:C229)+1,הפחתה[[#This Row],[יתרת פתיחה]]),""),0)</f>
        <v>1837.8270656368827</v>
      </c>
      <c r="G229" s="13">
        <f>(הפחתה[[#This Row],[יתרת פתיחה]])*(מדד/12)</f>
        <v>0</v>
      </c>
      <c r="H229" s="13">
        <f>IF(הפחתה[[#This Row],[תאריך]]="",0,הפחתה[[#This Row],[ריבית]]+הפחתה[[#This Row],[קרן]]+הפחתה[[#This Row],[מדד]])</f>
        <v>3323.7108448453228</v>
      </c>
      <c r="I229" s="13">
        <f>IF(הפחתה[[#This Row],[תאריך]]="",0,הפחתה[[#This Row],[יתרת פתיחה]]-הפחתה[[#This Row],[קרן]]+הפחתה[[#This Row],[מדד]])</f>
        <v>336426.51604719402</v>
      </c>
      <c r="J229" s="11">
        <f>IF(הפחתה[[#This Row],[יתרת
סגירה]]&gt;0,LastRow-ROW(),0)</f>
        <v>134</v>
      </c>
      <c r="K229" s="11">
        <f>ROWS($K$4:K229)</f>
        <v>226</v>
      </c>
      <c r="L229" s="12">
        <f>IF(ValuesEntered2,IF(הפחתה5[[#This Row],[מס'']]&lt;=תקופת_ההלוואה2,IF(ROW()-ROW(הפחתה5[[#Headers],[תאריך]])=1,LoanStart2,IF(R228&gt;0,EDATE(L228,1),"")),""),"")</f>
        <v>52232</v>
      </c>
      <c r="M229" s="13">
        <f>IF(ROW()-ROW(הפחתה5[[#Headers],[יתרת פתיחה]])=1,סכום_הלוואה2,IF(הפחתה5[[#This Row],[תאריך]]="",0,INDEX(הפחתה5[], ROW()-4,8)))</f>
        <v>110406.87817735923</v>
      </c>
      <c r="N229" s="13">
        <f>IF(ValuesEntered2,IF(ROW()-ROW(הפחתה5[[#Headers],[ריבית]])=1,-IPMT(שיעור_ריבית2/12,1,תקופת_ההלוואה2-ROWS($L$4:L229)+1,הפחתה5[[#This Row],[יתרת פתיחה]]),IFERROR(-IPMT(שיעור_ריבית2/12,1,הפחתה5[[#This Row],[תשלומים
שנותרו]],M230),0)),0)</f>
        <v>427.4554797516717</v>
      </c>
      <c r="O229" s="13">
        <f>IFERROR(IF(AND(ValuesEntered2,הפחתה5[[#This Row],[תאריך]]&lt;&gt;""),-PPMT(שיעור_ריבית2/12,1,תקופת_ההלוואה2-ROWS($L$4:L229)+1,הפחתה5[[#This Row],[יתרת פתיחה]]),""),0)</f>
        <v>1269.3088790600682</v>
      </c>
      <c r="P229" s="13">
        <f>(הפחתה5[[#This Row],[יתרת פתיחה]])*(מדד2/12)</f>
        <v>0</v>
      </c>
      <c r="Q229" s="13">
        <f>IF(הפחתה5[[#This Row],[תאריך]]="",0,הפחתה5[[#This Row],[ריבית]]+הפחתה5[[#This Row],[קרן]]+הפחתה5[[#This Row],[מדד]])</f>
        <v>1696.7643588117398</v>
      </c>
      <c r="R229" s="13">
        <f>IF(הפחתה5[[#This Row],[תאריך]]="",0,הפחתה5[[#This Row],[יתרת פתיחה]]-הפחתה5[[#This Row],[קרן]]+הפחתה5[[#This Row],[מדד]])</f>
        <v>109137.56929829916</v>
      </c>
      <c r="S229" s="11">
        <f>IF(הפחתה5[[#This Row],[יתרת
סגירה]]&gt;0,LastRow2-ROW(),0)</f>
        <v>74</v>
      </c>
      <c r="T229" s="11">
        <f>ROWS($T$4:T229)</f>
        <v>226</v>
      </c>
      <c r="U229" s="12">
        <f ca="1">IF(ValuesEntered3,IF(הפחתה7[[#This Row],[מס'']]&lt;=תקופת_ההלוואה3,IF(ROW()-ROW(הפחתה7[[#Headers],[תאריך]])=1,LoanStart3,IF(AA228&gt;0,EDATE(U228,1),"")),""),"")</f>
        <v>52468</v>
      </c>
      <c r="V229" s="13">
        <f ca="1">IF(ROW()-ROW(הפחתה7[[#Headers],[יתרת פתיחה]])=1,סכום_הלוואה3,IF(הפחתה7[[#This Row],[תאריך]]="",0,INDEX(הפחתה7[], ROW()-4,8)))</f>
        <v>44616.574399687495</v>
      </c>
      <c r="W229" s="13">
        <f ca="1">IF(ValuesEntered3,IF(ROW()-ROW(הפחתה7[[#Headers],[ריבית]])=1,-IPMT(שיעור_ריבית3/12,1,תקופת_ההלוואה3-ROWS($C$4:U229)+1,הפחתה7[[#This Row],[יתרת פתיחה]]),IFERROR(-IPMT(שיעור_ריבית3/12,1,הפחתה7[[#This Row],[תשלומים
שנותרו]],V230),0)),0)</f>
        <v>84.59632350318094</v>
      </c>
      <c r="X229" s="13">
        <f ca="1">IFERROR(IF(AND(ValuesEntered3,הפחתה7[[#This Row],[תאריך]]&lt;&gt;""),-PPMT(שיעור_ריבית3/12,1,תקופת_ההלוואה3-ROWS($C$4:U229)+1,הפחתה7[[#This Row],[יתרת פתיחה]]),""),0)</f>
        <v>553.72309449112333</v>
      </c>
      <c r="Y229" s="13">
        <f ca="1">(הפחתה7[[#This Row],[יתרת פתיחה]])*(מדד3/12)</f>
        <v>74.360957332812504</v>
      </c>
      <c r="Z229" s="13">
        <f ca="1">IF(הפחתה7[[#This Row],[תאריך]]="",0,הפחתה7[[#This Row],[ריבית]]+הפחתה7[[#This Row],[קרן]]+הפחתה7[[#This Row],[מדד]])</f>
        <v>712.68037532711685</v>
      </c>
      <c r="AA229" s="13">
        <f ca="1">IF(הפחתה7[[#This Row],[תאריך]]="",0,הפחתה7[[#This Row],[יתרת פתיחה]]-הפחתה7[[#This Row],[קרן]]+הפחתה7[[#This Row],[מדד]])</f>
        <v>44137.212262529189</v>
      </c>
      <c r="AB229" s="11">
        <f ca="1">IF(הפחתה7[[#This Row],[יתרת
סגירה]]&gt;0,LastRow3-ROW(),0)</f>
        <v>74</v>
      </c>
      <c r="AC229" s="17">
        <f>ROWS($AC$4:AC229)</f>
        <v>226</v>
      </c>
      <c r="AD229" s="18" t="str">
        <f ca="1">IF(ValuesEntered4,IF(הפחתה8[[#This Row],[מס'']]&lt;=תקופת_ההלוואה4,IF(ROW()-ROW(הפחתה8[[#Headers],[תאריך]])=1,LoanStart4,IF(AJ228&gt;0,EDATE(AD228,1),"")),""),"")</f>
        <v/>
      </c>
      <c r="AE229" s="19">
        <f ca="1">IF(ROW()-ROW(הפחתה8[[#Headers],[יתרת פתיחה]])=1,סכום_הלוואה4,IF(הפחתה8[[#This Row],[תאריך]]="",0,INDEX(הפחתה8[], ROW()-4,8)))</f>
        <v>0</v>
      </c>
      <c r="AF229" s="19">
        <f ca="1">IF(ValuesEntered4,IF(ROW()-ROW(הפחתה8[[#Headers],[ריבית]])=1,-IPMT(שיעור_ריבית4/12,1,תקופת_ההלוואה4-ROWS($C$4:AD229)+1,הפחתה8[[#This Row],[יתרת פתיחה]]),IFERROR(-IPMT(שיעור_ריבית4/12,1,הפחתה8[[#This Row],[תשלומים
שנותרו]],AE230),0)),0)</f>
        <v>0</v>
      </c>
      <c r="AG229" s="19" t="str">
        <f ca="1">IFERROR(IF(AND(ValuesEntered4,הפחתה8[[#This Row],[תאריך]]&lt;&gt;""),-PPMT(שיעור_ריבית4/12,1,תקופת_ההלוואה4-ROWS($C$4:AD229)+1,הפחתה8[[#This Row],[יתרת פתיחה]]),""),0)</f>
        <v/>
      </c>
      <c r="AH229" s="19">
        <f ca="1">(הפחתה8[[#This Row],[יתרת פתיחה]])*(מדד4/12)</f>
        <v>0</v>
      </c>
      <c r="AI229" s="19">
        <f ca="1">IF(הפחתה8[[#This Row],[תאריך]]="",0,הפחתה8[[#This Row],[ריבית]]+הפחתה8[[#This Row],[קרן]]+הפחתה8[[#This Row],[מדד]])</f>
        <v>0</v>
      </c>
      <c r="AJ229" s="19">
        <f ca="1">IF(הפחתה8[[#This Row],[תאריך]]="",0,הפחתה8[[#This Row],[יתרת פתיחה]]-הפחתה8[[#This Row],[קרן]])</f>
        <v>0</v>
      </c>
      <c r="AK229" s="20">
        <f ca="1">IF(הפחתה8[[#This Row],[יתרת
סגירה]]&gt;0,LastRow4-ROW(),0)</f>
        <v>0</v>
      </c>
    </row>
    <row r="230" spans="1:37" ht="15" customHeight="1" x14ac:dyDescent="0.25">
      <c r="A230" s="8"/>
      <c r="B230" s="11">
        <f>ROWS($B$4:B230)</f>
        <v>227</v>
      </c>
      <c r="C230" s="12">
        <f>IF(ValuesEntered,IF(הפחתה[[#This Row],[מס'']]&lt;=תקופת_ההלוואה,IF(ROW()-ROW(הפחתה[[#Headers],[תאריך]])=1,LoanStart,IF(I229&gt;0,EDATE(C229,1),"")),""),"")</f>
        <v>52263</v>
      </c>
      <c r="D230" s="13">
        <f>IF(ROW()-ROW(הפחתה[[#Headers],[יתרת פתיחה]])=1,סכום_הלוואה,IF(הפחתה[[#This Row],[תאריך]]="",0,INDEX(הפחתה[], ROW()-4,8)))</f>
        <v>336426.51604719402</v>
      </c>
      <c r="E230" s="13">
        <f>IF(ValuesEntered,IF(ROW()-ROW(הפחתה[[#Headers],[ריבית]])=1,-IPMT(שיעור_ריבית/12,1,תקופת_ההלוואה-ROWS($C$4:C230)+1,הפחתה[[#This Row],[יתרת פתיחה]]),IFERROR(-IPMT(שיעור_ריבית/12,1,הפחתה[[#This Row],[תשלומים
שנותרו]],D231),0)),0)</f>
        <v>1477.7308592780762</v>
      </c>
      <c r="F230" s="13">
        <f>IFERROR(IF(AND(ValuesEntered,הפחתה[[#This Row],[תאריך]]&lt;&gt;""),-PPMT(שיעור_ריבית/12,1,תקופת_ההלוואה-ROWS($C$4:C230)+1,הפחתה[[#This Row],[יתרת פתיחה]]),""),0)</f>
        <v>1845.9441351767791</v>
      </c>
      <c r="G230" s="13">
        <f>(הפחתה[[#This Row],[יתרת פתיחה]])*(מדד/12)</f>
        <v>0</v>
      </c>
      <c r="H230" s="13">
        <f>IF(הפחתה[[#This Row],[תאריך]]="",0,הפחתה[[#This Row],[ריבית]]+הפחתה[[#This Row],[קרן]]+הפחתה[[#This Row],[מדד]])</f>
        <v>3323.6749944548556</v>
      </c>
      <c r="I230" s="13">
        <f>IF(הפחתה[[#This Row],[תאריך]]="",0,הפחתה[[#This Row],[יתרת פתיחה]]-הפחתה[[#This Row],[קרן]]+הפחתה[[#This Row],[מדד]])</f>
        <v>334580.57191201724</v>
      </c>
      <c r="J230" s="11">
        <f>IF(הפחתה[[#This Row],[יתרת
סגירה]]&gt;0,LastRow-ROW(),0)</f>
        <v>133</v>
      </c>
      <c r="K230" s="11">
        <f>ROWS($K$4:K230)</f>
        <v>227</v>
      </c>
      <c r="L230" s="12">
        <f>IF(ValuesEntered2,IF(הפחתה5[[#This Row],[מס'']]&lt;=תקופת_ההלוואה2,IF(ROW()-ROW(הפחתה5[[#Headers],[תאריך]])=1,LoanStart2,IF(R229&gt;0,EDATE(L229,1),"")),""),"")</f>
        <v>52263</v>
      </c>
      <c r="M230" s="13">
        <f>IF(ROW()-ROW(הפחתה5[[#Headers],[יתרת פתיחה]])=1,סכום_הלוואה2,IF(הפחתה5[[#This Row],[תאריך]]="",0,INDEX(הפחתה5[], ROW()-4,8)))</f>
        <v>109137.56929829916</v>
      </c>
      <c r="N230" s="13">
        <f>IF(ValuesEntered2,IF(ROW()-ROW(הפחתה5[[#Headers],[ריבית]])=1,-IPMT(שיעור_ריבית2/12,1,תקופת_ההלוואה2-ROWS($L$4:L230)+1,הפחתה5[[#This Row],[יתרת פתיחה]]),IFERROR(-IPMT(שיעור_ריבית2/12,1,הפחתה5[[#This Row],[תשלומים
שנותרו]],M231),0)),0)</f>
        <v>422.46454842456251</v>
      </c>
      <c r="O230" s="13">
        <f>IFERROR(IF(AND(ValuesEntered2,הפחתה5[[#This Row],[תאריך]]&lt;&gt;""),-PPMT(שיעור_ריבית2/12,1,תקופת_ההלוואה2-ROWS($L$4:L230)+1,הפחתה5[[#This Row],[יתרת פתיחה]]),""),0)</f>
        <v>1274.2803388363873</v>
      </c>
      <c r="P230" s="13">
        <f>(הפחתה5[[#This Row],[יתרת פתיחה]])*(מדד2/12)</f>
        <v>0</v>
      </c>
      <c r="Q230" s="13">
        <f>IF(הפחתה5[[#This Row],[תאריך]]="",0,הפחתה5[[#This Row],[ריבית]]+הפחתה5[[#This Row],[קרן]]+הפחתה5[[#This Row],[מדד]])</f>
        <v>1696.7448872609498</v>
      </c>
      <c r="R230" s="13">
        <f>IF(הפחתה5[[#This Row],[תאריך]]="",0,הפחתה5[[#This Row],[יתרת פתיחה]]-הפחתה5[[#This Row],[קרן]]+הפחתה5[[#This Row],[מדד]])</f>
        <v>107863.28895946278</v>
      </c>
      <c r="S230" s="11">
        <f>IF(הפחתה5[[#This Row],[יתרת
סגירה]]&gt;0,LastRow2-ROW(),0)</f>
        <v>73</v>
      </c>
      <c r="T230" s="11">
        <f>ROWS($T$4:T230)</f>
        <v>227</v>
      </c>
      <c r="U230" s="12">
        <f ca="1">IF(ValuesEntered3,IF(הפחתה7[[#This Row],[מס'']]&lt;=תקופת_ההלוואה3,IF(ROW()-ROW(הפחתה7[[#Headers],[תאריך]])=1,LoanStart3,IF(AA229&gt;0,EDATE(U229,1),"")),""),"")</f>
        <v>52499</v>
      </c>
      <c r="V230" s="13">
        <f ca="1">IF(ROW()-ROW(הפחתה7[[#Headers],[יתרת פתיחה]])=1,סכום_הלוואה3,IF(הפחתה7[[#This Row],[תאריך]]="",0,INDEX(הפחתה7[], ROW()-4,8)))</f>
        <v>44137.212262529189</v>
      </c>
      <c r="W230" s="13">
        <f ca="1">IF(ValuesEntered3,IF(ROW()-ROW(הפחתה7[[#Headers],[ריבית]])=1,-IPMT(שיעור_ריבית3/12,1,תקופת_ההלוואה3-ROWS($C$4:U230)+1,הפחתה7[[#This Row],[יתרת פתיחה]]),IFERROR(-IPMT(שיעור_ריבית3/12,1,הפחתה7[[#This Row],[תשלומים
שנותרו]],V231),0)),0)</f>
        <v>83.672186115669163</v>
      </c>
      <c r="X230" s="13">
        <f ca="1">IFERROR(IF(AND(ValuesEntered3,הפחתה7[[#This Row],[תאריך]]&lt;&gt;""),-PPMT(שיעור_ריבית3/12,1,תקופת_ההלוואה3-ROWS($C$4:U230)+1,הפחתה7[[#This Row],[יתרת פתיחה]]),""),0)</f>
        <v>555.72065740022219</v>
      </c>
      <c r="Y230" s="13">
        <f ca="1">(הפחתה7[[#This Row],[יתרת פתיחה]])*(מדד3/12)</f>
        <v>73.562020437548654</v>
      </c>
      <c r="Z230" s="13">
        <f ca="1">IF(הפחתה7[[#This Row],[תאריך]]="",0,הפחתה7[[#This Row],[ריבית]]+הפחתה7[[#This Row],[קרן]]+הפחתה7[[#This Row],[מדד]])</f>
        <v>712.95486395344005</v>
      </c>
      <c r="AA230" s="13">
        <f ca="1">IF(הפחתה7[[#This Row],[תאריך]]="",0,הפחתה7[[#This Row],[יתרת פתיחה]]-הפחתה7[[#This Row],[קרן]]+הפחתה7[[#This Row],[מדד]])</f>
        <v>43655.053625566521</v>
      </c>
      <c r="AB230" s="11">
        <f ca="1">IF(הפחתה7[[#This Row],[יתרת
סגירה]]&gt;0,LastRow3-ROW(),0)</f>
        <v>73</v>
      </c>
      <c r="AC230" s="17">
        <f>ROWS($AC$4:AC230)</f>
        <v>227</v>
      </c>
      <c r="AD230" s="18" t="str">
        <f ca="1">IF(ValuesEntered4,IF(הפחתה8[[#This Row],[מס'']]&lt;=תקופת_ההלוואה4,IF(ROW()-ROW(הפחתה8[[#Headers],[תאריך]])=1,LoanStart4,IF(AJ229&gt;0,EDATE(AD229,1),"")),""),"")</f>
        <v/>
      </c>
      <c r="AE230" s="19">
        <f ca="1">IF(ROW()-ROW(הפחתה8[[#Headers],[יתרת פתיחה]])=1,סכום_הלוואה4,IF(הפחתה8[[#This Row],[תאריך]]="",0,INDEX(הפחתה8[], ROW()-4,8)))</f>
        <v>0</v>
      </c>
      <c r="AF230" s="19">
        <f ca="1">IF(ValuesEntered4,IF(ROW()-ROW(הפחתה8[[#Headers],[ריבית]])=1,-IPMT(שיעור_ריבית4/12,1,תקופת_ההלוואה4-ROWS($C$4:AD230)+1,הפחתה8[[#This Row],[יתרת פתיחה]]),IFERROR(-IPMT(שיעור_ריבית4/12,1,הפחתה8[[#This Row],[תשלומים
שנותרו]],AE231),0)),0)</f>
        <v>0</v>
      </c>
      <c r="AG230" s="19" t="str">
        <f ca="1">IFERROR(IF(AND(ValuesEntered4,הפחתה8[[#This Row],[תאריך]]&lt;&gt;""),-PPMT(שיעור_ריבית4/12,1,תקופת_ההלוואה4-ROWS($C$4:AD230)+1,הפחתה8[[#This Row],[יתרת פתיחה]]),""),0)</f>
        <v/>
      </c>
      <c r="AH230" s="19">
        <f ca="1">(הפחתה8[[#This Row],[יתרת פתיחה]])*(מדד4/12)</f>
        <v>0</v>
      </c>
      <c r="AI230" s="19">
        <f ca="1">IF(הפחתה8[[#This Row],[תאריך]]="",0,הפחתה8[[#This Row],[ריבית]]+הפחתה8[[#This Row],[קרן]]+הפחתה8[[#This Row],[מדד]])</f>
        <v>0</v>
      </c>
      <c r="AJ230" s="19">
        <f ca="1">IF(הפחתה8[[#This Row],[תאריך]]="",0,הפחתה8[[#This Row],[יתרת פתיחה]]-הפחתה8[[#This Row],[קרן]])</f>
        <v>0</v>
      </c>
      <c r="AK230" s="20">
        <f ca="1">IF(הפחתה8[[#This Row],[יתרת
סגירה]]&gt;0,LastRow4-ROW(),0)</f>
        <v>0</v>
      </c>
    </row>
    <row r="231" spans="1:37" ht="15" customHeight="1" x14ac:dyDescent="0.25">
      <c r="A231" s="8"/>
      <c r="B231" s="11">
        <f>ROWS($B$4:B231)</f>
        <v>228</v>
      </c>
      <c r="C231" s="12">
        <f>IF(ValuesEntered,IF(הפחתה[[#This Row],[מס'']]&lt;=תקופת_ההלוואה,IF(ROW()-ROW(הפחתה[[#Headers],[תאריך]])=1,LoanStart,IF(I230&gt;0,EDATE(C230,1),"")),""),"")</f>
        <v>52291</v>
      </c>
      <c r="D231" s="13">
        <f>IF(ROW()-ROW(הפחתה[[#Headers],[יתרת פתיחה]])=1,סכום_הלוואה,IF(הפחתה[[#This Row],[תאריך]]="",0,INDEX(הפחתה[], ROW()-4,8)))</f>
        <v>334580.57191201724</v>
      </c>
      <c r="E231" s="13">
        <f>IF(ValuesEntered,IF(ROW()-ROW(הפחתה[[#Headers],[ריבית]])=1,-IPMT(שיעור_ריבית/12,1,תקופת_ההלוואה-ROWS($C$4:C231)+1,הפחתה[[#This Row],[יתרת פתיחה]]),IFERROR(-IPMT(שיעור_ריבית/12,1,הפחתה[[#This Row],[תשלומים
שנותרו]],D232),0)),0)</f>
        <v>1469.5419306180197</v>
      </c>
      <c r="F231" s="13">
        <f>IFERROR(IF(AND(ValuesEntered,הפחתה[[#This Row],[תאריך]]&lt;&gt;""),-PPMT(שיעור_ריבית/12,1,תקופת_ההלוואה-ROWS($C$4:C231)+1,הפחתה[[#This Row],[יתרת פתיחה]]),""),0)</f>
        <v>1854.0970551071432</v>
      </c>
      <c r="G231" s="13">
        <f>(הפחתה[[#This Row],[יתרת פתיחה]])*(מדד/12)</f>
        <v>0</v>
      </c>
      <c r="H231" s="13">
        <f>IF(הפחתה[[#This Row],[תאריך]]="",0,הפחתה[[#This Row],[ריבית]]+הפחתה[[#This Row],[קרן]]+הפחתה[[#This Row],[מדד]])</f>
        <v>3323.6389857251629</v>
      </c>
      <c r="I231" s="13">
        <f>IF(הפחתה[[#This Row],[תאריך]]="",0,הפחתה[[#This Row],[יתרת פתיחה]]-הפחתה[[#This Row],[קרן]]+הפחתה[[#This Row],[מדד]])</f>
        <v>332726.47485691012</v>
      </c>
      <c r="J231" s="11">
        <f>IF(הפחתה[[#This Row],[יתרת
סגירה]]&gt;0,LastRow-ROW(),0)</f>
        <v>132</v>
      </c>
      <c r="K231" s="11">
        <f>ROWS($K$4:K231)</f>
        <v>228</v>
      </c>
      <c r="L231" s="12">
        <f>IF(ValuesEntered2,IF(הפחתה5[[#This Row],[מס'']]&lt;=תקופת_ההלוואה2,IF(ROW()-ROW(הפחתה5[[#Headers],[תאריך]])=1,LoanStart2,IF(R230&gt;0,EDATE(L230,1),"")),""),"")</f>
        <v>52291</v>
      </c>
      <c r="M231" s="13">
        <f>IF(ROW()-ROW(הפחתה5[[#Headers],[יתרת פתיחה]])=1,סכום_הלוואה2,IF(הפחתה5[[#This Row],[תאריך]]="",0,INDEX(הפחתה5[], ROW()-4,8)))</f>
        <v>107863.28895946278</v>
      </c>
      <c r="N231" s="13">
        <f>IF(ValuesEntered2,IF(ROW()-ROW(הפחתה5[[#Headers],[ריבית]])=1,-IPMT(שיעור_ריבית2/12,1,תקופת_ההלוואה2-ROWS($L$4:L231)+1,הפחתה5[[#This Row],[יתרת פתיחה]]),IFERROR(-IPMT(שיעור_ריבית2/12,1,הפחתה5[[#This Row],[תשלומים
שנותרו]],M232),0)),0)</f>
        <v>417.45406928308881</v>
      </c>
      <c r="O231" s="13">
        <f>IFERROR(IF(AND(ValuesEntered2,הפחתה5[[#This Row],[תאריך]]&lt;&gt;""),-PPMT(שיעור_ריבית2/12,1,תקופת_ההלוואה2-ROWS($L$4:L231)+1,הפחתה5[[#This Row],[יתרת פתיחה]]),""),0)</f>
        <v>1279.2712701634964</v>
      </c>
      <c r="P231" s="13">
        <f>(הפחתה5[[#This Row],[יתרת פתיחה]])*(מדד2/12)</f>
        <v>0</v>
      </c>
      <c r="Q231" s="13">
        <f>IF(הפחתה5[[#This Row],[תאריך]]="",0,הפחתה5[[#This Row],[ריבית]]+הפחתה5[[#This Row],[קרן]]+הפחתה5[[#This Row],[מדד]])</f>
        <v>1696.7253394465852</v>
      </c>
      <c r="R231" s="13">
        <f>IF(הפחתה5[[#This Row],[תאריך]]="",0,הפחתה5[[#This Row],[יתרת פתיחה]]-הפחתה5[[#This Row],[קרן]]+הפחתה5[[#This Row],[מדד]])</f>
        <v>106584.01768929927</v>
      </c>
      <c r="S231" s="11">
        <f>IF(הפחתה5[[#This Row],[יתרת
סגירה]]&gt;0,LastRow2-ROW(),0)</f>
        <v>72</v>
      </c>
      <c r="T231" s="11">
        <f>ROWS($T$4:T231)</f>
        <v>228</v>
      </c>
      <c r="U231" s="12">
        <f ca="1">IF(ValuesEntered3,IF(הפחתה7[[#This Row],[מס'']]&lt;=תקופת_ההלוואה3,IF(ROW()-ROW(הפחתה7[[#Headers],[תאריך]])=1,LoanStart3,IF(AA230&gt;0,EDATE(U230,1),"")),""),"")</f>
        <v>52529</v>
      </c>
      <c r="V231" s="13">
        <f ca="1">IF(ROW()-ROW(הפחתה7[[#Headers],[יתרת פתיחה]])=1,סכום_הלוואה3,IF(הפחתה7[[#This Row],[תאריך]]="",0,INDEX(הפחתה7[], ROW()-4,8)))</f>
        <v>43655.053625566521</v>
      </c>
      <c r="W231" s="13">
        <f ca="1">IF(ValuesEntered3,IF(ROW()-ROW(הפחתה7[[#Headers],[ריבית]])=1,-IPMT(שיעור_ריבית3/12,1,תקופת_ההלוואה3-ROWS($C$4:U231)+1,הפחתה7[[#This Row],[יתרת פתיחה]]),IFERROR(-IPMT(שיעור_ריבית3/12,1,הפחתה7[[#This Row],[תשלומים
שנותרו]],V232),0)),0)</f>
        <v>82.742665696594443</v>
      </c>
      <c r="X231" s="13">
        <f ca="1">IFERROR(IF(AND(ValuesEntered3,הפחתה7[[#This Row],[תאריך]]&lt;&gt;""),-PPMT(שיעור_ריבית3/12,1,תקופת_ההלוואה3-ROWS($C$4:U231)+1,הפחתה7[[#This Row],[יתרת פתיחה]]),""),0)</f>
        <v>557.72559787869989</v>
      </c>
      <c r="Y231" s="13">
        <f ca="1">(הפחתה7[[#This Row],[יתרת פתיחה]])*(מדד3/12)</f>
        <v>72.758422709277539</v>
      </c>
      <c r="Z231" s="13">
        <f ca="1">IF(הפחתה7[[#This Row],[תאריך]]="",0,הפחתה7[[#This Row],[ריבית]]+הפחתה7[[#This Row],[קרן]]+הפחתה7[[#This Row],[מדד]])</f>
        <v>713.22668628457188</v>
      </c>
      <c r="AA231" s="13">
        <f ca="1">IF(הפחתה7[[#This Row],[תאריך]]="",0,הפחתה7[[#This Row],[יתרת פתיחה]]-הפחתה7[[#This Row],[קרן]]+הפחתה7[[#This Row],[מדד]])</f>
        <v>43170.086450397102</v>
      </c>
      <c r="AB231" s="11">
        <f ca="1">IF(הפחתה7[[#This Row],[יתרת
סגירה]]&gt;0,LastRow3-ROW(),0)</f>
        <v>72</v>
      </c>
      <c r="AC231" s="17">
        <f>ROWS($AC$4:AC231)</f>
        <v>228</v>
      </c>
      <c r="AD231" s="18" t="str">
        <f ca="1">IF(ValuesEntered4,IF(הפחתה8[[#This Row],[מס'']]&lt;=תקופת_ההלוואה4,IF(ROW()-ROW(הפחתה8[[#Headers],[תאריך]])=1,LoanStart4,IF(AJ230&gt;0,EDATE(AD230,1),"")),""),"")</f>
        <v/>
      </c>
      <c r="AE231" s="19">
        <f ca="1">IF(ROW()-ROW(הפחתה8[[#Headers],[יתרת פתיחה]])=1,סכום_הלוואה4,IF(הפחתה8[[#This Row],[תאריך]]="",0,INDEX(הפחתה8[], ROW()-4,8)))</f>
        <v>0</v>
      </c>
      <c r="AF231" s="19">
        <f ca="1">IF(ValuesEntered4,IF(ROW()-ROW(הפחתה8[[#Headers],[ריבית]])=1,-IPMT(שיעור_ריבית4/12,1,תקופת_ההלוואה4-ROWS($C$4:AD231)+1,הפחתה8[[#This Row],[יתרת פתיחה]]),IFERROR(-IPMT(שיעור_ריבית4/12,1,הפחתה8[[#This Row],[תשלומים
שנותרו]],AE232),0)),0)</f>
        <v>0</v>
      </c>
      <c r="AG231" s="19" t="str">
        <f ca="1">IFERROR(IF(AND(ValuesEntered4,הפחתה8[[#This Row],[תאריך]]&lt;&gt;""),-PPMT(שיעור_ריבית4/12,1,תקופת_ההלוואה4-ROWS($C$4:AD231)+1,הפחתה8[[#This Row],[יתרת פתיחה]]),""),0)</f>
        <v/>
      </c>
      <c r="AH231" s="19">
        <f ca="1">(הפחתה8[[#This Row],[יתרת פתיחה]])*(מדד4/12)</f>
        <v>0</v>
      </c>
      <c r="AI231" s="19">
        <f ca="1">IF(הפחתה8[[#This Row],[תאריך]]="",0,הפחתה8[[#This Row],[ריבית]]+הפחתה8[[#This Row],[קרן]]+הפחתה8[[#This Row],[מדד]])</f>
        <v>0</v>
      </c>
      <c r="AJ231" s="19">
        <f ca="1">IF(הפחתה8[[#This Row],[תאריך]]="",0,הפחתה8[[#This Row],[יתרת פתיחה]]-הפחתה8[[#This Row],[קרן]])</f>
        <v>0</v>
      </c>
      <c r="AK231" s="20">
        <f ca="1">IF(הפחתה8[[#This Row],[יתרת
סגירה]]&gt;0,LastRow4-ROW(),0)</f>
        <v>0</v>
      </c>
    </row>
    <row r="232" spans="1:37" ht="15" customHeight="1" x14ac:dyDescent="0.25">
      <c r="A232" s="8"/>
      <c r="B232" s="11">
        <f>ROWS($B$4:B232)</f>
        <v>229</v>
      </c>
      <c r="C232" s="12">
        <f>IF(ValuesEntered,IF(הפחתה[[#This Row],[מס'']]&lt;=תקופת_ההלוואה,IF(ROW()-ROW(הפחתה[[#Headers],[תאריך]])=1,LoanStart,IF(I231&gt;0,EDATE(C231,1),"")),""),"")</f>
        <v>52322</v>
      </c>
      <c r="D232" s="13">
        <f>IF(ROW()-ROW(הפחתה[[#Headers],[יתרת פתיחה]])=1,סכום_הלוואה,IF(הפחתה[[#This Row],[תאריך]]="",0,INDEX(הפחתה[], ROW()-4,8)))</f>
        <v>332726.47485691012</v>
      </c>
      <c r="E232" s="13">
        <f>IF(ValuesEntered,IF(ROW()-ROW(הפחתה[[#Headers],[ריבית]])=1,-IPMT(שיעור_ריבית/12,1,תקופת_ההלוואה-ROWS($C$4:C232)+1,הפחתה[[#This Row],[יתרת פתיחה]]),IFERROR(-IPMT(שיעור_ריבית/12,1,הפחתה[[#This Row],[תשלומים
שנותרו]],D233),0)),0)</f>
        <v>1461.3168341897147</v>
      </c>
      <c r="F232" s="13">
        <f>IFERROR(IF(AND(ValuesEntered,הפחתה[[#This Row],[תאריך]]&lt;&gt;""),-PPMT(שיעור_ריבית/12,1,תקופת_ההלוואה-ROWS($C$4:C232)+1,הפחתה[[#This Row],[יתרת פתיחה]]),""),0)</f>
        <v>1862.2859837671999</v>
      </c>
      <c r="G232" s="13">
        <f>(הפחתה[[#This Row],[יתרת פתיחה]])*(מדד/12)</f>
        <v>0</v>
      </c>
      <c r="H232" s="13">
        <f>IF(הפחתה[[#This Row],[תאריך]]="",0,הפחתה[[#This Row],[ריבית]]+הפחתה[[#This Row],[קרן]]+הפחתה[[#This Row],[מדד]])</f>
        <v>3323.6028179569148</v>
      </c>
      <c r="I232" s="13">
        <f>IF(הפחתה[[#This Row],[תאריך]]="",0,הפחתה[[#This Row],[יתרת פתיחה]]-הפחתה[[#This Row],[קרן]]+הפחתה[[#This Row],[מדד]])</f>
        <v>330864.18887314294</v>
      </c>
      <c r="J232" s="11">
        <f>IF(הפחתה[[#This Row],[יתרת
סגירה]]&gt;0,LastRow-ROW(),0)</f>
        <v>131</v>
      </c>
      <c r="K232" s="11">
        <f>ROWS($K$4:K232)</f>
        <v>229</v>
      </c>
      <c r="L232" s="12">
        <f>IF(ValuesEntered2,IF(הפחתה5[[#This Row],[מס'']]&lt;=תקופת_ההלוואה2,IF(ROW()-ROW(הפחתה5[[#Headers],[תאריך]])=1,LoanStart2,IF(R231&gt;0,EDATE(L231,1),"")),""),"")</f>
        <v>52322</v>
      </c>
      <c r="M232" s="13">
        <f>IF(ROW()-ROW(הפחתה5[[#Headers],[יתרת פתיחה]])=1,סכום_הלוואה2,IF(הפחתה5[[#This Row],[תאריך]]="",0,INDEX(הפחתה5[], ROW()-4,8)))</f>
        <v>106584.01768929927</v>
      </c>
      <c r="N232" s="13">
        <f>IF(ValuesEntered2,IF(ROW()-ROW(הפחתה5[[#Headers],[ריבית]])=1,-IPMT(שיעור_ריבית2/12,1,תקופת_ההלוואה2-ROWS($L$4:L232)+1,הפחתה5[[#This Row],[יתרת פתיחה]]),IFERROR(-IPMT(שיעור_ריבית2/12,1,הפחתה5[[#This Row],[תשלומים
שנותרו]],M233),0)),0)</f>
        <v>412.42396576497765</v>
      </c>
      <c r="O232" s="13">
        <f>IFERROR(IF(AND(ValuesEntered2,הפחתה5[[#This Row],[תאריך]]&lt;&gt;""),-PPMT(שיעור_ריבית2/12,1,תקופת_ההלוואה2-ROWS($L$4:L232)+1,הפחתה5[[#This Row],[יתרת פתיחה]]),""),0)</f>
        <v>1284.2817493049699</v>
      </c>
      <c r="P232" s="13">
        <f>(הפחתה5[[#This Row],[יתרת פתיחה]])*(מדד2/12)</f>
        <v>0</v>
      </c>
      <c r="Q232" s="13">
        <f>IF(הפחתה5[[#This Row],[תאריך]]="",0,הפחתה5[[#This Row],[ריבית]]+הפחתה5[[#This Row],[קרן]]+הפחתה5[[#This Row],[מדד]])</f>
        <v>1696.7057150699475</v>
      </c>
      <c r="R232" s="13">
        <f>IF(הפחתה5[[#This Row],[תאריך]]="",0,הפחתה5[[#This Row],[יתרת פתיחה]]-הפחתה5[[#This Row],[קרן]]+הפחתה5[[#This Row],[מדד]])</f>
        <v>105299.73593999431</v>
      </c>
      <c r="S232" s="11">
        <f>IF(הפחתה5[[#This Row],[יתרת
סגירה]]&gt;0,LastRow2-ROW(),0)</f>
        <v>71</v>
      </c>
      <c r="T232" s="11">
        <f>ROWS($T$4:T232)</f>
        <v>229</v>
      </c>
      <c r="U232" s="12">
        <f ca="1">IF(ValuesEntered3,IF(הפחתה7[[#This Row],[מס'']]&lt;=תקופת_ההלוואה3,IF(ROW()-ROW(הפחתה7[[#Headers],[תאריך]])=1,LoanStart3,IF(AA231&gt;0,EDATE(U231,1),"")),""),"")</f>
        <v>52560</v>
      </c>
      <c r="V232" s="13">
        <f ca="1">IF(ROW()-ROW(הפחתה7[[#Headers],[יתרת פתיחה]])=1,סכום_הלוואה3,IF(הפחתה7[[#This Row],[תאריך]]="",0,INDEX(הפחתה7[], ROW()-4,8)))</f>
        <v>43170.086450397102</v>
      </c>
      <c r="W232" s="13">
        <f ca="1">IF(ValuesEntered3,IF(ROW()-ROW(הפחתה7[[#Headers],[ריבית]])=1,-IPMT(שיעור_ריבית3/12,1,תקופת_ההלוואה3-ROWS($C$4:U232)+1,הפחתה7[[#This Row],[יתרת פתיחה]]),IFERROR(-IPMT(שיעור_ריבית3/12,1,הפחתה7[[#This Row],[תשלומים
שנותרו]],V233),0)),0)</f>
        <v>81.807739071345068</v>
      </c>
      <c r="X232" s="13">
        <f ca="1">IFERROR(IF(AND(ValuesEntered3,הפחתה7[[#This Row],[תאריך]]&lt;&gt;""),-PPMT(שיעור_ריבית3/12,1,תקופת_ההלוואה3-ROWS($C$4:U232)+1,הפחתה7[[#This Row],[יתרת פתיחה]]),""),0)</f>
        <v>559.73794856193115</v>
      </c>
      <c r="Y232" s="13">
        <f ca="1">(הפחתה7[[#This Row],[יתרת פתיחה]])*(מדד3/12)</f>
        <v>71.95014408399517</v>
      </c>
      <c r="Z232" s="13">
        <f ca="1">IF(הפחתה7[[#This Row],[תאריך]]="",0,הפחתה7[[#This Row],[ריבית]]+הפחתה7[[#This Row],[קרן]]+הפחתה7[[#This Row],[מדד]])</f>
        <v>713.49583171727136</v>
      </c>
      <c r="AA232" s="13">
        <f ca="1">IF(הפחתה7[[#This Row],[תאריך]]="",0,הפחתה7[[#This Row],[יתרת פתיחה]]-הפחתה7[[#This Row],[קרן]]+הפחתה7[[#This Row],[מדד]])</f>
        <v>42682.298645919167</v>
      </c>
      <c r="AB232" s="11">
        <f ca="1">IF(הפחתה7[[#This Row],[יתרת
סגירה]]&gt;0,LastRow3-ROW(),0)</f>
        <v>71</v>
      </c>
      <c r="AC232" s="17">
        <f>ROWS($AC$4:AC232)</f>
        <v>229</v>
      </c>
      <c r="AD232" s="18" t="str">
        <f ca="1">IF(ValuesEntered4,IF(הפחתה8[[#This Row],[מס'']]&lt;=תקופת_ההלוואה4,IF(ROW()-ROW(הפחתה8[[#Headers],[תאריך]])=1,LoanStart4,IF(AJ231&gt;0,EDATE(AD231,1),"")),""),"")</f>
        <v/>
      </c>
      <c r="AE232" s="19">
        <f ca="1">IF(ROW()-ROW(הפחתה8[[#Headers],[יתרת פתיחה]])=1,סכום_הלוואה4,IF(הפחתה8[[#This Row],[תאריך]]="",0,INDEX(הפחתה8[], ROW()-4,8)))</f>
        <v>0</v>
      </c>
      <c r="AF232" s="19">
        <f ca="1">IF(ValuesEntered4,IF(ROW()-ROW(הפחתה8[[#Headers],[ריבית]])=1,-IPMT(שיעור_ריבית4/12,1,תקופת_ההלוואה4-ROWS($C$4:AD232)+1,הפחתה8[[#This Row],[יתרת פתיחה]]),IFERROR(-IPMT(שיעור_ריבית4/12,1,הפחתה8[[#This Row],[תשלומים
שנותרו]],AE233),0)),0)</f>
        <v>0</v>
      </c>
      <c r="AG232" s="19" t="str">
        <f ca="1">IFERROR(IF(AND(ValuesEntered4,הפחתה8[[#This Row],[תאריך]]&lt;&gt;""),-PPMT(שיעור_ריבית4/12,1,תקופת_ההלוואה4-ROWS($C$4:AD232)+1,הפחתה8[[#This Row],[יתרת פתיחה]]),""),0)</f>
        <v/>
      </c>
      <c r="AH232" s="19">
        <f ca="1">(הפחתה8[[#This Row],[יתרת פתיחה]])*(מדד4/12)</f>
        <v>0</v>
      </c>
      <c r="AI232" s="19">
        <f ca="1">IF(הפחתה8[[#This Row],[תאריך]]="",0,הפחתה8[[#This Row],[ריבית]]+הפחתה8[[#This Row],[קרן]]+הפחתה8[[#This Row],[מדד]])</f>
        <v>0</v>
      </c>
      <c r="AJ232" s="19">
        <f ca="1">IF(הפחתה8[[#This Row],[תאריך]]="",0,הפחתה8[[#This Row],[יתרת פתיחה]]-הפחתה8[[#This Row],[קרן]])</f>
        <v>0</v>
      </c>
      <c r="AK232" s="20">
        <f ca="1">IF(הפחתה8[[#This Row],[יתרת
סגירה]]&gt;0,LastRow4-ROW(),0)</f>
        <v>0</v>
      </c>
    </row>
    <row r="233" spans="1:37" ht="15" customHeight="1" x14ac:dyDescent="0.25">
      <c r="A233" s="8"/>
      <c r="B233" s="11">
        <f>ROWS($B$4:B233)</f>
        <v>230</v>
      </c>
      <c r="C233" s="12">
        <f>IF(ValuesEntered,IF(הפחתה[[#This Row],[מס'']]&lt;=תקופת_ההלוואה,IF(ROW()-ROW(הפחתה[[#Headers],[תאריך]])=1,LoanStart,IF(I232&gt;0,EDATE(C232,1),"")),""),"")</f>
        <v>52352</v>
      </c>
      <c r="D233" s="13">
        <f>IF(ROW()-ROW(הפחתה[[#Headers],[יתרת פתיחה]])=1,סכום_הלוואה,IF(הפחתה[[#This Row],[תאריך]]="",0,INDEX(הפחתה[], ROW()-4,8)))</f>
        <v>330864.18887314294</v>
      </c>
      <c r="E233" s="13">
        <f>IF(ValuesEntered,IF(ROW()-ROW(הפחתה[[#Headers],[ריבית]])=1,-IPMT(שיעור_ריבית/12,1,תקופת_ההלוואה-ROWS($C$4:C233)+1,הפחתה[[#This Row],[יתרת פתיחה]]),IFERROR(-IPMT(שיעור_ריבית/12,1,הפחתה[[#This Row],[תשלומים
שנותרו]],D234),0)),0)</f>
        <v>1453.0554102521846</v>
      </c>
      <c r="F233" s="13">
        <f>IFERROR(IF(AND(ValuesEntered,הפחתה[[#This Row],[תאריך]]&lt;&gt;""),-PPMT(שיעור_ריבית/12,1,תקופת_ההלוואה-ROWS($C$4:C233)+1,הפחתה[[#This Row],[יתרת פתיחה]]),""),0)</f>
        <v>1870.5110801955047</v>
      </c>
      <c r="G233" s="13">
        <f>(הפחתה[[#This Row],[יתרת פתיחה]])*(מדד/12)</f>
        <v>0</v>
      </c>
      <c r="H233" s="13">
        <f>IF(הפחתה[[#This Row],[תאריך]]="",0,הפחתה[[#This Row],[ריבית]]+הפחתה[[#This Row],[קרן]]+הפחתה[[#This Row],[מדד]])</f>
        <v>3323.5664904476894</v>
      </c>
      <c r="I233" s="13">
        <f>IF(הפחתה[[#This Row],[תאריך]]="",0,הפחתה[[#This Row],[יתרת פתיחה]]-הפחתה[[#This Row],[קרן]]+הפחתה[[#This Row],[מדד]])</f>
        <v>328993.67779294745</v>
      </c>
      <c r="J233" s="11">
        <f>IF(הפחתה[[#This Row],[יתרת
סגירה]]&gt;0,LastRow-ROW(),0)</f>
        <v>130</v>
      </c>
      <c r="K233" s="11">
        <f>ROWS($K$4:K233)</f>
        <v>230</v>
      </c>
      <c r="L233" s="12">
        <f>IF(ValuesEntered2,IF(הפחתה5[[#This Row],[מס'']]&lt;=תקופת_ההלוואה2,IF(ROW()-ROW(הפחתה5[[#Headers],[תאריך]])=1,LoanStart2,IF(R232&gt;0,EDATE(L232,1),"")),""),"")</f>
        <v>52352</v>
      </c>
      <c r="M233" s="13">
        <f>IF(ROW()-ROW(הפחתה5[[#Headers],[יתרת פתיחה]])=1,סכום_הלוואה2,IF(הפחתה5[[#This Row],[תאריך]]="",0,INDEX(הפחתה5[], ROW()-4,8)))</f>
        <v>105299.73593999431</v>
      </c>
      <c r="N233" s="13">
        <f>IF(ValuesEntered2,IF(ROW()-ROW(הפחתה5[[#Headers],[ריבית]])=1,-IPMT(שיעור_ריבית2/12,1,תקופת_ההלוואה2-ROWS($L$4:L233)+1,הפחתה5[[#This Row],[יתרת פתיחה]]),IFERROR(-IPMT(שיעור_ריבית2/12,1,הפחתה5[[#This Row],[תשלומים
שנותרו]],M234),0)),0)</f>
        <v>407.37416100808724</v>
      </c>
      <c r="O233" s="13">
        <f>IFERROR(IF(AND(ValuesEntered2,הפחתה5[[#This Row],[תאריך]]&lt;&gt;""),-PPMT(שיעור_ריבית2/12,1,תקופת_ההלוואה2-ROWS($L$4:L233)+1,הפחתה5[[#This Row],[יתרת פתיחה]]),""),0)</f>
        <v>1289.3118528230809</v>
      </c>
      <c r="P233" s="13">
        <f>(הפחתה5[[#This Row],[יתרת פתיחה]])*(מדד2/12)</f>
        <v>0</v>
      </c>
      <c r="Q233" s="13">
        <f>IF(הפחתה5[[#This Row],[תאריך]]="",0,הפחתה5[[#This Row],[ריבית]]+הפחתה5[[#This Row],[קרן]]+הפחתה5[[#This Row],[מדד]])</f>
        <v>1696.6860138311681</v>
      </c>
      <c r="R233" s="13">
        <f>IF(הפחתה5[[#This Row],[תאריך]]="",0,הפחתה5[[#This Row],[יתרת פתיחה]]-הפחתה5[[#This Row],[קרן]]+הפחתה5[[#This Row],[מדד]])</f>
        <v>104010.42408717122</v>
      </c>
      <c r="S233" s="11">
        <f>IF(הפחתה5[[#This Row],[יתרת
סגירה]]&gt;0,LastRow2-ROW(),0)</f>
        <v>70</v>
      </c>
      <c r="T233" s="11">
        <f>ROWS($T$4:T233)</f>
        <v>230</v>
      </c>
      <c r="U233" s="12">
        <f ca="1">IF(ValuesEntered3,IF(הפחתה7[[#This Row],[מס'']]&lt;=תקופת_ההלוואה3,IF(ROW()-ROW(הפחתה7[[#Headers],[תאריך]])=1,LoanStart3,IF(AA232&gt;0,EDATE(U232,1),"")),""),"")</f>
        <v>52590</v>
      </c>
      <c r="V233" s="13">
        <f ca="1">IF(ROW()-ROW(הפחתה7[[#Headers],[יתרת פתיחה]])=1,סכום_הלוואה3,IF(הפחתה7[[#This Row],[תאריך]]="",0,INDEX(הפחתה7[], ROW()-4,8)))</f>
        <v>42682.298645919167</v>
      </c>
      <c r="W233" s="13">
        <f ca="1">IF(ValuesEntered3,IF(ROW()-ROW(הפחתה7[[#Headers],[ריבית]])=1,-IPMT(שיעור_ריבית3/12,1,תקופת_ההלוואה3-ROWS($C$4:U233)+1,הפחתה7[[#This Row],[יתרת פתיחה]]),IFERROR(-IPMT(שיעור_ריבית3/12,1,הפחתה7[[#This Row],[תשלומים
שנותרו]],V234),0)),0)</f>
        <v>80.867382963406911</v>
      </c>
      <c r="X233" s="13">
        <f ca="1">IFERROR(IF(AND(ValuesEntered3,הפחתה7[[#This Row],[תאריך]]&lt;&gt;""),-PPMT(שיעור_ריבית3/12,1,תקופת_ההלוואה3-ROWS($C$4:U233)+1,הפחתה7[[#This Row],[יתרת פתיחה]]),""),0)</f>
        <v>561.75774246455296</v>
      </c>
      <c r="Y233" s="13">
        <f ca="1">(הפחתה7[[#This Row],[יתרת פתיחה]])*(מדד3/12)</f>
        <v>71.137164409865278</v>
      </c>
      <c r="Z233" s="13">
        <f ca="1">IF(הפחתה7[[#This Row],[תאריך]]="",0,הפחתה7[[#This Row],[ריבית]]+הפחתה7[[#This Row],[קרן]]+הפחתה7[[#This Row],[מדד]])</f>
        <v>713.76228983782516</v>
      </c>
      <c r="AA233" s="13">
        <f ca="1">IF(הפחתה7[[#This Row],[תאריך]]="",0,הפחתה7[[#This Row],[יתרת פתיחה]]-הפחתה7[[#This Row],[קרן]]+הפחתה7[[#This Row],[מדד]])</f>
        <v>42191.678067864479</v>
      </c>
      <c r="AB233" s="11">
        <f ca="1">IF(הפחתה7[[#This Row],[יתרת
סגירה]]&gt;0,LastRow3-ROW(),0)</f>
        <v>70</v>
      </c>
      <c r="AC233" s="17">
        <f>ROWS($AC$4:AC233)</f>
        <v>230</v>
      </c>
      <c r="AD233" s="18" t="str">
        <f ca="1">IF(ValuesEntered4,IF(הפחתה8[[#This Row],[מס'']]&lt;=תקופת_ההלוואה4,IF(ROW()-ROW(הפחתה8[[#Headers],[תאריך]])=1,LoanStart4,IF(AJ232&gt;0,EDATE(AD232,1),"")),""),"")</f>
        <v/>
      </c>
      <c r="AE233" s="19">
        <f ca="1">IF(ROW()-ROW(הפחתה8[[#Headers],[יתרת פתיחה]])=1,סכום_הלוואה4,IF(הפחתה8[[#This Row],[תאריך]]="",0,INDEX(הפחתה8[], ROW()-4,8)))</f>
        <v>0</v>
      </c>
      <c r="AF233" s="19">
        <f ca="1">IF(ValuesEntered4,IF(ROW()-ROW(הפחתה8[[#Headers],[ריבית]])=1,-IPMT(שיעור_ריבית4/12,1,תקופת_ההלוואה4-ROWS($C$4:AD233)+1,הפחתה8[[#This Row],[יתרת פתיחה]]),IFERROR(-IPMT(שיעור_ריבית4/12,1,הפחתה8[[#This Row],[תשלומים
שנותרו]],AE234),0)),0)</f>
        <v>0</v>
      </c>
      <c r="AG233" s="19" t="str">
        <f ca="1">IFERROR(IF(AND(ValuesEntered4,הפחתה8[[#This Row],[תאריך]]&lt;&gt;""),-PPMT(שיעור_ריבית4/12,1,תקופת_ההלוואה4-ROWS($C$4:AD233)+1,הפחתה8[[#This Row],[יתרת פתיחה]]),""),0)</f>
        <v/>
      </c>
      <c r="AH233" s="19">
        <f ca="1">(הפחתה8[[#This Row],[יתרת פתיחה]])*(מדד4/12)</f>
        <v>0</v>
      </c>
      <c r="AI233" s="19">
        <f ca="1">IF(הפחתה8[[#This Row],[תאריך]]="",0,הפחתה8[[#This Row],[ריבית]]+הפחתה8[[#This Row],[קרן]]+הפחתה8[[#This Row],[מדד]])</f>
        <v>0</v>
      </c>
      <c r="AJ233" s="19">
        <f ca="1">IF(הפחתה8[[#This Row],[תאריך]]="",0,הפחתה8[[#This Row],[יתרת פתיחה]]-הפחתה8[[#This Row],[קרן]])</f>
        <v>0</v>
      </c>
      <c r="AK233" s="20">
        <f ca="1">IF(הפחתה8[[#This Row],[יתרת
סגירה]]&gt;0,LastRow4-ROW(),0)</f>
        <v>0</v>
      </c>
    </row>
    <row r="234" spans="1:37" ht="15" customHeight="1" x14ac:dyDescent="0.25">
      <c r="A234" s="8"/>
      <c r="B234" s="11">
        <f>ROWS($B$4:B234)</f>
        <v>231</v>
      </c>
      <c r="C234" s="12">
        <f>IF(ValuesEntered,IF(הפחתה[[#This Row],[מס'']]&lt;=תקופת_ההלוואה,IF(ROW()-ROW(הפחתה[[#Headers],[תאריך]])=1,LoanStart,IF(I233&gt;0,EDATE(C233,1),"")),""),"")</f>
        <v>52383</v>
      </c>
      <c r="D234" s="13">
        <f>IF(ROW()-ROW(הפחתה[[#Headers],[יתרת פתיחה]])=1,סכום_הלוואה,IF(הפחתה[[#This Row],[תאריך]]="",0,INDEX(הפחתה[], ROW()-4,8)))</f>
        <v>328993.67779294745</v>
      </c>
      <c r="E234" s="13">
        <f>IF(ValuesEntered,IF(ROW()-ROW(הפחתה[[#Headers],[ריבית]])=1,-IPMT(שיעור_ריבית/12,1,תקופת_ההלוואה-ROWS($C$4:C234)+1,הפחתה[[#This Row],[יתרת פתיחה]]),IFERROR(-IPMT(שיעור_ריבית/12,1,הפחתה[[#This Row],[תשלומים
שנותרו]],D235),0)),0)</f>
        <v>1444.7574983589302</v>
      </c>
      <c r="F234" s="13">
        <f>IFERROR(IF(AND(ValuesEntered,הפחתה[[#This Row],[תאריך]]&lt;&gt;""),-PPMT(שיעור_ריבית/12,1,תקופת_ההלוואה-ROWS($C$4:C234)+1,הפחתה[[#This Row],[יתרת פתיחה]]),""),0)</f>
        <v>1878.7725041330352</v>
      </c>
      <c r="G234" s="13">
        <f>(הפחתה[[#This Row],[יתרת פתיחה]])*(מדד/12)</f>
        <v>0</v>
      </c>
      <c r="H234" s="13">
        <f>IF(הפחתה[[#This Row],[תאריך]]="",0,הפחתה[[#This Row],[ריבית]]+הפחתה[[#This Row],[קרן]]+הפחתה[[#This Row],[מדד]])</f>
        <v>3323.5300024919652</v>
      </c>
      <c r="I234" s="13">
        <f>IF(הפחתה[[#This Row],[תאריך]]="",0,הפחתה[[#This Row],[יתרת פתיחה]]-הפחתה[[#This Row],[קרן]]+הפחתה[[#This Row],[מדד]])</f>
        <v>327114.90528881439</v>
      </c>
      <c r="J234" s="11">
        <f>IF(הפחתה[[#This Row],[יתרת
סגירה]]&gt;0,LastRow-ROW(),0)</f>
        <v>129</v>
      </c>
      <c r="K234" s="11">
        <f>ROWS($K$4:K234)</f>
        <v>231</v>
      </c>
      <c r="L234" s="12">
        <f>IF(ValuesEntered2,IF(הפחתה5[[#This Row],[מס'']]&lt;=תקופת_ההלוואה2,IF(ROW()-ROW(הפחתה5[[#Headers],[תאריך]])=1,LoanStart2,IF(R233&gt;0,EDATE(L233,1),"")),""),"")</f>
        <v>52383</v>
      </c>
      <c r="M234" s="13">
        <f>IF(ROW()-ROW(הפחתה5[[#Headers],[יתרת פתיחה]])=1,סכום_הלוואה2,IF(הפחתה5[[#This Row],[תאריך]]="",0,INDEX(הפחתה5[], ROW()-4,8)))</f>
        <v>104010.42408717122</v>
      </c>
      <c r="N234" s="13">
        <f>IF(ValuesEntered2,IF(ROW()-ROW(הפחתה5[[#Headers],[ריבית]])=1,-IPMT(שיעור_ריבית2/12,1,תקופת_ההלוואה2-ROWS($L$4:L234)+1,הפחתה5[[#This Row],[יתרת פתיחה]]),IFERROR(-IPMT(שיעור_ריבית2/12,1,הפחתה5[[#This Row],[תשלומים
שנותרו]],M235),0)),0)</f>
        <v>402.30457784923237</v>
      </c>
      <c r="O234" s="13">
        <f>IFERROR(IF(AND(ValuesEntered2,הפחתה5[[#This Row],[תאריך]]&lt;&gt;""),-PPMT(שיעור_ריבית2/12,1,תקופת_ההלוואה2-ROWS($L$4:L234)+1,הפחתה5[[#This Row],[יתרת פתיחה]]),""),0)</f>
        <v>1294.3616575799717</v>
      </c>
      <c r="P234" s="13">
        <f>(הפחתה5[[#This Row],[יתרת פתיחה]])*(מדד2/12)</f>
        <v>0</v>
      </c>
      <c r="Q234" s="13">
        <f>IF(הפחתה5[[#This Row],[תאריך]]="",0,הפחתה5[[#This Row],[ריבית]]+הפחתה5[[#This Row],[קרן]]+הפחתה5[[#This Row],[מדד]])</f>
        <v>1696.6662354292041</v>
      </c>
      <c r="R234" s="13">
        <f>IF(הפחתה5[[#This Row],[תאריך]]="",0,הפחתה5[[#This Row],[יתרת פתיחה]]-הפחתה5[[#This Row],[קרן]]+הפחתה5[[#This Row],[מדד]])</f>
        <v>102716.06242959126</v>
      </c>
      <c r="S234" s="11">
        <f>IF(הפחתה5[[#This Row],[יתרת
סגירה]]&gt;0,LastRow2-ROW(),0)</f>
        <v>69</v>
      </c>
      <c r="T234" s="11">
        <f>ROWS($T$4:T234)</f>
        <v>231</v>
      </c>
      <c r="U234" s="12">
        <f ca="1">IF(ValuesEntered3,IF(הפחתה7[[#This Row],[מס'']]&lt;=תקופת_ההלוואה3,IF(ROW()-ROW(הפחתה7[[#Headers],[תאריך]])=1,LoanStart3,IF(AA233&gt;0,EDATE(U233,1),"")),""),"")</f>
        <v>52621</v>
      </c>
      <c r="V234" s="13">
        <f ca="1">IF(ROW()-ROW(הפחתה7[[#Headers],[יתרת פתיחה]])=1,סכום_הלוואה3,IF(הפחתה7[[#This Row],[תאריך]]="",0,INDEX(הפחתה7[], ROW()-4,8)))</f>
        <v>42191.678067864479</v>
      </c>
      <c r="W234" s="13">
        <f ca="1">IF(ValuesEntered3,IF(ROW()-ROW(הפחתה7[[#Headers],[ריבית]])=1,-IPMT(שיעור_ריבית3/12,1,תקופת_ההלוואה3-ROWS($C$4:U234)+1,הפחתה7[[#This Row],[יתרת פתיחה]]),IFERROR(-IPMT(שיעור_ריבית3/12,1,הפחתה7[[#This Row],[תשלומים
שנותרו]],V235),0)),0)</f>
        <v>79.921573993435345</v>
      </c>
      <c r="X234" s="13">
        <f ca="1">IFERROR(IF(AND(ValuesEntered3,הפחתה7[[#This Row],[תאריך]]&lt;&gt;""),-PPMT(שיעור_ריבית3/12,1,תקופת_ההלוואה3-ROWS($C$4:U234)+1,הפחתה7[[#This Row],[יתרת פתיחה]]),""),0)</f>
        <v>563.78501299682091</v>
      </c>
      <c r="Y234" s="13">
        <f ca="1">(הפחתה7[[#This Row],[יתרת פתיחה]])*(מדד3/12)</f>
        <v>70.319463446440807</v>
      </c>
      <c r="Z234" s="13">
        <f ca="1">IF(הפחתה7[[#This Row],[תאריך]]="",0,הפחתה7[[#This Row],[ריבית]]+הפחתה7[[#This Row],[קרן]]+הפחתה7[[#This Row],[מדד]])</f>
        <v>714.02605043669701</v>
      </c>
      <c r="AA234" s="13">
        <f ca="1">IF(הפחתה7[[#This Row],[תאריך]]="",0,הפחתה7[[#This Row],[יתרת פתיחה]]-הפחתה7[[#This Row],[קרן]]+הפחתה7[[#This Row],[מדד]])</f>
        <v>41698.212518314096</v>
      </c>
      <c r="AB234" s="11">
        <f ca="1">IF(הפחתה7[[#This Row],[יתרת
סגירה]]&gt;0,LastRow3-ROW(),0)</f>
        <v>69</v>
      </c>
      <c r="AC234" s="17">
        <f>ROWS($AC$4:AC234)</f>
        <v>231</v>
      </c>
      <c r="AD234" s="18" t="str">
        <f ca="1">IF(ValuesEntered4,IF(הפחתה8[[#This Row],[מס'']]&lt;=תקופת_ההלוואה4,IF(ROW()-ROW(הפחתה8[[#Headers],[תאריך]])=1,LoanStart4,IF(AJ233&gt;0,EDATE(AD233,1),"")),""),"")</f>
        <v/>
      </c>
      <c r="AE234" s="19">
        <f ca="1">IF(ROW()-ROW(הפחתה8[[#Headers],[יתרת פתיחה]])=1,סכום_הלוואה4,IF(הפחתה8[[#This Row],[תאריך]]="",0,INDEX(הפחתה8[], ROW()-4,8)))</f>
        <v>0</v>
      </c>
      <c r="AF234" s="19">
        <f ca="1">IF(ValuesEntered4,IF(ROW()-ROW(הפחתה8[[#Headers],[ריבית]])=1,-IPMT(שיעור_ריבית4/12,1,תקופת_ההלוואה4-ROWS($C$4:AD234)+1,הפחתה8[[#This Row],[יתרת פתיחה]]),IFERROR(-IPMT(שיעור_ריבית4/12,1,הפחתה8[[#This Row],[תשלומים
שנותרו]],AE235),0)),0)</f>
        <v>0</v>
      </c>
      <c r="AG234" s="19" t="str">
        <f ca="1">IFERROR(IF(AND(ValuesEntered4,הפחתה8[[#This Row],[תאריך]]&lt;&gt;""),-PPMT(שיעור_ריבית4/12,1,תקופת_ההלוואה4-ROWS($C$4:AD234)+1,הפחתה8[[#This Row],[יתרת פתיחה]]),""),0)</f>
        <v/>
      </c>
      <c r="AH234" s="19">
        <f ca="1">(הפחתה8[[#This Row],[יתרת פתיחה]])*(מדד4/12)</f>
        <v>0</v>
      </c>
      <c r="AI234" s="19">
        <f ca="1">IF(הפחתה8[[#This Row],[תאריך]]="",0,הפחתה8[[#This Row],[ריבית]]+הפחתה8[[#This Row],[קרן]]+הפחתה8[[#This Row],[מדד]])</f>
        <v>0</v>
      </c>
      <c r="AJ234" s="19">
        <f ca="1">IF(הפחתה8[[#This Row],[תאריך]]="",0,הפחתה8[[#This Row],[יתרת פתיחה]]-הפחתה8[[#This Row],[קרן]])</f>
        <v>0</v>
      </c>
      <c r="AK234" s="20">
        <f ca="1">IF(הפחתה8[[#This Row],[יתרת
סגירה]]&gt;0,LastRow4-ROW(),0)</f>
        <v>0</v>
      </c>
    </row>
    <row r="235" spans="1:37" ht="15" customHeight="1" x14ac:dyDescent="0.25">
      <c r="A235" s="8"/>
      <c r="B235" s="11">
        <f>ROWS($B$4:B235)</f>
        <v>232</v>
      </c>
      <c r="C235" s="12">
        <f>IF(ValuesEntered,IF(הפחתה[[#This Row],[מס'']]&lt;=תקופת_ההלוואה,IF(ROW()-ROW(הפחתה[[#Headers],[תאריך]])=1,LoanStart,IF(I234&gt;0,EDATE(C234,1),"")),""),"")</f>
        <v>52413</v>
      </c>
      <c r="D235" s="13">
        <f>IF(ROW()-ROW(הפחתה[[#Headers],[יתרת פתיחה]])=1,סכום_הלוואה,IF(הפחתה[[#This Row],[תאריך]]="",0,INDEX(הפחתה[], ROW()-4,8)))</f>
        <v>327114.90528881439</v>
      </c>
      <c r="E235" s="13">
        <f>IF(ValuesEntered,IF(ROW()-ROW(הפחתה[[#Headers],[ריבית]])=1,-IPMT(שיעור_ריבית/12,1,תקופת_ההלוואה-ROWS($C$4:C235)+1,הפחתה[[#This Row],[יתרת פתיחה]]),IFERROR(-IPMT(שיעור_ריבית/12,1,הפחתה[[#This Row],[תשלומים
שנותרו]],D236),0)),0)</f>
        <v>1436.4229373548142</v>
      </c>
      <c r="F235" s="13">
        <f>IFERROR(IF(AND(ValuesEntered,הפחתה[[#This Row],[תאריך]]&lt;&gt;""),-PPMT(שיעור_ריבית/12,1,תקופת_ההלוואה-ROWS($C$4:C235)+1,הפחתה[[#This Row],[יתרת פתיחה]]),""),0)</f>
        <v>1887.0704160262896</v>
      </c>
      <c r="G235" s="13">
        <f>(הפחתה[[#This Row],[יתרת פתיחה]])*(מדד/12)</f>
        <v>0</v>
      </c>
      <c r="H235" s="13">
        <f>IF(הפחתה[[#This Row],[תאריך]]="",0,הפחתה[[#This Row],[ריבית]]+הפחתה[[#This Row],[קרן]]+הפחתה[[#This Row],[מדד]])</f>
        <v>3323.4933533811036</v>
      </c>
      <c r="I235" s="13">
        <f>IF(הפחתה[[#This Row],[תאריך]]="",0,הפחתה[[#This Row],[יתרת פתיחה]]-הפחתה[[#This Row],[קרן]]+הפחתה[[#This Row],[מדד]])</f>
        <v>325227.83487278811</v>
      </c>
      <c r="J235" s="11">
        <f>IF(הפחתה[[#This Row],[יתרת
סגירה]]&gt;0,LastRow-ROW(),0)</f>
        <v>128</v>
      </c>
      <c r="K235" s="11">
        <f>ROWS($K$4:K235)</f>
        <v>232</v>
      </c>
      <c r="L235" s="12">
        <f>IF(ValuesEntered2,IF(הפחתה5[[#This Row],[מס'']]&lt;=תקופת_ההלוואה2,IF(ROW()-ROW(הפחתה5[[#Headers],[תאריך]])=1,LoanStart2,IF(R234&gt;0,EDATE(L234,1),"")),""),"")</f>
        <v>52413</v>
      </c>
      <c r="M235" s="13">
        <f>IF(ROW()-ROW(הפחתה5[[#Headers],[יתרת פתיחה]])=1,סכום_הלוואה2,IF(הפחתה5[[#This Row],[תאריך]]="",0,INDEX(הפחתה5[], ROW()-4,8)))</f>
        <v>102716.06242959126</v>
      </c>
      <c r="N235" s="13">
        <f>IF(ValuesEntered2,IF(ROW()-ROW(הפחתה5[[#Headers],[ריבית]])=1,-IPMT(שיעור_ריבית2/12,1,תקופת_ההלוואה2-ROWS($L$4:L235)+1,הפחתה5[[#This Row],[יתרת פתיחה]]),IFERROR(-IPMT(שיעור_ריבית2/12,1,הפחתה5[[#This Row],[תשלומים
שנותרו]],M236),0)),0)</f>
        <v>397.21513882300536</v>
      </c>
      <c r="O235" s="13">
        <f>IFERROR(IF(AND(ValuesEntered2,הפחתה5[[#This Row],[תאריך]]&lt;&gt;""),-PPMT(שיעור_ריבית2/12,1,תקופת_ההלוואה2-ROWS($L$4:L235)+1,הפחתה5[[#This Row],[יתרת פתיחה]]),""),0)</f>
        <v>1299.4312407388261</v>
      </c>
      <c r="P235" s="13">
        <f>(הפחתה5[[#This Row],[יתרת פתיחה]])*(מדד2/12)</f>
        <v>0</v>
      </c>
      <c r="Q235" s="13">
        <f>IF(הפחתה5[[#This Row],[תאריך]]="",0,הפחתה5[[#This Row],[ריבית]]+הפחתה5[[#This Row],[קרן]]+הפחתה5[[#This Row],[מדד]])</f>
        <v>1696.6463795618315</v>
      </c>
      <c r="R235" s="13">
        <f>IF(הפחתה5[[#This Row],[תאריך]]="",0,הפחתה5[[#This Row],[יתרת פתיחה]]-הפחתה5[[#This Row],[קרן]]+הפחתה5[[#This Row],[מדד]])</f>
        <v>101416.63118885244</v>
      </c>
      <c r="S235" s="11">
        <f>IF(הפחתה5[[#This Row],[יתרת
סגירה]]&gt;0,LastRow2-ROW(),0)</f>
        <v>68</v>
      </c>
      <c r="T235" s="11">
        <f>ROWS($T$4:T235)</f>
        <v>232</v>
      </c>
      <c r="U235" s="12">
        <f ca="1">IF(ValuesEntered3,IF(הפחתה7[[#This Row],[מס'']]&lt;=תקופת_ההלוואה3,IF(ROW()-ROW(הפחתה7[[#Headers],[תאריך]])=1,LoanStart3,IF(AA234&gt;0,EDATE(U234,1),"")),""),"")</f>
        <v>52652</v>
      </c>
      <c r="V235" s="13">
        <f ca="1">IF(ROW()-ROW(הפחתה7[[#Headers],[יתרת פתיחה]])=1,סכום_הלוואה3,IF(הפחתה7[[#This Row],[תאריך]]="",0,INDEX(הפחתה7[], ROW()-4,8)))</f>
        <v>41698.212518314096</v>
      </c>
      <c r="W235" s="13">
        <f ca="1">IF(ValuesEntered3,IF(ROW()-ROW(הפחתה7[[#Headers],[ריבית]])=1,-IPMT(שיעור_ריבית3/12,1,תקופת_ההלוואה3-ROWS($C$4:U235)+1,הפחתה7[[#This Row],[יתרת פתיחה]]),IFERROR(-IPMT(שיעור_ריבית3/12,1,הפחתה7[[#This Row],[תשלומים
שנותרו]],V236),0)),0)</f>
        <v>78.970288678292022</v>
      </c>
      <c r="X235" s="13">
        <f ca="1">IFERROR(IF(AND(ValuesEntered3,הפחתה7[[#This Row],[תאריך]]&lt;&gt;""),-PPMT(שיעור_ריבית3/12,1,תקופת_ההלוואה3-ROWS($C$4:U235)+1,הפחתה7[[#This Row],[יתרת פתיחה]]),""),0)</f>
        <v>565.81979398211001</v>
      </c>
      <c r="Y235" s="13">
        <f ca="1">(הפחתה7[[#This Row],[יתרת פתיחה]])*(מדד3/12)</f>
        <v>69.497020863856832</v>
      </c>
      <c r="Z235" s="13">
        <f ca="1">IF(הפחתה7[[#This Row],[תאריך]]="",0,הפחתה7[[#This Row],[ריבית]]+הפחתה7[[#This Row],[קרן]]+הפחתה7[[#This Row],[מדד]])</f>
        <v>714.2871035242589</v>
      </c>
      <c r="AA235" s="13">
        <f ca="1">IF(הפחתה7[[#This Row],[תאריך]]="",0,הפחתה7[[#This Row],[יתרת פתיחה]]-הפחתה7[[#This Row],[קרן]]+הפחתה7[[#This Row],[מדד]])</f>
        <v>41201.88974519584</v>
      </c>
      <c r="AB235" s="11">
        <f ca="1">IF(הפחתה7[[#This Row],[יתרת
סגירה]]&gt;0,LastRow3-ROW(),0)</f>
        <v>68</v>
      </c>
      <c r="AC235" s="17">
        <f>ROWS($AC$4:AC235)</f>
        <v>232</v>
      </c>
      <c r="AD235" s="18" t="str">
        <f ca="1">IF(ValuesEntered4,IF(הפחתה8[[#This Row],[מס'']]&lt;=תקופת_ההלוואה4,IF(ROW()-ROW(הפחתה8[[#Headers],[תאריך]])=1,LoanStart4,IF(AJ234&gt;0,EDATE(AD234,1),"")),""),"")</f>
        <v/>
      </c>
      <c r="AE235" s="19">
        <f ca="1">IF(ROW()-ROW(הפחתה8[[#Headers],[יתרת פתיחה]])=1,סכום_הלוואה4,IF(הפחתה8[[#This Row],[תאריך]]="",0,INDEX(הפחתה8[], ROW()-4,8)))</f>
        <v>0</v>
      </c>
      <c r="AF235" s="19">
        <f ca="1">IF(ValuesEntered4,IF(ROW()-ROW(הפחתה8[[#Headers],[ריבית]])=1,-IPMT(שיעור_ריבית4/12,1,תקופת_ההלוואה4-ROWS($C$4:AD235)+1,הפחתה8[[#This Row],[יתרת פתיחה]]),IFERROR(-IPMT(שיעור_ריבית4/12,1,הפחתה8[[#This Row],[תשלומים
שנותרו]],AE236),0)),0)</f>
        <v>0</v>
      </c>
      <c r="AG235" s="19" t="str">
        <f ca="1">IFERROR(IF(AND(ValuesEntered4,הפחתה8[[#This Row],[תאריך]]&lt;&gt;""),-PPMT(שיעור_ריבית4/12,1,תקופת_ההלוואה4-ROWS($C$4:AD235)+1,הפחתה8[[#This Row],[יתרת פתיחה]]),""),0)</f>
        <v/>
      </c>
      <c r="AH235" s="19">
        <f ca="1">(הפחתה8[[#This Row],[יתרת פתיחה]])*(מדד4/12)</f>
        <v>0</v>
      </c>
      <c r="AI235" s="19">
        <f ca="1">IF(הפחתה8[[#This Row],[תאריך]]="",0,הפחתה8[[#This Row],[ריבית]]+הפחתה8[[#This Row],[קרן]]+הפחתה8[[#This Row],[מדד]])</f>
        <v>0</v>
      </c>
      <c r="AJ235" s="19">
        <f ca="1">IF(הפחתה8[[#This Row],[תאריך]]="",0,הפחתה8[[#This Row],[יתרת פתיחה]]-הפחתה8[[#This Row],[קרן]])</f>
        <v>0</v>
      </c>
      <c r="AK235" s="20">
        <f ca="1">IF(הפחתה8[[#This Row],[יתרת
סגירה]]&gt;0,LastRow4-ROW(),0)</f>
        <v>0</v>
      </c>
    </row>
    <row r="236" spans="1:37" ht="15" customHeight="1" x14ac:dyDescent="0.25">
      <c r="A236" s="8"/>
      <c r="B236" s="11">
        <f>ROWS($B$4:B236)</f>
        <v>233</v>
      </c>
      <c r="C236" s="12">
        <f>IF(ValuesEntered,IF(הפחתה[[#This Row],[מס'']]&lt;=תקופת_ההלוואה,IF(ROW()-ROW(הפחתה[[#Headers],[תאריך]])=1,LoanStart,IF(I235&gt;0,EDATE(C235,1),"")),""),"")</f>
        <v>52444</v>
      </c>
      <c r="D236" s="13">
        <f>IF(ROW()-ROW(הפחתה[[#Headers],[יתרת פתיחה]])=1,סכום_הלוואה,IF(הפחתה[[#This Row],[תאריך]]="",0,INDEX(הפחתה[], ROW()-4,8)))</f>
        <v>325227.83487278811</v>
      </c>
      <c r="E236" s="13">
        <f>IF(ValuesEntered,IF(ROW()-ROW(הפחתה[[#Headers],[ריבית]])=1,-IPMT(שיעור_ריבית/12,1,תקופת_ההלוואה-ROWS($C$4:C236)+1,הפחתה[[#This Row],[יתרת פתיחה]]),IFERROR(-IPMT(שיעור_ריבית/12,1,הפחתה[[#This Row],[תשלומים
שנותרו]],D237),0)),0)</f>
        <v>1428.0515653729299</v>
      </c>
      <c r="F236" s="13">
        <f>IFERROR(IF(AND(ValuesEntered,הפחתה[[#This Row],[תאריך]]&lt;&gt;""),-PPMT(שיעור_ריבית/12,1,תקופת_ההלוואה-ROWS($C$4:C236)+1,הפחתה[[#This Row],[יתרת פתיחה]]),""),0)</f>
        <v>1895.4049770304057</v>
      </c>
      <c r="G236" s="13">
        <f>(הפחתה[[#This Row],[יתרת פתיחה]])*(מדד/12)</f>
        <v>0</v>
      </c>
      <c r="H236" s="13">
        <f>IF(הפחתה[[#This Row],[תאריך]]="",0,הפחתה[[#This Row],[ריבית]]+הפחתה[[#This Row],[קרן]]+הפחתה[[#This Row],[מדד]])</f>
        <v>3323.4565424033353</v>
      </c>
      <c r="I236" s="13">
        <f>IF(הפחתה[[#This Row],[תאריך]]="",0,הפחתה[[#This Row],[יתרת פתיחה]]-הפחתה[[#This Row],[קרן]]+הפחתה[[#This Row],[מדד]])</f>
        <v>323332.4298957577</v>
      </c>
      <c r="J236" s="11">
        <f>IF(הפחתה[[#This Row],[יתרת
סגירה]]&gt;0,LastRow-ROW(),0)</f>
        <v>127</v>
      </c>
      <c r="K236" s="11">
        <f>ROWS($K$4:K236)</f>
        <v>233</v>
      </c>
      <c r="L236" s="12">
        <f>IF(ValuesEntered2,IF(הפחתה5[[#This Row],[מס'']]&lt;=תקופת_ההלוואה2,IF(ROW()-ROW(הפחתה5[[#Headers],[תאריך]])=1,LoanStart2,IF(R235&gt;0,EDATE(L235,1),"")),""),"")</f>
        <v>52444</v>
      </c>
      <c r="M236" s="13">
        <f>IF(ROW()-ROW(הפחתה5[[#Headers],[יתרת פתיחה]])=1,סכום_הלוואה2,IF(הפחתה5[[#This Row],[תאריך]]="",0,INDEX(הפחתה5[], ROW()-4,8)))</f>
        <v>101416.63118885244</v>
      </c>
      <c r="N236" s="13">
        <f>IF(ValuesEntered2,IF(ROW()-ROW(הפחתה5[[#Headers],[ריבית]])=1,-IPMT(שיעור_ריבית2/12,1,תקופת_ההלוואה2-ROWS($L$4:L236)+1,הפחתה5[[#This Row],[יתרת פתיחה]]),IFERROR(-IPMT(שיעור_ריבית2/12,1,הפחתה5[[#This Row],[תשלומים
שנותרו]],M237),0)),0)</f>
        <v>392.10576616059222</v>
      </c>
      <c r="O236" s="13">
        <f>IFERROR(IF(AND(ValuesEntered2,הפחתה5[[#This Row],[תאריך]]&lt;&gt;""),-PPMT(שיעור_ריבית2/12,1,תקופת_ההלוואה2-ROWS($L$4:L236)+1,הפחתה5[[#This Row],[יתרת פתיחה]]),""),0)</f>
        <v>1304.5206797650535</v>
      </c>
      <c r="P236" s="13">
        <f>(הפחתה5[[#This Row],[יתרת פתיחה]])*(מדד2/12)</f>
        <v>0</v>
      </c>
      <c r="Q236" s="13">
        <f>IF(הפחתה5[[#This Row],[תאריך]]="",0,הפחתה5[[#This Row],[ריבית]]+הפחתה5[[#This Row],[קרן]]+הפחתה5[[#This Row],[מדד]])</f>
        <v>1696.6264459256458</v>
      </c>
      <c r="R236" s="13">
        <f>IF(הפחתה5[[#This Row],[תאריך]]="",0,הפחתה5[[#This Row],[יתרת פתיחה]]-הפחתה5[[#This Row],[קרן]]+הפחתה5[[#This Row],[מדד]])</f>
        <v>100112.11050908739</v>
      </c>
      <c r="S236" s="11">
        <f>IF(הפחתה5[[#This Row],[יתרת
סגירה]]&gt;0,LastRow2-ROW(),0)</f>
        <v>67</v>
      </c>
      <c r="T236" s="11">
        <f>ROWS($T$4:T236)</f>
        <v>233</v>
      </c>
      <c r="U236" s="12">
        <f ca="1">IF(ValuesEntered3,IF(הפחתה7[[#This Row],[מס'']]&lt;=תקופת_ההלוואה3,IF(ROW()-ROW(הפחתה7[[#Headers],[תאריך]])=1,LoanStart3,IF(AA235&gt;0,EDATE(U235,1),"")),""),"")</f>
        <v>52681</v>
      </c>
      <c r="V236" s="13">
        <f ca="1">IF(ROW()-ROW(הפחתה7[[#Headers],[יתרת פתיחה]])=1,סכום_הלוואה3,IF(הפחתה7[[#This Row],[תאריך]]="",0,INDEX(הפחתה7[], ROW()-4,8)))</f>
        <v>41201.88974519584</v>
      </c>
      <c r="W236" s="13">
        <f ca="1">IF(ValuesEntered3,IF(ROW()-ROW(הפחתה7[[#Headers],[ריבית]])=1,-IPMT(שיעור_ריבית3/12,1,תקופת_ההלוואה3-ROWS($C$4:U236)+1,הפחתה7[[#This Row],[יתרת פתיחה]]),IFERROR(-IPMT(שיעור_ריבית3/12,1,הפחתה7[[#This Row],[תשלומים
שנותרו]],V237),0)),0)</f>
        <v>78.013503430044153</v>
      </c>
      <c r="X236" s="13">
        <f ca="1">IFERROR(IF(AND(ValuesEntered3,הפחתה7[[#This Row],[תאריך]]&lt;&gt;""),-PPMT(שיעור_ריבית3/12,1,תקופת_ההלוואה3-ROWS($C$4:U236)+1,הפחתה7[[#This Row],[יתרת פתיחה]]),""),0)</f>
        <v>567.86211967566294</v>
      </c>
      <c r="Y236" s="13">
        <f ca="1">(הפחתה7[[#This Row],[יתרת פתיחה]])*(מדד3/12)</f>
        <v>68.669816241993075</v>
      </c>
      <c r="Z236" s="13">
        <f ca="1">IF(הפחתה7[[#This Row],[תאריך]]="",0,הפחתה7[[#This Row],[ריבית]]+הפחתה7[[#This Row],[קרן]]+הפחתה7[[#This Row],[מדד]])</f>
        <v>714.54543934770015</v>
      </c>
      <c r="AA236" s="13">
        <f ca="1">IF(הפחתה7[[#This Row],[תאריך]]="",0,הפחתה7[[#This Row],[יתרת פתיחה]]-הפחתה7[[#This Row],[קרן]]+הפחתה7[[#This Row],[מדד]])</f>
        <v>40702.697441762168</v>
      </c>
      <c r="AB236" s="11">
        <f ca="1">IF(הפחתה7[[#This Row],[יתרת
סגירה]]&gt;0,LastRow3-ROW(),0)</f>
        <v>67</v>
      </c>
      <c r="AC236" s="17">
        <f>ROWS($AC$4:AC236)</f>
        <v>233</v>
      </c>
      <c r="AD236" s="18" t="str">
        <f ca="1">IF(ValuesEntered4,IF(הפחתה8[[#This Row],[מס'']]&lt;=תקופת_ההלוואה4,IF(ROW()-ROW(הפחתה8[[#Headers],[תאריך]])=1,LoanStart4,IF(AJ235&gt;0,EDATE(AD235,1),"")),""),"")</f>
        <v/>
      </c>
      <c r="AE236" s="19">
        <f ca="1">IF(ROW()-ROW(הפחתה8[[#Headers],[יתרת פתיחה]])=1,סכום_הלוואה4,IF(הפחתה8[[#This Row],[תאריך]]="",0,INDEX(הפחתה8[], ROW()-4,8)))</f>
        <v>0</v>
      </c>
      <c r="AF236" s="19">
        <f ca="1">IF(ValuesEntered4,IF(ROW()-ROW(הפחתה8[[#Headers],[ריבית]])=1,-IPMT(שיעור_ריבית4/12,1,תקופת_ההלוואה4-ROWS($C$4:AD236)+1,הפחתה8[[#This Row],[יתרת פתיחה]]),IFERROR(-IPMT(שיעור_ריבית4/12,1,הפחתה8[[#This Row],[תשלומים
שנותרו]],AE237),0)),0)</f>
        <v>0</v>
      </c>
      <c r="AG236" s="19" t="str">
        <f ca="1">IFERROR(IF(AND(ValuesEntered4,הפחתה8[[#This Row],[תאריך]]&lt;&gt;""),-PPMT(שיעור_ריבית4/12,1,תקופת_ההלוואה4-ROWS($C$4:AD236)+1,הפחתה8[[#This Row],[יתרת פתיחה]]),""),0)</f>
        <v/>
      </c>
      <c r="AH236" s="19">
        <f ca="1">(הפחתה8[[#This Row],[יתרת פתיחה]])*(מדד4/12)</f>
        <v>0</v>
      </c>
      <c r="AI236" s="19">
        <f ca="1">IF(הפחתה8[[#This Row],[תאריך]]="",0,הפחתה8[[#This Row],[ריבית]]+הפחתה8[[#This Row],[קרן]]+הפחתה8[[#This Row],[מדד]])</f>
        <v>0</v>
      </c>
      <c r="AJ236" s="19">
        <f ca="1">IF(הפחתה8[[#This Row],[תאריך]]="",0,הפחתה8[[#This Row],[יתרת פתיחה]]-הפחתה8[[#This Row],[קרן]])</f>
        <v>0</v>
      </c>
      <c r="AK236" s="20">
        <f ca="1">IF(הפחתה8[[#This Row],[יתרת
סגירה]]&gt;0,LastRow4-ROW(),0)</f>
        <v>0</v>
      </c>
    </row>
    <row r="237" spans="1:37" ht="15" customHeight="1" x14ac:dyDescent="0.25">
      <c r="A237" s="8"/>
      <c r="B237" s="11">
        <f>ROWS($B$4:B237)</f>
        <v>234</v>
      </c>
      <c r="C237" s="12">
        <f>IF(ValuesEntered,IF(הפחתה[[#This Row],[מס'']]&lt;=תקופת_ההלוואה,IF(ROW()-ROW(הפחתה[[#Headers],[תאריך]])=1,LoanStart,IF(I236&gt;0,EDATE(C236,1),"")),""),"")</f>
        <v>52475</v>
      </c>
      <c r="D237" s="13">
        <f>IF(ROW()-ROW(הפחתה[[#Headers],[יתרת פתיחה]])=1,סכום_הלוואה,IF(הפחתה[[#This Row],[תאריך]]="",0,INDEX(הפחתה[], ROW()-4,8)))</f>
        <v>323332.4298957577</v>
      </c>
      <c r="E237" s="13">
        <f>IF(ValuesEntered,IF(ROW()-ROW(הפחתה[[#Headers],[ריבית]])=1,-IPMT(שיעור_ריבית/12,1,תקופת_ההלוואה-ROWS($C$4:C237)+1,הפחתה[[#This Row],[יתרת פתיחה]]),IFERROR(-IPMT(שיעור_ריבית/12,1,הפחתה[[#This Row],[תשלומים
שנותרו]],D238),0)),0)</f>
        <v>1419.643219831459</v>
      </c>
      <c r="F237" s="13">
        <f>IFERROR(IF(AND(ValuesEntered,הפחתה[[#This Row],[תאריך]]&lt;&gt;""),-PPMT(שיעור_ריבית/12,1,תקופת_ההלוואה-ROWS($C$4:C237)+1,הפחתה[[#This Row],[יתרת פתיחה]]),""),0)</f>
        <v>1903.77634901229</v>
      </c>
      <c r="G237" s="13">
        <f>(הפחתה[[#This Row],[יתרת פתיחה]])*(מדד/12)</f>
        <v>0</v>
      </c>
      <c r="H237" s="13">
        <f>IF(הפחתה[[#This Row],[תאריך]]="",0,הפחתה[[#This Row],[ריבית]]+הפחתה[[#This Row],[קרן]]+הפחתה[[#This Row],[מדד]])</f>
        <v>3323.4195688437489</v>
      </c>
      <c r="I237" s="13">
        <f>IF(הפחתה[[#This Row],[תאריך]]="",0,הפחתה[[#This Row],[יתרת פתיחה]]-הפחתה[[#This Row],[קרן]]+הפחתה[[#This Row],[מדד]])</f>
        <v>321428.65354674542</v>
      </c>
      <c r="J237" s="11">
        <f>IF(הפחתה[[#This Row],[יתרת
סגירה]]&gt;0,LastRow-ROW(),0)</f>
        <v>126</v>
      </c>
      <c r="K237" s="11">
        <f>ROWS($K$4:K237)</f>
        <v>234</v>
      </c>
      <c r="L237" s="12">
        <f>IF(ValuesEntered2,IF(הפחתה5[[#This Row],[מס'']]&lt;=תקופת_ההלוואה2,IF(ROW()-ROW(הפחתה5[[#Headers],[תאריך]])=1,LoanStart2,IF(R236&gt;0,EDATE(L236,1),"")),""),"")</f>
        <v>52475</v>
      </c>
      <c r="M237" s="13">
        <f>IF(ROW()-ROW(הפחתה5[[#Headers],[יתרת פתיחה]])=1,סכום_הלוואה2,IF(הפחתה5[[#This Row],[תאריך]]="",0,INDEX(הפחתה5[], ROW()-4,8)))</f>
        <v>100112.11050908739</v>
      </c>
      <c r="N237" s="13">
        <f>IF(ValuesEntered2,IF(ROW()-ROW(הפחתה5[[#Headers],[ריבית]])=1,-IPMT(שיעור_ריבית2/12,1,תקופת_ההלוואה2-ROWS($L$4:L237)+1,הפחתה5[[#This Row],[יתרת פתיחה]]),IFERROR(-IPMT(שיעור_ריבית2/12,1,הפחתה5[[#This Row],[תשלומים
שנותרו]],M238),0)),0)</f>
        <v>386.97638178858466</v>
      </c>
      <c r="O237" s="13">
        <f>IFERROR(IF(AND(ValuesEntered2,הפחתה5[[#This Row],[תאריך]]&lt;&gt;""),-PPMT(שיעור_ריבית2/12,1,תקופת_ההלוואה2-ROWS($L$4:L237)+1,הפחתה5[[#This Row],[יתרת פתיחה]]),""),0)</f>
        <v>1309.6300524274668</v>
      </c>
      <c r="P237" s="13">
        <f>(הפחתה5[[#This Row],[יתרת פתיחה]])*(מדד2/12)</f>
        <v>0</v>
      </c>
      <c r="Q237" s="13">
        <f>IF(הפחתה5[[#This Row],[תאריך]]="",0,הפחתה5[[#This Row],[ריבית]]+הפחתה5[[#This Row],[קרן]]+הפחתה5[[#This Row],[מדד]])</f>
        <v>1696.6064342160514</v>
      </c>
      <c r="R237" s="13">
        <f>IF(הפחתה5[[#This Row],[תאריך]]="",0,הפחתה5[[#This Row],[יתרת פתיחה]]-הפחתה5[[#This Row],[קרן]]+הפחתה5[[#This Row],[מדד]])</f>
        <v>98802.48045665992</v>
      </c>
      <c r="S237" s="11">
        <f>IF(הפחתה5[[#This Row],[יתרת
סגירה]]&gt;0,LastRow2-ROW(),0)</f>
        <v>66</v>
      </c>
      <c r="T237" s="11">
        <f>ROWS($T$4:T237)</f>
        <v>234</v>
      </c>
      <c r="U237" s="12">
        <f ca="1">IF(ValuesEntered3,IF(הפחתה7[[#This Row],[מס'']]&lt;=תקופת_ההלוואה3,IF(ROW()-ROW(הפחתה7[[#Headers],[תאריך]])=1,LoanStart3,IF(AA236&gt;0,EDATE(U236,1),"")),""),"")</f>
        <v>52712</v>
      </c>
      <c r="V237" s="13">
        <f ca="1">IF(ROW()-ROW(הפחתה7[[#Headers],[יתרת פתיחה]])=1,סכום_הלוואה3,IF(הפחתה7[[#This Row],[תאריך]]="",0,INDEX(הפחתה7[], ROW()-4,8)))</f>
        <v>40702.697441762168</v>
      </c>
      <c r="W237" s="13">
        <f ca="1">IF(ValuesEntered3,IF(ROW()-ROW(הפחתה7[[#Headers],[ריבית]])=1,-IPMT(שיעור_ריבית3/12,1,תקופת_ההלוואה3-ROWS($C$4:U237)+1,הפחתה7[[#This Row],[יתרת פתיחה]]),IFERROR(-IPMT(שיעור_ריבית3/12,1,הפחתה7[[#This Row],[תשלומים
שנותרו]],V238),0)),0)</f>
        <v>77.051194554923569</v>
      </c>
      <c r="X237" s="13">
        <f ca="1">IFERROR(IF(AND(ValuesEntered3,הפחתה7[[#This Row],[תאריך]]&lt;&gt;""),-PPMT(שיעור_ריבית3/12,1,תקופת_ההלוואה3-ROWS($C$4:U237)+1,הפחתה7[[#This Row],[יתרת פתיחה]]),""),0)</f>
        <v>569.91202478469302</v>
      </c>
      <c r="Y237" s="13">
        <f ca="1">(הפחתה7[[#This Row],[יתרת פתיחה]])*(מדד3/12)</f>
        <v>67.837829069603615</v>
      </c>
      <c r="Z237" s="13">
        <f ca="1">IF(הפחתה7[[#This Row],[תאריך]]="",0,הפחתה7[[#This Row],[ריבית]]+הפחתה7[[#This Row],[קרן]]+הפחתה7[[#This Row],[מדד]])</f>
        <v>714.80104840922013</v>
      </c>
      <c r="AA237" s="13">
        <f ca="1">IF(הפחתה7[[#This Row],[תאריך]]="",0,הפחתה7[[#This Row],[יתרת פתיחה]]-הפחתה7[[#This Row],[קרן]]+הפחתה7[[#This Row],[מדד]])</f>
        <v>40200.623246047078</v>
      </c>
      <c r="AB237" s="11">
        <f ca="1">IF(הפחתה7[[#This Row],[יתרת
סגירה]]&gt;0,LastRow3-ROW(),0)</f>
        <v>66</v>
      </c>
      <c r="AC237" s="17">
        <f>ROWS($AC$4:AC237)</f>
        <v>234</v>
      </c>
      <c r="AD237" s="18" t="str">
        <f ca="1">IF(ValuesEntered4,IF(הפחתה8[[#This Row],[מס'']]&lt;=תקופת_ההלוואה4,IF(ROW()-ROW(הפחתה8[[#Headers],[תאריך]])=1,LoanStart4,IF(AJ236&gt;0,EDATE(AD236,1),"")),""),"")</f>
        <v/>
      </c>
      <c r="AE237" s="19">
        <f ca="1">IF(ROW()-ROW(הפחתה8[[#Headers],[יתרת פתיחה]])=1,סכום_הלוואה4,IF(הפחתה8[[#This Row],[תאריך]]="",0,INDEX(הפחתה8[], ROW()-4,8)))</f>
        <v>0</v>
      </c>
      <c r="AF237" s="19">
        <f ca="1">IF(ValuesEntered4,IF(ROW()-ROW(הפחתה8[[#Headers],[ריבית]])=1,-IPMT(שיעור_ריבית4/12,1,תקופת_ההלוואה4-ROWS($C$4:AD237)+1,הפחתה8[[#This Row],[יתרת פתיחה]]),IFERROR(-IPMT(שיעור_ריבית4/12,1,הפחתה8[[#This Row],[תשלומים
שנותרו]],AE238),0)),0)</f>
        <v>0</v>
      </c>
      <c r="AG237" s="19" t="str">
        <f ca="1">IFERROR(IF(AND(ValuesEntered4,הפחתה8[[#This Row],[תאריך]]&lt;&gt;""),-PPMT(שיעור_ריבית4/12,1,תקופת_ההלוואה4-ROWS($C$4:AD237)+1,הפחתה8[[#This Row],[יתרת פתיחה]]),""),0)</f>
        <v/>
      </c>
      <c r="AH237" s="19">
        <f ca="1">(הפחתה8[[#This Row],[יתרת פתיחה]])*(מדד4/12)</f>
        <v>0</v>
      </c>
      <c r="AI237" s="19">
        <f ca="1">IF(הפחתה8[[#This Row],[תאריך]]="",0,הפחתה8[[#This Row],[ריבית]]+הפחתה8[[#This Row],[קרן]]+הפחתה8[[#This Row],[מדד]])</f>
        <v>0</v>
      </c>
      <c r="AJ237" s="19">
        <f ca="1">IF(הפחתה8[[#This Row],[תאריך]]="",0,הפחתה8[[#This Row],[יתרת פתיחה]]-הפחתה8[[#This Row],[קרן]])</f>
        <v>0</v>
      </c>
      <c r="AK237" s="20">
        <f ca="1">IF(הפחתה8[[#This Row],[יתרת
סגירה]]&gt;0,LastRow4-ROW(),0)</f>
        <v>0</v>
      </c>
    </row>
    <row r="238" spans="1:37" ht="15" customHeight="1" x14ac:dyDescent="0.25">
      <c r="A238" s="8"/>
      <c r="B238" s="11">
        <f>ROWS($B$4:B238)</f>
        <v>235</v>
      </c>
      <c r="C238" s="12">
        <f>IF(ValuesEntered,IF(הפחתה[[#This Row],[מס'']]&lt;=תקופת_ההלוואה,IF(ROW()-ROW(הפחתה[[#Headers],[תאריך]])=1,LoanStart,IF(I237&gt;0,EDATE(C237,1),"")),""),"")</f>
        <v>52505</v>
      </c>
      <c r="D238" s="13">
        <f>IF(ROW()-ROW(הפחתה[[#Headers],[יתרת פתיחה]])=1,סכום_הלוואה,IF(הפחתה[[#This Row],[תאריך]]="",0,INDEX(הפחתה[], ROW()-4,8)))</f>
        <v>321428.65354674542</v>
      </c>
      <c r="E238" s="13">
        <f>IF(ValuesEntered,IF(ROW()-ROW(הפחתה[[#Headers],[ריבית]])=1,-IPMT(שיעור_ריבית/12,1,תקופת_ההלוואה-ROWS($C$4:C238)+1,הפחתה[[#This Row],[יתרת פתיחה]]),IFERROR(-IPMT(שיעור_ריבית/12,1,הפחתה[[#This Row],[תשלומים
שנותרו]],D239),0)),0)</f>
        <v>1411.1977374305131</v>
      </c>
      <c r="F238" s="13">
        <f>IFERROR(IF(AND(ValuesEntered,הפחתה[[#This Row],[תאריך]]&lt;&gt;""),-PPMT(שיעור_ריבית/12,1,תקופת_ההלוואה-ROWS($C$4:C238)+1,הפחתה[[#This Row],[יתרת פתיחה]]),""),0)</f>
        <v>1912.1846945537609</v>
      </c>
      <c r="G238" s="13">
        <f>(הפחתה[[#This Row],[יתרת פתיחה]])*(מדד/12)</f>
        <v>0</v>
      </c>
      <c r="H238" s="13">
        <f>IF(הפחתה[[#This Row],[תאריך]]="",0,הפחתה[[#This Row],[ריבית]]+הפחתה[[#This Row],[קרן]]+הפחתה[[#This Row],[מדד]])</f>
        <v>3323.3824319842743</v>
      </c>
      <c r="I238" s="13">
        <f>IF(הפחתה[[#This Row],[תאריך]]="",0,הפחתה[[#This Row],[יתרת פתיחה]]-הפחתה[[#This Row],[קרן]]+הפחתה[[#This Row],[מדד]])</f>
        <v>319516.46885219164</v>
      </c>
      <c r="J238" s="11">
        <f>IF(הפחתה[[#This Row],[יתרת
סגירה]]&gt;0,LastRow-ROW(),0)</f>
        <v>125</v>
      </c>
      <c r="K238" s="11">
        <f>ROWS($K$4:K238)</f>
        <v>235</v>
      </c>
      <c r="L238" s="12">
        <f>IF(ValuesEntered2,IF(הפחתה5[[#This Row],[מס'']]&lt;=תקופת_ההלוואה2,IF(ROW()-ROW(הפחתה5[[#Headers],[תאריך]])=1,LoanStart2,IF(R237&gt;0,EDATE(L237,1),"")),""),"")</f>
        <v>52505</v>
      </c>
      <c r="M238" s="13">
        <f>IF(ROW()-ROW(הפחתה5[[#Headers],[יתרת פתיחה]])=1,סכום_הלוואה2,IF(הפחתה5[[#This Row],[תאריך]]="",0,INDEX(הפחתה5[], ROW()-4,8)))</f>
        <v>98802.48045665992</v>
      </c>
      <c r="N238" s="13">
        <f>IF(ValuesEntered2,IF(ROW()-ROW(הפחתה5[[#Headers],[ריבית]])=1,-IPMT(שיעור_ריבית2/12,1,תקופת_ההלוואה2-ROWS($L$4:L238)+1,הפחתה5[[#This Row],[יתרת פתיחה]]),IFERROR(-IPMT(שיעור_ריבית2/12,1,הפחתה5[[#This Row],[תשלומים
שנותרו]],M239),0)),0)</f>
        <v>381.82690732778673</v>
      </c>
      <c r="O238" s="13">
        <f>IFERROR(IF(AND(ValuesEntered2,הפחתה5[[#This Row],[תאריך]]&lt;&gt;""),-PPMT(שיעור_ריבית2/12,1,תקופת_ההלוואה2-ROWS($L$4:L238)+1,הפחתה5[[#This Row],[יתרת פתיחה]]),""),0)</f>
        <v>1314.7594367994743</v>
      </c>
      <c r="P238" s="13">
        <f>(הפחתה5[[#This Row],[יתרת פתיחה]])*(מדד2/12)</f>
        <v>0</v>
      </c>
      <c r="Q238" s="13">
        <f>IF(הפחתה5[[#This Row],[תאריך]]="",0,הפחתה5[[#This Row],[ריבית]]+הפחתה5[[#This Row],[קרן]]+הפחתה5[[#This Row],[מדד]])</f>
        <v>1696.5863441272611</v>
      </c>
      <c r="R238" s="13">
        <f>IF(הפחתה5[[#This Row],[תאריך]]="",0,הפחתה5[[#This Row],[יתרת פתיחה]]-הפחתה5[[#This Row],[קרן]]+הפחתה5[[#This Row],[מדד]])</f>
        <v>97487.721019860444</v>
      </c>
      <c r="S238" s="11">
        <f>IF(הפחתה5[[#This Row],[יתרת
סגירה]]&gt;0,LastRow2-ROW(),0)</f>
        <v>65</v>
      </c>
      <c r="T238" s="11">
        <f>ROWS($T$4:T238)</f>
        <v>235</v>
      </c>
      <c r="U238" s="12">
        <f ca="1">IF(ValuesEntered3,IF(הפחתה7[[#This Row],[מס'']]&lt;=תקופת_ההלוואה3,IF(ROW()-ROW(הפחתה7[[#Headers],[תאריך]])=1,LoanStart3,IF(AA237&gt;0,EDATE(U237,1),"")),""),"")</f>
        <v>52742</v>
      </c>
      <c r="V238" s="13">
        <f ca="1">IF(ROW()-ROW(הפחתה7[[#Headers],[יתרת פתיחה]])=1,סכום_הלוואה3,IF(הפחתה7[[#This Row],[תאריך]]="",0,INDEX(הפחתה7[], ROW()-4,8)))</f>
        <v>40200.623246047078</v>
      </c>
      <c r="W238" s="13">
        <f ca="1">IF(ValuesEntered3,IF(ROW()-ROW(הפחתה7[[#Headers],[ריבית]])=1,-IPMT(שיעור_ריבית3/12,1,תקופת_ההלוואה3-ROWS($C$4:U238)+1,הפחתה7[[#This Row],[יתרת פתיחה]]),IFERROR(-IPMT(שיעור_ריבית3/12,1,הפחתה7[[#This Row],[תשלומים
שנותרו]],V239),0)),0)</f>
        <v>76.083338252242655</v>
      </c>
      <c r="X238" s="13">
        <f ca="1">IFERROR(IF(AND(ValuesEntered3,הפחתה7[[#This Row],[תאריך]]&lt;&gt;""),-PPMT(שיעור_ריבית3/12,1,תקופת_ההלוואה3-ROWS($C$4:U238)+1,הפחתה7[[#This Row],[יתרת פתיחה]]),""),0)</f>
        <v>571.96954448996632</v>
      </c>
      <c r="Y238" s="13">
        <f ca="1">(הפחתה7[[#This Row],[יתרת פתיחה]])*(מדד3/12)</f>
        <v>67.001038743411797</v>
      </c>
      <c r="Z238" s="13">
        <f ca="1">IF(הפחתה7[[#This Row],[תאריך]]="",0,הפחתה7[[#This Row],[ריבית]]+הפחתה7[[#This Row],[קרן]]+הפחתה7[[#This Row],[מדד]])</f>
        <v>715.05392148562078</v>
      </c>
      <c r="AA238" s="13">
        <f ca="1">IF(הפחתה7[[#This Row],[תאריך]]="",0,הפחתה7[[#This Row],[יתרת פתיחה]]-הפחתה7[[#This Row],[קרן]]+הפחתה7[[#This Row],[מדד]])</f>
        <v>39695.654740300517</v>
      </c>
      <c r="AB238" s="11">
        <f ca="1">IF(הפחתה7[[#This Row],[יתרת
סגירה]]&gt;0,LastRow3-ROW(),0)</f>
        <v>65</v>
      </c>
      <c r="AC238" s="17">
        <f>ROWS($AC$4:AC238)</f>
        <v>235</v>
      </c>
      <c r="AD238" s="18" t="str">
        <f ca="1">IF(ValuesEntered4,IF(הפחתה8[[#This Row],[מס'']]&lt;=תקופת_ההלוואה4,IF(ROW()-ROW(הפחתה8[[#Headers],[תאריך]])=1,LoanStart4,IF(AJ237&gt;0,EDATE(AD237,1),"")),""),"")</f>
        <v/>
      </c>
      <c r="AE238" s="19">
        <f ca="1">IF(ROW()-ROW(הפחתה8[[#Headers],[יתרת פתיחה]])=1,סכום_הלוואה4,IF(הפחתה8[[#This Row],[תאריך]]="",0,INDEX(הפחתה8[], ROW()-4,8)))</f>
        <v>0</v>
      </c>
      <c r="AF238" s="19">
        <f ca="1">IF(ValuesEntered4,IF(ROW()-ROW(הפחתה8[[#Headers],[ריבית]])=1,-IPMT(שיעור_ריבית4/12,1,תקופת_ההלוואה4-ROWS($C$4:AD238)+1,הפחתה8[[#This Row],[יתרת פתיחה]]),IFERROR(-IPMT(שיעור_ריבית4/12,1,הפחתה8[[#This Row],[תשלומים
שנותרו]],AE239),0)),0)</f>
        <v>0</v>
      </c>
      <c r="AG238" s="19" t="str">
        <f ca="1">IFERROR(IF(AND(ValuesEntered4,הפחתה8[[#This Row],[תאריך]]&lt;&gt;""),-PPMT(שיעור_ריבית4/12,1,תקופת_ההלוואה4-ROWS($C$4:AD238)+1,הפחתה8[[#This Row],[יתרת פתיחה]]),""),0)</f>
        <v/>
      </c>
      <c r="AH238" s="19">
        <f ca="1">(הפחתה8[[#This Row],[יתרת פתיחה]])*(מדד4/12)</f>
        <v>0</v>
      </c>
      <c r="AI238" s="19">
        <f ca="1">IF(הפחתה8[[#This Row],[תאריך]]="",0,הפחתה8[[#This Row],[ריבית]]+הפחתה8[[#This Row],[קרן]]+הפחתה8[[#This Row],[מדד]])</f>
        <v>0</v>
      </c>
      <c r="AJ238" s="19">
        <f ca="1">IF(הפחתה8[[#This Row],[תאריך]]="",0,הפחתה8[[#This Row],[יתרת פתיחה]]-הפחתה8[[#This Row],[קרן]])</f>
        <v>0</v>
      </c>
      <c r="AK238" s="20">
        <f ca="1">IF(הפחתה8[[#This Row],[יתרת
סגירה]]&gt;0,LastRow4-ROW(),0)</f>
        <v>0</v>
      </c>
    </row>
    <row r="239" spans="1:37" ht="15" customHeight="1" x14ac:dyDescent="0.25">
      <c r="A239" s="8"/>
      <c r="B239" s="11">
        <f>ROWS($B$4:B239)</f>
        <v>236</v>
      </c>
      <c r="C239" s="12">
        <f>IF(ValuesEntered,IF(הפחתה[[#This Row],[מס'']]&lt;=תקופת_ההלוואה,IF(ROW()-ROW(הפחתה[[#Headers],[תאריך]])=1,LoanStart,IF(I238&gt;0,EDATE(C238,1),"")),""),"")</f>
        <v>52536</v>
      </c>
      <c r="D239" s="13">
        <f>IF(ROW()-ROW(הפחתה[[#Headers],[יתרת פתיחה]])=1,סכום_הלוואה,IF(הפחתה[[#This Row],[תאריך]]="",0,INDEX(הפחתה[], ROW()-4,8)))</f>
        <v>319516.46885219164</v>
      </c>
      <c r="E239" s="13">
        <f>IF(ValuesEntered,IF(ROW()-ROW(הפחתה[[#Headers],[ריבית]])=1,-IPMT(שיעור_ריבית/12,1,תקופת_ההלוואה-ROWS($C$4:C239)+1,הפחתה[[#This Row],[יתרת פתיחה]]),IFERROR(-IPMT(שיעור_ריבית/12,1,הפחתה[[#This Row],[תשלומים
שנותרו]],D240),0)),0)</f>
        <v>1402.714954148963</v>
      </c>
      <c r="F239" s="13">
        <f>IFERROR(IF(AND(ValuesEntered,הפחתה[[#This Row],[תאריך]]&lt;&gt;""),-PPMT(שיעור_ריבית/12,1,תקופת_ההלוואה-ROWS($C$4:C239)+1,הפחתה[[#This Row],[יתרת פתיחה]]),""),0)</f>
        <v>1920.6301769547067</v>
      </c>
      <c r="G239" s="13">
        <f>(הפחתה[[#This Row],[יתרת פתיחה]])*(מדד/12)</f>
        <v>0</v>
      </c>
      <c r="H239" s="13">
        <f>IF(הפחתה[[#This Row],[תאריך]]="",0,הפחתה[[#This Row],[ריבית]]+הפחתה[[#This Row],[קרן]]+הפחתה[[#This Row],[מדד]])</f>
        <v>3323.3451311036697</v>
      </c>
      <c r="I239" s="13">
        <f>IF(הפחתה[[#This Row],[תאריך]]="",0,הפחתה[[#This Row],[יתרת פתיחה]]-הפחתה[[#This Row],[קרן]]+הפחתה[[#This Row],[מדד]])</f>
        <v>317595.83867523691</v>
      </c>
      <c r="J239" s="11">
        <f>IF(הפחתה[[#This Row],[יתרת
סגירה]]&gt;0,LastRow-ROW(),0)</f>
        <v>124</v>
      </c>
      <c r="K239" s="11">
        <f>ROWS($K$4:K239)</f>
        <v>236</v>
      </c>
      <c r="L239" s="12">
        <f>IF(ValuesEntered2,IF(הפחתה5[[#This Row],[מס'']]&lt;=תקופת_ההלוואה2,IF(ROW()-ROW(הפחתה5[[#Headers],[תאריך]])=1,LoanStart2,IF(R238&gt;0,EDATE(L238,1),"")),""),"")</f>
        <v>52536</v>
      </c>
      <c r="M239" s="13">
        <f>IF(ROW()-ROW(הפחתה5[[#Headers],[יתרת פתיחה]])=1,סכום_הלוואה2,IF(הפחתה5[[#This Row],[תאריך]]="",0,INDEX(הפחתה5[], ROW()-4,8)))</f>
        <v>97487.721019860444</v>
      </c>
      <c r="N239" s="13">
        <f>IF(ValuesEntered2,IF(ROW()-ROW(הפחתה5[[#Headers],[ריבית]])=1,-IPMT(שיעור_ריבית2/12,1,תקופת_ההלוואה2-ROWS($L$4:L239)+1,הפחתה5[[#This Row],[יתרת פתיחה]]),IFERROR(-IPMT(שיעור_ריבית2/12,1,הפחתה5[[#This Row],[תשלומים
שנותרו]],M240),0)),0)</f>
        <v>376.65726409201733</v>
      </c>
      <c r="O239" s="13">
        <f>IFERROR(IF(AND(ValuesEntered2,הפחתה5[[#This Row],[תאריך]]&lt;&gt;""),-PPMT(שיעור_ריבית2/12,1,תקופת_ההלוואה2-ROWS($L$4:L239)+1,הפחתה5[[#This Row],[יתרת פתיחה]]),""),0)</f>
        <v>1319.9089112602719</v>
      </c>
      <c r="P239" s="13">
        <f>(הפחתה5[[#This Row],[יתרת פתיחה]])*(מדד2/12)</f>
        <v>0</v>
      </c>
      <c r="Q239" s="13">
        <f>IF(הפחתה5[[#This Row],[תאריך]]="",0,הפחתה5[[#This Row],[ריבית]]+הפחתה5[[#This Row],[קרן]]+הפחתה5[[#This Row],[מדד]])</f>
        <v>1696.5661753522893</v>
      </c>
      <c r="R239" s="13">
        <f>IF(הפחתה5[[#This Row],[תאריך]]="",0,הפחתה5[[#This Row],[יתרת פתיחה]]-הפחתה5[[#This Row],[קרן]]+הפחתה5[[#This Row],[מדד]])</f>
        <v>96167.812108600177</v>
      </c>
      <c r="S239" s="11">
        <f>IF(הפחתה5[[#This Row],[יתרת
סגירה]]&gt;0,LastRow2-ROW(),0)</f>
        <v>64</v>
      </c>
      <c r="T239" s="11">
        <f>ROWS($T$4:T239)</f>
        <v>236</v>
      </c>
      <c r="U239" s="12">
        <f ca="1">IF(ValuesEntered3,IF(הפחתה7[[#This Row],[מס'']]&lt;=תקופת_ההלוואה3,IF(ROW()-ROW(הפחתה7[[#Headers],[תאריך]])=1,LoanStart3,IF(AA238&gt;0,EDATE(U238,1),"")),""),"")</f>
        <v>52773</v>
      </c>
      <c r="V239" s="13">
        <f ca="1">IF(ROW()-ROW(הפחתה7[[#Headers],[יתרת פתיחה]])=1,סכום_הלוואה3,IF(הפחתה7[[#This Row],[תאריך]]="",0,INDEX(הפחתה7[], ROW()-4,8)))</f>
        <v>39695.654740300517</v>
      </c>
      <c r="W239" s="13">
        <f ca="1">IF(ValuesEntered3,IF(ROW()-ROW(הפחתה7[[#Headers],[ריבית]])=1,-IPMT(שיעור_ריבית3/12,1,תקופת_ההלוואה3-ROWS($C$4:U239)+1,הפחתה7[[#This Row],[יתרת פתיחה]]),IFERROR(-IPMT(שיעור_ריבית3/12,1,הפחתה7[[#This Row],[תשלומים
שנותרו]],V240),0)),0)</f>
        <v>75.109910613264148</v>
      </c>
      <c r="X239" s="13">
        <f ca="1">IFERROR(IF(AND(ValuesEntered3,הפחתה7[[#This Row],[תאריך]]&lt;&gt;""),-PPMT(שיעור_ריבית3/12,1,תקופת_ההלוואה3-ROWS($C$4:U239)+1,הפחתה7[[#This Row],[יתרת פתיחה]]),""),0)</f>
        <v>574.03471446899619</v>
      </c>
      <c r="Y239" s="13">
        <f ca="1">(הפחתה7[[#This Row],[יתרת פתיחה]])*(מדד3/12)</f>
        <v>66.159424567167534</v>
      </c>
      <c r="Z239" s="13">
        <f ca="1">IF(הפחתה7[[#This Row],[תאריך]]="",0,הפחתה7[[#This Row],[ריבית]]+הפחתה7[[#This Row],[קרן]]+הפחתה7[[#This Row],[מדד]])</f>
        <v>715.30404964942784</v>
      </c>
      <c r="AA239" s="13">
        <f ca="1">IF(הפחתה7[[#This Row],[תאריך]]="",0,הפחתה7[[#This Row],[יתרת פתיחה]]-הפחתה7[[#This Row],[קרן]]+הפחתה7[[#This Row],[מדד]])</f>
        <v>39187.779450398688</v>
      </c>
      <c r="AB239" s="11">
        <f ca="1">IF(הפחתה7[[#This Row],[יתרת
סגירה]]&gt;0,LastRow3-ROW(),0)</f>
        <v>64</v>
      </c>
      <c r="AC239" s="17">
        <f>ROWS($AC$4:AC239)</f>
        <v>236</v>
      </c>
      <c r="AD239" s="18" t="str">
        <f ca="1">IF(ValuesEntered4,IF(הפחתה8[[#This Row],[מס'']]&lt;=תקופת_ההלוואה4,IF(ROW()-ROW(הפחתה8[[#Headers],[תאריך]])=1,LoanStart4,IF(AJ238&gt;0,EDATE(AD238,1),"")),""),"")</f>
        <v/>
      </c>
      <c r="AE239" s="19">
        <f ca="1">IF(ROW()-ROW(הפחתה8[[#Headers],[יתרת פתיחה]])=1,סכום_הלוואה4,IF(הפחתה8[[#This Row],[תאריך]]="",0,INDEX(הפחתה8[], ROW()-4,8)))</f>
        <v>0</v>
      </c>
      <c r="AF239" s="19">
        <f ca="1">IF(ValuesEntered4,IF(ROW()-ROW(הפחתה8[[#Headers],[ריבית]])=1,-IPMT(שיעור_ריבית4/12,1,תקופת_ההלוואה4-ROWS($C$4:AD239)+1,הפחתה8[[#This Row],[יתרת פתיחה]]),IFERROR(-IPMT(שיעור_ריבית4/12,1,הפחתה8[[#This Row],[תשלומים
שנותרו]],AE240),0)),0)</f>
        <v>0</v>
      </c>
      <c r="AG239" s="19" t="str">
        <f ca="1">IFERROR(IF(AND(ValuesEntered4,הפחתה8[[#This Row],[תאריך]]&lt;&gt;""),-PPMT(שיעור_ריבית4/12,1,תקופת_ההלוואה4-ROWS($C$4:AD239)+1,הפחתה8[[#This Row],[יתרת פתיחה]]),""),0)</f>
        <v/>
      </c>
      <c r="AH239" s="19">
        <f ca="1">(הפחתה8[[#This Row],[יתרת פתיחה]])*(מדד4/12)</f>
        <v>0</v>
      </c>
      <c r="AI239" s="19">
        <f ca="1">IF(הפחתה8[[#This Row],[תאריך]]="",0,הפחתה8[[#This Row],[ריבית]]+הפחתה8[[#This Row],[קרן]]+הפחתה8[[#This Row],[מדד]])</f>
        <v>0</v>
      </c>
      <c r="AJ239" s="19">
        <f ca="1">IF(הפחתה8[[#This Row],[תאריך]]="",0,הפחתה8[[#This Row],[יתרת פתיחה]]-הפחתה8[[#This Row],[קרן]])</f>
        <v>0</v>
      </c>
      <c r="AK239" s="20">
        <f ca="1">IF(הפחתה8[[#This Row],[יתרת
סגירה]]&gt;0,LastRow4-ROW(),0)</f>
        <v>0</v>
      </c>
    </row>
    <row r="240" spans="1:37" ht="15" customHeight="1" x14ac:dyDescent="0.25">
      <c r="A240" s="8"/>
      <c r="B240" s="11">
        <f>ROWS($B$4:B240)</f>
        <v>237</v>
      </c>
      <c r="C240" s="12">
        <f>IF(ValuesEntered,IF(הפחתה[[#This Row],[מס'']]&lt;=תקופת_ההלוואה,IF(ROW()-ROW(הפחתה[[#Headers],[תאריך]])=1,LoanStart,IF(I239&gt;0,EDATE(C239,1),"")),""),"")</f>
        <v>52566</v>
      </c>
      <c r="D240" s="13">
        <f>IF(ROW()-ROW(הפחתה[[#Headers],[יתרת פתיחה]])=1,סכום_הלוואה,IF(הפחתה[[#This Row],[תאריך]]="",0,INDEX(הפחתה[], ROW()-4,8)))</f>
        <v>317595.83867523691</v>
      </c>
      <c r="E240" s="13">
        <f>IF(ValuesEntered,IF(ROW()-ROW(הפחתה[[#Headers],[ריבית]])=1,-IPMT(שיעור_ריבית/12,1,תקופת_ההלוואה-ROWS($C$4:C240)+1,הפחתה[[#This Row],[יתרת פתיחה]]),IFERROR(-IPMT(שיעור_ריבית/12,1,הפחתה[[#This Row],[תשלומים
שנותרו]],D241),0)),0)</f>
        <v>1394.1947052412529</v>
      </c>
      <c r="F240" s="13">
        <f>IFERROR(IF(AND(ValuesEntered,הפחתה[[#This Row],[תאריך]]&lt;&gt;""),-PPMT(שיעור_ריבית/12,1,תקופת_ההלוואה-ROWS($C$4:C240)+1,הפחתה[[#This Row],[יתרת פתיחה]]),""),0)</f>
        <v>1929.1129602362566</v>
      </c>
      <c r="G240" s="13">
        <f>(הפחתה[[#This Row],[יתרת פתיחה]])*(מדד/12)</f>
        <v>0</v>
      </c>
      <c r="H240" s="13">
        <f>IF(הפחתה[[#This Row],[תאריך]]="",0,הפחתה[[#This Row],[ריבית]]+הפחתה[[#This Row],[קרן]]+הפחתה[[#This Row],[מדד]])</f>
        <v>3323.3076654775095</v>
      </c>
      <c r="I240" s="13">
        <f>IF(הפחתה[[#This Row],[תאריך]]="",0,הפחתה[[#This Row],[יתרת פתיחה]]-הפחתה[[#This Row],[קרן]]+הפחתה[[#This Row],[מדד]])</f>
        <v>315666.72571500065</v>
      </c>
      <c r="J240" s="11">
        <f>IF(הפחתה[[#This Row],[יתרת
סגירה]]&gt;0,LastRow-ROW(),0)</f>
        <v>123</v>
      </c>
      <c r="K240" s="11">
        <f>ROWS($K$4:K240)</f>
        <v>237</v>
      </c>
      <c r="L240" s="12">
        <f>IF(ValuesEntered2,IF(הפחתה5[[#This Row],[מס'']]&lt;=תקופת_ההלוואה2,IF(ROW()-ROW(הפחתה5[[#Headers],[תאריך]])=1,LoanStart2,IF(R239&gt;0,EDATE(L239,1),"")),""),"")</f>
        <v>52566</v>
      </c>
      <c r="M240" s="13">
        <f>IF(ROW()-ROW(הפחתה5[[#Headers],[יתרת פתיחה]])=1,סכום_הלוואה2,IF(הפחתה5[[#This Row],[תאריך]]="",0,INDEX(הפחתה5[], ROW()-4,8)))</f>
        <v>96167.812108600177</v>
      </c>
      <c r="N240" s="13">
        <f>IF(ValuesEntered2,IF(ROW()-ROW(הפחתה5[[#Headers],[ריבית]])=1,-IPMT(שיעור_ריבית2/12,1,תקופת_ההלוואה2-ROWS($L$4:L240)+1,הפחתה5[[#This Row],[יתרת פתיחה]]),IFERROR(-IPMT(שיעור_ריבית2/12,1,הפחתה5[[#This Row],[תשלומים
שנותרו]],M241),0)),0)</f>
        <v>371.46737308690786</v>
      </c>
      <c r="O240" s="13">
        <f>IFERROR(IF(AND(ValuesEntered2,הפחתה5[[#This Row],[תאריך]]&lt;&gt;""),-PPMT(שיעור_ריבית2/12,1,תקופת_ההלוואה2-ROWS($L$4:L240)+1,הפחתה5[[#This Row],[יתרת פתיחה]]),""),0)</f>
        <v>1325.078554496042</v>
      </c>
      <c r="P240" s="13">
        <f>(הפחתה5[[#This Row],[יתרת פתיחה]])*(מדד2/12)</f>
        <v>0</v>
      </c>
      <c r="Q240" s="13">
        <f>IF(הפחתה5[[#This Row],[תאריך]]="",0,הפחתה5[[#This Row],[ריבית]]+הפחתה5[[#This Row],[קרן]]+הפחתה5[[#This Row],[מדד]])</f>
        <v>1696.5459275829498</v>
      </c>
      <c r="R240" s="13">
        <f>IF(הפחתה5[[#This Row],[תאריך]]="",0,הפחתה5[[#This Row],[יתרת פתיחה]]-הפחתה5[[#This Row],[קרן]]+הפחתה5[[#This Row],[מדד]])</f>
        <v>94842.733554104139</v>
      </c>
      <c r="S240" s="11">
        <f>IF(הפחתה5[[#This Row],[יתרת
סגירה]]&gt;0,LastRow2-ROW(),0)</f>
        <v>63</v>
      </c>
      <c r="T240" s="11">
        <f>ROWS($T$4:T240)</f>
        <v>237</v>
      </c>
      <c r="U240" s="12">
        <f ca="1">IF(ValuesEntered3,IF(הפחתה7[[#This Row],[מס'']]&lt;=תקופת_ההלוואה3,IF(ROW()-ROW(הפחתה7[[#Headers],[תאריך]])=1,LoanStart3,IF(AA239&gt;0,EDATE(U239,1),"")),""),"")</f>
        <v>52803</v>
      </c>
      <c r="V240" s="13">
        <f ca="1">IF(ROW()-ROW(הפחתה7[[#Headers],[יתרת פתיחה]])=1,סכום_הלוואה3,IF(הפחתה7[[#This Row],[תאריך]]="",0,INDEX(הפחתה7[], ROW()-4,8)))</f>
        <v>39187.779450398688</v>
      </c>
      <c r="W240" s="13">
        <f ca="1">IF(ValuesEntered3,IF(ROW()-ROW(הפחתה7[[#Headers],[ריבית]])=1,-IPMT(שיעור_ריבית3/12,1,תקופת_ההלוואה3-ROWS($C$4:U240)+1,הפחתה7[[#This Row],[יתרת פתיחה]]),IFERROR(-IPMT(שיעור_ריבית3/12,1,הפחתה7[[#This Row],[תשלומים
שנותרו]],V241),0)),0)</f>
        <v>74.130887620020999</v>
      </c>
      <c r="X240" s="13">
        <f ca="1">IFERROR(IF(AND(ValuesEntered3,הפחתה7[[#This Row],[תאריך]]&lt;&gt;""),-PPMT(שיעור_ריבית3/12,1,תקופת_ההלוואה3-ROWS($C$4:U240)+1,הפחתה7[[#This Row],[יתרת פתיחה]]),""),0)</f>
        <v>576.10757092100346</v>
      </c>
      <c r="Y240" s="13">
        <f ca="1">(הפחתה7[[#This Row],[יתרת פתיחה]])*(מדד3/12)</f>
        <v>65.312965750664489</v>
      </c>
      <c r="Z240" s="13">
        <f ca="1">IF(הפחתה7[[#This Row],[תאריך]]="",0,הפחתה7[[#This Row],[ריבית]]+הפחתה7[[#This Row],[קרן]]+הפחתה7[[#This Row],[מדד]])</f>
        <v>715.55142429168893</v>
      </c>
      <c r="AA240" s="13">
        <f ca="1">IF(הפחתה7[[#This Row],[תאריך]]="",0,הפחתה7[[#This Row],[יתרת פתיחה]]-הפחתה7[[#This Row],[קרן]]+הפחתה7[[#This Row],[מדד]])</f>
        <v>38676.984845228348</v>
      </c>
      <c r="AB240" s="11">
        <f ca="1">IF(הפחתה7[[#This Row],[יתרת
סגירה]]&gt;0,LastRow3-ROW(),0)</f>
        <v>63</v>
      </c>
      <c r="AC240" s="17">
        <f>ROWS($AC$4:AC240)</f>
        <v>237</v>
      </c>
      <c r="AD240" s="18" t="str">
        <f ca="1">IF(ValuesEntered4,IF(הפחתה8[[#This Row],[מס'']]&lt;=תקופת_ההלוואה4,IF(ROW()-ROW(הפחתה8[[#Headers],[תאריך]])=1,LoanStart4,IF(AJ239&gt;0,EDATE(AD239,1),"")),""),"")</f>
        <v/>
      </c>
      <c r="AE240" s="19">
        <f ca="1">IF(ROW()-ROW(הפחתה8[[#Headers],[יתרת פתיחה]])=1,סכום_הלוואה4,IF(הפחתה8[[#This Row],[תאריך]]="",0,INDEX(הפחתה8[], ROW()-4,8)))</f>
        <v>0</v>
      </c>
      <c r="AF240" s="19">
        <f ca="1">IF(ValuesEntered4,IF(ROW()-ROW(הפחתה8[[#Headers],[ריבית]])=1,-IPMT(שיעור_ריבית4/12,1,תקופת_ההלוואה4-ROWS($C$4:AD240)+1,הפחתה8[[#This Row],[יתרת פתיחה]]),IFERROR(-IPMT(שיעור_ריבית4/12,1,הפחתה8[[#This Row],[תשלומים
שנותרו]],AE241),0)),0)</f>
        <v>0</v>
      </c>
      <c r="AG240" s="19" t="str">
        <f ca="1">IFERROR(IF(AND(ValuesEntered4,הפחתה8[[#This Row],[תאריך]]&lt;&gt;""),-PPMT(שיעור_ריבית4/12,1,תקופת_ההלוואה4-ROWS($C$4:AD240)+1,הפחתה8[[#This Row],[יתרת פתיחה]]),""),0)</f>
        <v/>
      </c>
      <c r="AH240" s="19">
        <f ca="1">(הפחתה8[[#This Row],[יתרת פתיחה]])*(מדד4/12)</f>
        <v>0</v>
      </c>
      <c r="AI240" s="19">
        <f ca="1">IF(הפחתה8[[#This Row],[תאריך]]="",0,הפחתה8[[#This Row],[ריבית]]+הפחתה8[[#This Row],[קרן]]+הפחתה8[[#This Row],[מדד]])</f>
        <v>0</v>
      </c>
      <c r="AJ240" s="19">
        <f ca="1">IF(הפחתה8[[#This Row],[תאריך]]="",0,הפחתה8[[#This Row],[יתרת פתיחה]]-הפחתה8[[#This Row],[קרן]])</f>
        <v>0</v>
      </c>
      <c r="AK240" s="20">
        <f ca="1">IF(הפחתה8[[#This Row],[יתרת
סגירה]]&gt;0,LastRow4-ROW(),0)</f>
        <v>0</v>
      </c>
    </row>
    <row r="241" spans="1:37" ht="15" customHeight="1" x14ac:dyDescent="0.25">
      <c r="A241" s="8"/>
      <c r="B241" s="11">
        <f>ROWS($B$4:B241)</f>
        <v>238</v>
      </c>
      <c r="C241" s="12">
        <f>IF(ValuesEntered,IF(הפחתה[[#This Row],[מס'']]&lt;=תקופת_ההלוואה,IF(ROW()-ROW(הפחתה[[#Headers],[תאריך]])=1,LoanStart,IF(I240&gt;0,EDATE(C240,1),"")),""),"")</f>
        <v>52597</v>
      </c>
      <c r="D241" s="13">
        <f>IF(ROW()-ROW(הפחתה[[#Headers],[יתרת פתיחה]])=1,סכום_הלוואה,IF(הפחתה[[#This Row],[תאריך]]="",0,INDEX(הפחתה[], ROW()-4,8)))</f>
        <v>315666.72571500065</v>
      </c>
      <c r="E241" s="13">
        <f>IF(ValuesEntered,IF(ROW()-ROW(הפחתה[[#Headers],[ריבית]])=1,-IPMT(שיעור_ריבית/12,1,תקופת_ההלוואה-ROWS($C$4:C241)+1,הפחתה[[#This Row],[יתרת פתיחה]]),IFERROR(-IPMT(שיעור_ריבית/12,1,הפחתה[[#This Row],[תשלומים
שנותרו]],D242),0)),0)</f>
        <v>1385.6368252342006</v>
      </c>
      <c r="F241" s="13">
        <f>IFERROR(IF(AND(ValuesEntered,הפחתה[[#This Row],[תאריך]]&lt;&gt;""),-PPMT(שיעור_ריבית/12,1,תקופת_ההלוואה-ROWS($C$4:C241)+1,הפחתה[[#This Row],[יתרת פתיחה]]),""),0)</f>
        <v>1937.6332091439665</v>
      </c>
      <c r="G241" s="13">
        <f>(הפחתה[[#This Row],[יתרת פתיחה]])*(מדד/12)</f>
        <v>0</v>
      </c>
      <c r="H241" s="13">
        <f>IF(הפחתה[[#This Row],[תאריך]]="",0,הפחתה[[#This Row],[ריבית]]+הפחתה[[#This Row],[קרן]]+הפחתה[[#This Row],[מדד]])</f>
        <v>3323.2700343781671</v>
      </c>
      <c r="I241" s="13">
        <f>IF(הפחתה[[#This Row],[תאריך]]="",0,הפחתה[[#This Row],[יתרת פתיחה]]-הפחתה[[#This Row],[קרן]]+הפחתה[[#This Row],[מדד]])</f>
        <v>313729.09250585671</v>
      </c>
      <c r="J241" s="11">
        <f>IF(הפחתה[[#This Row],[יתרת
סגירה]]&gt;0,LastRow-ROW(),0)</f>
        <v>122</v>
      </c>
      <c r="K241" s="11">
        <f>ROWS($K$4:K241)</f>
        <v>238</v>
      </c>
      <c r="L241" s="12">
        <f>IF(ValuesEntered2,IF(הפחתה5[[#This Row],[מס'']]&lt;=תקופת_ההלוואה2,IF(ROW()-ROW(הפחתה5[[#Headers],[תאריך]])=1,LoanStart2,IF(R240&gt;0,EDATE(L240,1),"")),""),"")</f>
        <v>52597</v>
      </c>
      <c r="M241" s="13">
        <f>IF(ROW()-ROW(הפחתה5[[#Headers],[יתרת פתיחה]])=1,סכום_הלוואה2,IF(הפחתה5[[#This Row],[תאריך]]="",0,INDEX(הפחתה5[], ROW()-4,8)))</f>
        <v>94842.733554104139</v>
      </c>
      <c r="N241" s="13">
        <f>IF(ValuesEntered2,IF(ROW()-ROW(הפחתה5[[#Headers],[ריבית]])=1,-IPMT(שיעור_ריבית2/12,1,תקופת_ההלוואה2-ROWS($L$4:L241)+1,הפחתה5[[#This Row],[יתרת פתיחה]]),IFERROR(-IPMT(שיעור_ריבית2/12,1,הפחתה5[[#This Row],[תשלומים
שנותרו]],M242),0)),0)</f>
        <v>366.25715500869501</v>
      </c>
      <c r="O241" s="13">
        <f>IFERROR(IF(AND(ValuesEntered2,הפחתה5[[#This Row],[תאריך]]&lt;&gt;""),-PPMT(שיעור_ריבית2/12,1,תקופת_ההלוואה2-ROWS($L$4:L241)+1,הפחתה5[[#This Row],[יתרת פתיחה]]),""),0)</f>
        <v>1330.2684455011511</v>
      </c>
      <c r="P241" s="13">
        <f>(הפחתה5[[#This Row],[יתרת פתיחה]])*(מדד2/12)</f>
        <v>0</v>
      </c>
      <c r="Q241" s="13">
        <f>IF(הפחתה5[[#This Row],[תאריך]]="",0,הפחתה5[[#This Row],[ריבית]]+הפחתה5[[#This Row],[קרן]]+הפחתה5[[#This Row],[מדד]])</f>
        <v>1696.5256005098461</v>
      </c>
      <c r="R241" s="13">
        <f>IF(הפחתה5[[#This Row],[תאריך]]="",0,הפחתה5[[#This Row],[יתרת פתיחה]]-הפחתה5[[#This Row],[קרן]]+הפחתה5[[#This Row],[מדד]])</f>
        <v>93512.465108602992</v>
      </c>
      <c r="S241" s="11">
        <f>IF(הפחתה5[[#This Row],[יתרת
סגירה]]&gt;0,LastRow2-ROW(),0)</f>
        <v>62</v>
      </c>
      <c r="T241" s="11">
        <f>ROWS($T$4:T241)</f>
        <v>238</v>
      </c>
      <c r="U241" s="12">
        <f ca="1">IF(ValuesEntered3,IF(הפחתה7[[#This Row],[מס'']]&lt;=תקופת_ההלוואה3,IF(ROW()-ROW(הפחתה7[[#Headers],[תאריך]])=1,LoanStart3,IF(AA240&gt;0,EDATE(U240,1),"")),""),"")</f>
        <v>52834</v>
      </c>
      <c r="V241" s="13">
        <f ca="1">IF(ROW()-ROW(הפחתה7[[#Headers],[יתרת פתיחה]])=1,סכום_הלוואה3,IF(הפחתה7[[#This Row],[תאריך]]="",0,INDEX(הפחתה7[], ROW()-4,8)))</f>
        <v>38676.984845228348</v>
      </c>
      <c r="W241" s="13">
        <f ca="1">IF(ValuesEntered3,IF(ROW()-ROW(הפחתה7[[#Headers],[ריבית]])=1,-IPMT(שיעור_ריבית3/12,1,תקופת_ההלוואה3-ROWS($C$4:U241)+1,הפחתה7[[#This Row],[יתרת פתיחה]]),IFERROR(-IPMT(שיעור_ריבית3/12,1,הפחתה7[[#This Row],[תשלומים
שנותרו]],V242),0)),0)</f>
        <v>73.146245144082911</v>
      </c>
      <c r="X241" s="13">
        <f ca="1">IFERROR(IF(AND(ValuesEntered3,הפחתה7[[#This Row],[תאריך]]&lt;&gt;""),-PPMT(שיעור_ריבית3/12,1,תקופת_ההלוואה3-ROWS($C$4:U241)+1,הפחתה7[[#This Row],[יתרת פתיחה]]),""),0)</f>
        <v>578.18815059380302</v>
      </c>
      <c r="Y241" s="13">
        <f ca="1">(הפחתה7[[#This Row],[יתרת פתיחה]])*(מדד3/12)</f>
        <v>64.461641408713916</v>
      </c>
      <c r="Z241" s="13">
        <f ca="1">IF(הפחתה7[[#This Row],[תאריך]]="",0,הפחתה7[[#This Row],[ריבית]]+הפחתה7[[#This Row],[קרן]]+הפחתה7[[#This Row],[מדד]])</f>
        <v>715.79603714659982</v>
      </c>
      <c r="AA241" s="13">
        <f ca="1">IF(הפחתה7[[#This Row],[תאריך]]="",0,הפחתה7[[#This Row],[יתרת פתיחה]]-הפחתה7[[#This Row],[קרן]]+הפחתה7[[#This Row],[מדד]])</f>
        <v>38163.258336043262</v>
      </c>
      <c r="AB241" s="11">
        <f ca="1">IF(הפחתה7[[#This Row],[יתרת
סגירה]]&gt;0,LastRow3-ROW(),0)</f>
        <v>62</v>
      </c>
      <c r="AC241" s="17">
        <f>ROWS($AC$4:AC241)</f>
        <v>238</v>
      </c>
      <c r="AD241" s="18" t="str">
        <f ca="1">IF(ValuesEntered4,IF(הפחתה8[[#This Row],[מס'']]&lt;=תקופת_ההלוואה4,IF(ROW()-ROW(הפחתה8[[#Headers],[תאריך]])=1,LoanStart4,IF(AJ240&gt;0,EDATE(AD240,1),"")),""),"")</f>
        <v/>
      </c>
      <c r="AE241" s="19">
        <f ca="1">IF(ROW()-ROW(הפחתה8[[#Headers],[יתרת פתיחה]])=1,סכום_הלוואה4,IF(הפחתה8[[#This Row],[תאריך]]="",0,INDEX(הפחתה8[], ROW()-4,8)))</f>
        <v>0</v>
      </c>
      <c r="AF241" s="19">
        <f ca="1">IF(ValuesEntered4,IF(ROW()-ROW(הפחתה8[[#Headers],[ריבית]])=1,-IPMT(שיעור_ריבית4/12,1,תקופת_ההלוואה4-ROWS($C$4:AD241)+1,הפחתה8[[#This Row],[יתרת פתיחה]]),IFERROR(-IPMT(שיעור_ריבית4/12,1,הפחתה8[[#This Row],[תשלומים
שנותרו]],AE242),0)),0)</f>
        <v>0</v>
      </c>
      <c r="AG241" s="19" t="str">
        <f ca="1">IFERROR(IF(AND(ValuesEntered4,הפחתה8[[#This Row],[תאריך]]&lt;&gt;""),-PPMT(שיעור_ריבית4/12,1,תקופת_ההלוואה4-ROWS($C$4:AD241)+1,הפחתה8[[#This Row],[יתרת פתיחה]]),""),0)</f>
        <v/>
      </c>
      <c r="AH241" s="19">
        <f ca="1">(הפחתה8[[#This Row],[יתרת פתיחה]])*(מדד4/12)</f>
        <v>0</v>
      </c>
      <c r="AI241" s="19">
        <f ca="1">IF(הפחתה8[[#This Row],[תאריך]]="",0,הפחתה8[[#This Row],[ריבית]]+הפחתה8[[#This Row],[קרן]]+הפחתה8[[#This Row],[מדד]])</f>
        <v>0</v>
      </c>
      <c r="AJ241" s="19">
        <f ca="1">IF(הפחתה8[[#This Row],[תאריך]]="",0,הפחתה8[[#This Row],[יתרת פתיחה]]-הפחתה8[[#This Row],[קרן]])</f>
        <v>0</v>
      </c>
      <c r="AK241" s="20">
        <f ca="1">IF(הפחתה8[[#This Row],[יתרת
סגירה]]&gt;0,LastRow4-ROW(),0)</f>
        <v>0</v>
      </c>
    </row>
    <row r="242" spans="1:37" ht="15" customHeight="1" x14ac:dyDescent="0.25">
      <c r="A242" s="8"/>
      <c r="B242" s="11">
        <f>ROWS($B$4:B242)</f>
        <v>239</v>
      </c>
      <c r="C242" s="12">
        <f>IF(ValuesEntered,IF(הפחתה[[#This Row],[מס'']]&lt;=תקופת_ההלוואה,IF(ROW()-ROW(הפחתה[[#Headers],[תאריך]])=1,LoanStart,IF(I241&gt;0,EDATE(C241,1),"")),""),"")</f>
        <v>52628</v>
      </c>
      <c r="D242" s="13">
        <f>IF(ROW()-ROW(הפחתה[[#Headers],[יתרת פתיחה]])=1,סכום_הלוואה,IF(הפחתה[[#This Row],[תאריך]]="",0,INDEX(הפחתה[], ROW()-4,8)))</f>
        <v>313729.09250585671</v>
      </c>
      <c r="E242" s="13">
        <f>IF(ValuesEntered,IF(ROW()-ROW(הפחתה[[#Headers],[ריבית]])=1,-IPMT(שיעור_ריבית/12,1,תקופת_ההלוואה-ROWS($C$4:C242)+1,הפחתה[[#This Row],[יתרת פתיחה]]),IFERROR(-IPMT(שיעור_ריבית/12,1,הפחתה[[#This Row],[תשלומים
שנותרו]],D243),0)),0)</f>
        <v>1377.0411479237835</v>
      </c>
      <c r="F242" s="13">
        <f>IFERROR(IF(AND(ValuesEntered,הפחתה[[#This Row],[תאריך]]&lt;&gt;""),-PPMT(שיעור_ריבית/12,1,תקופת_ההלוואה-ROWS($C$4:C242)+1,הפחתה[[#This Row],[יתרת פתיחה]]),""),0)</f>
        <v>1946.1910891510192</v>
      </c>
      <c r="G242" s="13">
        <f>(הפחתה[[#This Row],[יתרת פתיחה]])*(מדד/12)</f>
        <v>0</v>
      </c>
      <c r="H242" s="13">
        <f>IF(הפחתה[[#This Row],[תאריך]]="",0,הפחתה[[#This Row],[ריבית]]+הפחתה[[#This Row],[קרן]]+הפחתה[[#This Row],[מדד]])</f>
        <v>3323.2322370748025</v>
      </c>
      <c r="I242" s="13">
        <f>IF(הפחתה[[#This Row],[תאריך]]="",0,הפחתה[[#This Row],[יתרת פתיחה]]-הפחתה[[#This Row],[קרן]]+הפחתה[[#This Row],[מדד]])</f>
        <v>311782.90141670569</v>
      </c>
      <c r="J242" s="11">
        <f>IF(הפחתה[[#This Row],[יתרת
סגירה]]&gt;0,LastRow-ROW(),0)</f>
        <v>121</v>
      </c>
      <c r="K242" s="11">
        <f>ROWS($K$4:K242)</f>
        <v>239</v>
      </c>
      <c r="L242" s="12">
        <f>IF(ValuesEntered2,IF(הפחתה5[[#This Row],[מס'']]&lt;=תקופת_ההלוואה2,IF(ROW()-ROW(הפחתה5[[#Headers],[תאריך]])=1,LoanStart2,IF(R241&gt;0,EDATE(L241,1),"")),""),"")</f>
        <v>52628</v>
      </c>
      <c r="M242" s="13">
        <f>IF(ROW()-ROW(הפחתה5[[#Headers],[יתרת פתיחה]])=1,סכום_הלוואה2,IF(הפחתה5[[#This Row],[תאריך]]="",0,INDEX(הפחתה5[], ROW()-4,8)))</f>
        <v>93512.465108602992</v>
      </c>
      <c r="N242" s="13">
        <f>IF(ValuesEntered2,IF(ROW()-ROW(הפחתה5[[#Headers],[ריבית]])=1,-IPMT(שיעור_ריבית2/12,1,תקופת_ההלוואה2-ROWS($L$4:L242)+1,הפחתה5[[#This Row],[יתרת פתיחה]]),IFERROR(-IPMT(שיעור_ריבית2/12,1,הפחתה5[[#This Row],[תשלומים
שנותרו]],M243),0)),0)</f>
        <v>361.02653024300918</v>
      </c>
      <c r="O242" s="13">
        <f>IFERROR(IF(AND(ValuesEntered2,הפחתה5[[#This Row],[תאריך]]&lt;&gt;""),-PPMT(שיעור_ריבית2/12,1,תקופת_ההלוואה2-ROWS($L$4:L242)+1,הפחתה5[[#This Row],[יתרת פתיחה]]),""),0)</f>
        <v>1335.4786635793644</v>
      </c>
      <c r="P242" s="13">
        <f>(הפחתה5[[#This Row],[יתרת פתיחה]])*(מדד2/12)</f>
        <v>0</v>
      </c>
      <c r="Q242" s="13">
        <f>IF(הפחתה5[[#This Row],[תאריך]]="",0,הפחתה5[[#This Row],[ריבית]]+הפחתה5[[#This Row],[קרן]]+הפחתה5[[#This Row],[מדד]])</f>
        <v>1696.5051938223735</v>
      </c>
      <c r="R242" s="13">
        <f>IF(הפחתה5[[#This Row],[תאריך]]="",0,הפחתה5[[#This Row],[יתרת פתיחה]]-הפחתה5[[#This Row],[קרן]]+הפחתה5[[#This Row],[מדד]])</f>
        <v>92176.98644502362</v>
      </c>
      <c r="S242" s="11">
        <f>IF(הפחתה5[[#This Row],[יתרת
סגירה]]&gt;0,LastRow2-ROW(),0)</f>
        <v>61</v>
      </c>
      <c r="T242" s="11">
        <f>ROWS($T$4:T242)</f>
        <v>239</v>
      </c>
      <c r="U242" s="12">
        <f ca="1">IF(ValuesEntered3,IF(הפחתה7[[#This Row],[מס'']]&lt;=תקופת_ההלוואה3,IF(ROW()-ROW(הפחתה7[[#Headers],[תאריך]])=1,LoanStart3,IF(AA241&gt;0,EDATE(U241,1),"")),""),"")</f>
        <v>52865</v>
      </c>
      <c r="V242" s="13">
        <f ca="1">IF(ROW()-ROW(הפחתה7[[#Headers],[יתרת פתיחה]])=1,סכום_הלוואה3,IF(הפחתה7[[#This Row],[תאריך]]="",0,INDEX(הפחתה7[], ROW()-4,8)))</f>
        <v>38163.258336043262</v>
      </c>
      <c r="W242" s="13">
        <f ca="1">IF(ValuesEntered3,IF(ROW()-ROW(הפחתה7[[#Headers],[ריבית]])=1,-IPMT(שיעור_ריבית3/12,1,תקופת_ההלוואה3-ROWS($C$4:U242)+1,הפחתה7[[#This Row],[יתרת פתיחה]]),IFERROR(-IPMT(שיעור_ריבית3/12,1,הפחתה7[[#This Row],[תשלומים
שנותרו]],V243),0)),0)</f>
        <v>72.155958945265169</v>
      </c>
      <c r="X242" s="13">
        <f ca="1">IFERROR(IF(AND(ValuesEntered3,הפחתה7[[#This Row],[תאריך]]&lt;&gt;""),-PPMT(שיעור_ריבית3/12,1,תקופת_ההלוואה3-ROWS($C$4:U242)+1,הפחתה7[[#This Row],[יתרת פתיחה]]),""),0)</f>
        <v>580.27649081280765</v>
      </c>
      <c r="Y242" s="13">
        <f ca="1">(הפחתה7[[#This Row],[יתרת פתיחה]])*(מדד3/12)</f>
        <v>63.605430560072108</v>
      </c>
      <c r="Z242" s="13">
        <f ca="1">IF(הפחתה7[[#This Row],[תאריך]]="",0,הפחתה7[[#This Row],[ריבית]]+הפחתה7[[#This Row],[קרן]]+הפחתה7[[#This Row],[מדד]])</f>
        <v>716.03788031814497</v>
      </c>
      <c r="AA242" s="13">
        <f ca="1">IF(הפחתה7[[#This Row],[תאריך]]="",0,הפחתה7[[#This Row],[יתרת פתיחה]]-הפחתה7[[#This Row],[קרן]]+הפחתה7[[#This Row],[מדד]])</f>
        <v>37646.587275790524</v>
      </c>
      <c r="AB242" s="11">
        <f ca="1">IF(הפחתה7[[#This Row],[יתרת
סגירה]]&gt;0,LastRow3-ROW(),0)</f>
        <v>61</v>
      </c>
      <c r="AC242" s="17">
        <f>ROWS($AC$4:AC242)</f>
        <v>239</v>
      </c>
      <c r="AD242" s="18" t="str">
        <f ca="1">IF(ValuesEntered4,IF(הפחתה8[[#This Row],[מס'']]&lt;=תקופת_ההלוואה4,IF(ROW()-ROW(הפחתה8[[#Headers],[תאריך]])=1,LoanStart4,IF(AJ241&gt;0,EDATE(AD241,1),"")),""),"")</f>
        <v/>
      </c>
      <c r="AE242" s="19">
        <f ca="1">IF(ROW()-ROW(הפחתה8[[#Headers],[יתרת פתיחה]])=1,סכום_הלוואה4,IF(הפחתה8[[#This Row],[תאריך]]="",0,INDEX(הפחתה8[], ROW()-4,8)))</f>
        <v>0</v>
      </c>
      <c r="AF242" s="19">
        <f ca="1">IF(ValuesEntered4,IF(ROW()-ROW(הפחתה8[[#Headers],[ריבית]])=1,-IPMT(שיעור_ריבית4/12,1,תקופת_ההלוואה4-ROWS($C$4:AD242)+1,הפחתה8[[#This Row],[יתרת פתיחה]]),IFERROR(-IPMT(שיעור_ריבית4/12,1,הפחתה8[[#This Row],[תשלומים
שנותרו]],AE243),0)),0)</f>
        <v>0</v>
      </c>
      <c r="AG242" s="19" t="str">
        <f ca="1">IFERROR(IF(AND(ValuesEntered4,הפחתה8[[#This Row],[תאריך]]&lt;&gt;""),-PPMT(שיעור_ריבית4/12,1,תקופת_ההלוואה4-ROWS($C$4:AD242)+1,הפחתה8[[#This Row],[יתרת פתיחה]]),""),0)</f>
        <v/>
      </c>
      <c r="AH242" s="19">
        <f ca="1">(הפחתה8[[#This Row],[יתרת פתיחה]])*(מדד4/12)</f>
        <v>0</v>
      </c>
      <c r="AI242" s="19">
        <f ca="1">IF(הפחתה8[[#This Row],[תאריך]]="",0,הפחתה8[[#This Row],[ריבית]]+הפחתה8[[#This Row],[קרן]]+הפחתה8[[#This Row],[מדד]])</f>
        <v>0</v>
      </c>
      <c r="AJ242" s="19">
        <f ca="1">IF(הפחתה8[[#This Row],[תאריך]]="",0,הפחתה8[[#This Row],[יתרת פתיחה]]-הפחתה8[[#This Row],[קרן]])</f>
        <v>0</v>
      </c>
      <c r="AK242" s="20">
        <f ca="1">IF(הפחתה8[[#This Row],[יתרת
סגירה]]&gt;0,LastRow4-ROW(),0)</f>
        <v>0</v>
      </c>
    </row>
    <row r="243" spans="1:37" ht="15" customHeight="1" x14ac:dyDescent="0.25">
      <c r="A243" s="8"/>
      <c r="B243" s="11">
        <f>ROWS($B$4:B243)</f>
        <v>240</v>
      </c>
      <c r="C243" s="12">
        <f>IF(ValuesEntered,IF(הפחתה[[#This Row],[מס'']]&lt;=תקופת_ההלוואה,IF(ROW()-ROW(הפחתה[[#Headers],[תאריך]])=1,LoanStart,IF(I242&gt;0,EDATE(C242,1),"")),""),"")</f>
        <v>52657</v>
      </c>
      <c r="D243" s="13">
        <f>IF(ROW()-ROW(הפחתה[[#Headers],[יתרת פתיחה]])=1,סכום_הלוואה,IF(הפחתה[[#This Row],[תאריך]]="",0,INDEX(הפחתה[], ROW()-4,8)))</f>
        <v>311782.90141670569</v>
      </c>
      <c r="E243" s="13">
        <f>IF(ValuesEntered,IF(ROW()-ROW(הפחתה[[#Headers],[ריבית]])=1,-IPMT(שיעור_ריבית/12,1,תקופת_ההלוואה-ROWS($C$4:C243)+1,הפחתה[[#This Row],[יתרת פתיחה]]),IFERROR(-IPMT(שיעור_ריבית/12,1,הפחתה[[#This Row],[תשלומים
שנותרו]],D244),0)),0)</f>
        <v>1368.4075063719122</v>
      </c>
      <c r="F243" s="13">
        <f>IFERROR(IF(AND(ValuesEntered,הפחתה[[#This Row],[תאריך]]&lt;&gt;""),-PPMT(שיעור_ריבית/12,1,תקופת_ההלוואה-ROWS($C$4:C243)+1,הפחתה[[#This Row],[יתרת פתיחה]]),""),0)</f>
        <v>1954.7867664614364</v>
      </c>
      <c r="G243" s="13">
        <f>(הפחתה[[#This Row],[יתרת פתיחה]])*(מדד/12)</f>
        <v>0</v>
      </c>
      <c r="H243" s="13">
        <f>IF(הפחתה[[#This Row],[תאריך]]="",0,הפחתה[[#This Row],[ריבית]]+הפחתה[[#This Row],[קרן]]+הפחתה[[#This Row],[מדד]])</f>
        <v>3323.1942728333488</v>
      </c>
      <c r="I243" s="13">
        <f>IF(הפחתה[[#This Row],[תאריך]]="",0,הפחתה[[#This Row],[יתרת פתיחה]]-הפחתה[[#This Row],[קרן]]+הפחתה[[#This Row],[מדד]])</f>
        <v>309828.11465024424</v>
      </c>
      <c r="J243" s="11">
        <f>IF(הפחתה[[#This Row],[יתרת
סגירה]]&gt;0,LastRow-ROW(),0)</f>
        <v>120</v>
      </c>
      <c r="K243" s="11">
        <f>ROWS($K$4:K243)</f>
        <v>240</v>
      </c>
      <c r="L243" s="12">
        <f>IF(ValuesEntered2,IF(הפחתה5[[#This Row],[מס'']]&lt;=תקופת_ההלוואה2,IF(ROW()-ROW(הפחתה5[[#Headers],[תאריך]])=1,LoanStart2,IF(R242&gt;0,EDATE(L242,1),"")),""),"")</f>
        <v>52657</v>
      </c>
      <c r="M243" s="13">
        <f>IF(ROW()-ROW(הפחתה5[[#Headers],[יתרת פתיחה]])=1,סכום_הלוואה2,IF(הפחתה5[[#This Row],[תאריך]]="",0,INDEX(הפחתה5[], ROW()-4,8)))</f>
        <v>92176.98644502362</v>
      </c>
      <c r="N243" s="13">
        <f>IF(ValuesEntered2,IF(ROW()-ROW(הפחתה5[[#Headers],[ריבית]])=1,-IPMT(שיעור_ריבית2/12,1,תקופת_ההלוואה2-ROWS($L$4:L243)+1,הפחתה5[[#This Row],[יתרת פתיחה]]),IFERROR(-IPMT(שיעור_ריבית2/12,1,הפחתה5[[#This Row],[תשלומים
שנותרו]],M244),0)),0)</f>
        <v>355.77541886365771</v>
      </c>
      <c r="O243" s="13">
        <f>IFERROR(IF(AND(ValuesEntered2,הפחתה5[[#This Row],[תאריך]]&lt;&gt;""),-PPMT(שיעור_ריבית2/12,1,תקופת_ההלוואה2-ROWS($L$4:L243)+1,הפחתה5[[#This Row],[יתרת פתיחה]]),""),0)</f>
        <v>1340.7092883450498</v>
      </c>
      <c r="P243" s="13">
        <f>(הפחתה5[[#This Row],[יתרת פתיחה]])*(מדד2/12)</f>
        <v>0</v>
      </c>
      <c r="Q243" s="13">
        <f>IF(הפחתה5[[#This Row],[תאריך]]="",0,הפחתה5[[#This Row],[ריבית]]+הפחתה5[[#This Row],[קרן]]+הפחתה5[[#This Row],[מדד]])</f>
        <v>1696.4847072087075</v>
      </c>
      <c r="R243" s="13">
        <f>IF(הפחתה5[[#This Row],[תאריך]]="",0,הפחתה5[[#This Row],[יתרת פתיחה]]-הפחתה5[[#This Row],[קרן]]+הפחתה5[[#This Row],[מדד]])</f>
        <v>90836.277156678567</v>
      </c>
      <c r="S243" s="11">
        <f>IF(הפחתה5[[#This Row],[יתרת
סגירה]]&gt;0,LastRow2-ROW(),0)</f>
        <v>60</v>
      </c>
      <c r="T243" s="11">
        <f>ROWS($T$4:T243)</f>
        <v>240</v>
      </c>
      <c r="U243" s="12">
        <f ca="1">IF(ValuesEntered3,IF(הפחתה7[[#This Row],[מס'']]&lt;=תקופת_ההלוואה3,IF(ROW()-ROW(הפחתה7[[#Headers],[תאריך]])=1,LoanStart3,IF(AA242&gt;0,EDATE(U242,1),"")),""),"")</f>
        <v>52895</v>
      </c>
      <c r="V243" s="13">
        <f ca="1">IF(ROW()-ROW(הפחתה7[[#Headers],[יתרת פתיחה]])=1,סכום_הלוואה3,IF(הפחתה7[[#This Row],[תאריך]]="",0,INDEX(הפחתה7[], ROW()-4,8)))</f>
        <v>37646.587275790524</v>
      </c>
      <c r="W243" s="13">
        <f ca="1">IF(ValuesEntered3,IF(ROW()-ROW(הפחתה7[[#Headers],[ריבית]])=1,-IPMT(שיעור_ריבית3/12,1,תקופת_ההלוואה3-ROWS($C$4:U243)+1,הפחתה7[[#This Row],[יתרת פתיחה]]),IFERROR(-IPMT(שיעור_ריבית3/12,1,הפחתה7[[#This Row],[תשלומים
שנותרו]],V244),0)),0)</f>
        <v>71.160004670275285</v>
      </c>
      <c r="X243" s="13">
        <f ca="1">IFERROR(IF(AND(ValuesEntered3,הפחתה7[[#This Row],[תאריך]]&lt;&gt;""),-PPMT(שיעור_ריבית3/12,1,תקופת_ההלוואה3-ROWS($C$4:U243)+1,הפחתה7[[#This Row],[יתרת פתיחה]]),""),0)</f>
        <v>582.37262951235118</v>
      </c>
      <c r="Y243" s="13">
        <f ca="1">(הפחתה7[[#This Row],[יתרת פתיחה]])*(מדד3/12)</f>
        <v>62.744312126317546</v>
      </c>
      <c r="Z243" s="13">
        <f ca="1">IF(הפחתה7[[#This Row],[תאריך]]="",0,הפחתה7[[#This Row],[ריבית]]+הפחתה7[[#This Row],[קרן]]+הפחתה7[[#This Row],[מדד]])</f>
        <v>716.27694630894405</v>
      </c>
      <c r="AA243" s="13">
        <f ca="1">IF(הפחתה7[[#This Row],[תאריך]]="",0,הפחתה7[[#This Row],[יתרת פתיחה]]-הפחתה7[[#This Row],[קרן]]+הפחתה7[[#This Row],[מדד]])</f>
        <v>37126.958958404495</v>
      </c>
      <c r="AB243" s="11">
        <f ca="1">IF(הפחתה7[[#This Row],[יתרת
סגירה]]&gt;0,LastRow3-ROW(),0)</f>
        <v>60</v>
      </c>
      <c r="AC243" s="17">
        <f>ROWS($AC$4:AC243)</f>
        <v>240</v>
      </c>
      <c r="AD243" s="18" t="str">
        <f ca="1">IF(ValuesEntered4,IF(הפחתה8[[#This Row],[מס'']]&lt;=תקופת_ההלוואה4,IF(ROW()-ROW(הפחתה8[[#Headers],[תאריך]])=1,LoanStart4,IF(AJ242&gt;0,EDATE(AD242,1),"")),""),"")</f>
        <v/>
      </c>
      <c r="AE243" s="19">
        <f ca="1">IF(ROW()-ROW(הפחתה8[[#Headers],[יתרת פתיחה]])=1,סכום_הלוואה4,IF(הפחתה8[[#This Row],[תאריך]]="",0,INDEX(הפחתה8[], ROW()-4,8)))</f>
        <v>0</v>
      </c>
      <c r="AF243" s="19">
        <f ca="1">IF(ValuesEntered4,IF(ROW()-ROW(הפחתה8[[#Headers],[ריבית]])=1,-IPMT(שיעור_ריבית4/12,1,תקופת_ההלוואה4-ROWS($C$4:AD243)+1,הפחתה8[[#This Row],[יתרת פתיחה]]),IFERROR(-IPMT(שיעור_ריבית4/12,1,הפחתה8[[#This Row],[תשלומים
שנותרו]],AE244),0)),0)</f>
        <v>0</v>
      </c>
      <c r="AG243" s="19" t="str">
        <f ca="1">IFERROR(IF(AND(ValuesEntered4,הפחתה8[[#This Row],[תאריך]]&lt;&gt;""),-PPMT(שיעור_ריבית4/12,1,תקופת_ההלוואה4-ROWS($C$4:AD243)+1,הפחתה8[[#This Row],[יתרת פתיחה]]),""),0)</f>
        <v/>
      </c>
      <c r="AH243" s="19">
        <f ca="1">(הפחתה8[[#This Row],[יתרת פתיחה]])*(מדד4/12)</f>
        <v>0</v>
      </c>
      <c r="AI243" s="19">
        <f ca="1">IF(הפחתה8[[#This Row],[תאריך]]="",0,הפחתה8[[#This Row],[ריבית]]+הפחתה8[[#This Row],[קרן]]+הפחתה8[[#This Row],[מדד]])</f>
        <v>0</v>
      </c>
      <c r="AJ243" s="19">
        <f ca="1">IF(הפחתה8[[#This Row],[תאריך]]="",0,הפחתה8[[#This Row],[יתרת פתיחה]]-הפחתה8[[#This Row],[קרן]])</f>
        <v>0</v>
      </c>
      <c r="AK243" s="20">
        <f ca="1">IF(הפחתה8[[#This Row],[יתרת
סגירה]]&gt;0,LastRow4-ROW(),0)</f>
        <v>0</v>
      </c>
    </row>
    <row r="244" spans="1:37" ht="15" customHeight="1" x14ac:dyDescent="0.25">
      <c r="A244" s="8"/>
      <c r="B244" s="11">
        <f>ROWS($B$4:B244)</f>
        <v>241</v>
      </c>
      <c r="C244" s="12">
        <f>IF(ValuesEntered,IF(הפחתה[[#This Row],[מס'']]&lt;=תקופת_ההלוואה,IF(ROW()-ROW(הפחתה[[#Headers],[תאריך]])=1,LoanStart,IF(I243&gt;0,EDATE(C243,1),"")),""),"")</f>
        <v>52688</v>
      </c>
      <c r="D244" s="13">
        <f>IF(ROW()-ROW(הפחתה[[#Headers],[יתרת פתיחה]])=1,סכום_הלוואה,IF(הפחתה[[#This Row],[תאריך]]="",0,INDEX(הפחתה[], ROW()-4,8)))</f>
        <v>309828.11465024424</v>
      </c>
      <c r="E244" s="13">
        <f>IF(ValuesEntered,IF(ROW()-ROW(הפחתה[[#Headers],[ריבית]])=1,-IPMT(שיעור_ריבית/12,1,תקופת_ההלוואה-ROWS($C$4:C244)+1,הפחתה[[#This Row],[יתרת פתיחה]]),IFERROR(-IPMT(שיעור_ריבית/12,1,הפחתה[[#This Row],[תשלומים
שנותרו]],D245),0)),0)</f>
        <v>1359.7357329031865</v>
      </c>
      <c r="F244" s="13">
        <f>IFERROR(IF(AND(ValuesEntered,הפחתה[[#This Row],[תאריך]]&lt;&gt;""),-PPMT(שיעור_ריבית/12,1,תקופת_ההלוואה-ROWS($C$4:C244)+1,הפחתה[[#This Row],[יתרת פתיחה]]),""),0)</f>
        <v>1963.4204080133077</v>
      </c>
      <c r="G244" s="13">
        <f>(הפחתה[[#This Row],[יתרת פתיחה]])*(מדד/12)</f>
        <v>0</v>
      </c>
      <c r="H244" s="13">
        <f>IF(הפחתה[[#This Row],[תאריך]]="",0,הפחתה[[#This Row],[ריבית]]+הפחתה[[#This Row],[קרן]]+הפחתה[[#This Row],[מדד]])</f>
        <v>3323.1561409164942</v>
      </c>
      <c r="I244" s="13">
        <f>IF(הפחתה[[#This Row],[תאריך]]="",0,הפחתה[[#This Row],[יתרת פתיחה]]-הפחתה[[#This Row],[קרן]]+הפחתה[[#This Row],[מדד]])</f>
        <v>307864.69424223091</v>
      </c>
      <c r="J244" s="11">
        <f>IF(הפחתה[[#This Row],[יתרת
סגירה]]&gt;0,LastRow-ROW(),0)</f>
        <v>119</v>
      </c>
      <c r="K244" s="11">
        <f>ROWS($K$4:K244)</f>
        <v>241</v>
      </c>
      <c r="L244" s="12">
        <f>IF(ValuesEntered2,IF(הפחתה5[[#This Row],[מס'']]&lt;=תקופת_ההלוואה2,IF(ROW()-ROW(הפחתה5[[#Headers],[תאריך]])=1,LoanStart2,IF(R243&gt;0,EDATE(L243,1),"")),""),"")</f>
        <v>52688</v>
      </c>
      <c r="M244" s="13">
        <f>IF(ROW()-ROW(הפחתה5[[#Headers],[יתרת פתיחה]])=1,סכום_הלוואה2,IF(הפחתה5[[#This Row],[תאריך]]="",0,INDEX(הפחתה5[], ROW()-4,8)))</f>
        <v>90836.277156678567</v>
      </c>
      <c r="N244" s="13">
        <f>IF(ValuesEntered2,IF(ROW()-ROW(הפחתה5[[#Headers],[ריבית]])=1,-IPMT(שיעור_ריבית2/12,1,תקופת_ההלוואה2-ROWS($L$4:L244)+1,הפחתה5[[#This Row],[יתרת פתיחה]]),IFERROR(-IPMT(שיעור_ריבית2/12,1,הפחתה5[[#This Row],[תשלומים
שנותרו]],M245),0)),0)</f>
        <v>350.50374063140379</v>
      </c>
      <c r="O244" s="13">
        <f>IFERROR(IF(AND(ValuesEntered2,הפחתה5[[#This Row],[תאריך]]&lt;&gt;""),-PPMT(שיעור_ריבית2/12,1,תקופת_ההלוואה2-ROWS($L$4:L244)+1,הפחתה5[[#This Row],[יתרת פתיחה]]),""),0)</f>
        <v>1345.9603997244014</v>
      </c>
      <c r="P244" s="13">
        <f>(הפחתה5[[#This Row],[יתרת פתיחה]])*(מדד2/12)</f>
        <v>0</v>
      </c>
      <c r="Q244" s="13">
        <f>IF(הפחתה5[[#This Row],[תאריך]]="",0,הפחתה5[[#This Row],[ריבית]]+הפחתה5[[#This Row],[קרן]]+הפחתה5[[#This Row],[מדד]])</f>
        <v>1696.4641403558053</v>
      </c>
      <c r="R244" s="13">
        <f>IF(הפחתה5[[#This Row],[תאריך]]="",0,הפחתה5[[#This Row],[יתרת פתיחה]]-הפחתה5[[#This Row],[קרן]]+הפחתה5[[#This Row],[מדד]])</f>
        <v>89490.316756954169</v>
      </c>
      <c r="S244" s="11">
        <f>IF(הפחתה5[[#This Row],[יתרת
סגירה]]&gt;0,LastRow2-ROW(),0)</f>
        <v>59</v>
      </c>
      <c r="T244" s="11">
        <f>ROWS($T$4:T244)</f>
        <v>241</v>
      </c>
      <c r="U244" s="12">
        <f ca="1">IF(ValuesEntered3,IF(הפחתה7[[#This Row],[מס'']]&lt;=תקופת_ההלוואה3,IF(ROW()-ROW(הפחתה7[[#Headers],[תאריך]])=1,LoanStart3,IF(AA243&gt;0,EDATE(U243,1),"")),""),"")</f>
        <v>52926</v>
      </c>
      <c r="V244" s="13">
        <f ca="1">IF(ROW()-ROW(הפחתה7[[#Headers],[יתרת פתיחה]])=1,סכום_הלוואה3,IF(הפחתה7[[#This Row],[תאריך]]="",0,INDEX(הפחתה7[], ROW()-4,8)))</f>
        <v>37126.958958404495</v>
      </c>
      <c r="W244" s="13">
        <f ca="1">IF(ValuesEntered3,IF(ROW()-ROW(הפחתה7[[#Headers],[ריבית]])=1,-IPMT(שיעור_ריבית3/12,1,תקופת_ההלוואה3-ROWS($C$4:U244)+1,הפחתה7[[#This Row],[יתרת פתיחה]]),IFERROR(-IPMT(שיעור_ריבית3/12,1,הפחתה7[[#This Row],[תשלומים
שנותרו]],V245),0)),0)</f>
        <v>70.158357851292408</v>
      </c>
      <c r="X244" s="13">
        <f ca="1">IFERROR(IF(AND(ValuesEntered3,הפחתה7[[#This Row],[תאריך]]&lt;&gt;""),-PPMT(שיעור_ריבית3/12,1,תקופת_ההלוואה3-ROWS($C$4:U244)+1,הפחתה7[[#This Row],[יתרת פתיחה]]),""),0)</f>
        <v>584.47660526956372</v>
      </c>
      <c r="Y244" s="13">
        <f ca="1">(הפחתה7[[#This Row],[יתרת פתיחה]])*(מדד3/12)</f>
        <v>61.878264930674163</v>
      </c>
      <c r="Z244" s="13">
        <f ca="1">IF(הפחתה7[[#This Row],[תאריך]]="",0,הפחתה7[[#This Row],[ריבית]]+הפחתה7[[#This Row],[קרן]]+הפחתה7[[#This Row],[מדד]])</f>
        <v>716.51322805153029</v>
      </c>
      <c r="AA244" s="13">
        <f ca="1">IF(הפחתה7[[#This Row],[תאריך]]="",0,הפחתה7[[#This Row],[יתרת פתיחה]]-הפחתה7[[#This Row],[קרן]]+הפחתה7[[#This Row],[מדד]])</f>
        <v>36604.360618065606</v>
      </c>
      <c r="AB244" s="11">
        <f ca="1">IF(הפחתה7[[#This Row],[יתרת
סגירה]]&gt;0,LastRow3-ROW(),0)</f>
        <v>59</v>
      </c>
      <c r="AC244" s="17">
        <f>ROWS($AC$4:AC244)</f>
        <v>241</v>
      </c>
      <c r="AD244" s="18" t="str">
        <f ca="1">IF(ValuesEntered4,IF(הפחתה8[[#This Row],[מס'']]&lt;=תקופת_ההלוואה4,IF(ROW()-ROW(הפחתה8[[#Headers],[תאריך]])=1,LoanStart4,IF(AJ243&gt;0,EDATE(AD243,1),"")),""),"")</f>
        <v/>
      </c>
      <c r="AE244" s="19">
        <f ca="1">IF(ROW()-ROW(הפחתה8[[#Headers],[יתרת פתיחה]])=1,סכום_הלוואה4,IF(הפחתה8[[#This Row],[תאריך]]="",0,INDEX(הפחתה8[], ROW()-4,8)))</f>
        <v>0</v>
      </c>
      <c r="AF244" s="19">
        <f ca="1">IF(ValuesEntered4,IF(ROW()-ROW(הפחתה8[[#Headers],[ריבית]])=1,-IPMT(שיעור_ריבית4/12,1,תקופת_ההלוואה4-ROWS($C$4:AD244)+1,הפחתה8[[#This Row],[יתרת פתיחה]]),IFERROR(-IPMT(שיעור_ריבית4/12,1,הפחתה8[[#This Row],[תשלומים
שנותרו]],AE245),0)),0)</f>
        <v>0</v>
      </c>
      <c r="AG244" s="19" t="str">
        <f ca="1">IFERROR(IF(AND(ValuesEntered4,הפחתה8[[#This Row],[תאריך]]&lt;&gt;""),-PPMT(שיעור_ריבית4/12,1,תקופת_ההלוואה4-ROWS($C$4:AD244)+1,הפחתה8[[#This Row],[יתרת פתיחה]]),""),0)</f>
        <v/>
      </c>
      <c r="AH244" s="19">
        <f ca="1">(הפחתה8[[#This Row],[יתרת פתיחה]])*(מדד4/12)</f>
        <v>0</v>
      </c>
      <c r="AI244" s="19">
        <f ca="1">IF(הפחתה8[[#This Row],[תאריך]]="",0,הפחתה8[[#This Row],[ריבית]]+הפחתה8[[#This Row],[קרן]]+הפחתה8[[#This Row],[מדד]])</f>
        <v>0</v>
      </c>
      <c r="AJ244" s="19">
        <f ca="1">IF(הפחתה8[[#This Row],[תאריך]]="",0,הפחתה8[[#This Row],[יתרת פתיחה]]-הפחתה8[[#This Row],[קרן]])</f>
        <v>0</v>
      </c>
      <c r="AK244" s="20">
        <f ca="1">IF(הפחתה8[[#This Row],[יתרת
סגירה]]&gt;0,LastRow4-ROW(),0)</f>
        <v>0</v>
      </c>
    </row>
    <row r="245" spans="1:37" ht="15" customHeight="1" x14ac:dyDescent="0.25">
      <c r="A245" s="8"/>
      <c r="B245" s="11">
        <f>ROWS($B$4:B245)</f>
        <v>242</v>
      </c>
      <c r="C245" s="12">
        <f>IF(ValuesEntered,IF(הפחתה[[#This Row],[מס'']]&lt;=תקופת_ההלוואה,IF(ROW()-ROW(הפחתה[[#Headers],[תאריך]])=1,LoanStart,IF(I244&gt;0,EDATE(C244,1),"")),""),"")</f>
        <v>52718</v>
      </c>
      <c r="D245" s="13">
        <f>IF(ROW()-ROW(הפחתה[[#Headers],[יתרת פתיחה]])=1,סכום_הלוואה,IF(הפחתה[[#This Row],[תאריך]]="",0,INDEX(הפחתה[], ROW()-4,8)))</f>
        <v>307864.69424223091</v>
      </c>
      <c r="E245" s="13">
        <f>IF(ValuesEntered,IF(ROW()-ROW(הפחתה[[#Headers],[ריבית]])=1,-IPMT(שיעור_ריבית/12,1,תקופת_ההלוואה-ROWS($C$4:C245)+1,הפחתה[[#This Row],[יתרת פתיחה]]),IFERROR(-IPMT(שיעור_ריבית/12,1,הפחתה[[#This Row],[תשלומים
שנותרו]],D246),0)),0)</f>
        <v>1351.0256591016407</v>
      </c>
      <c r="F245" s="13">
        <f>IFERROR(IF(AND(ValuesEntered,הפחתה[[#This Row],[תאריך]]&lt;&gt;""),-PPMT(שיעור_ריבית/12,1,תקופת_ההלוואה-ROWS($C$4:C245)+1,הפחתה[[#This Row],[יתרת פתיחה]]),""),0)</f>
        <v>1972.0921814820329</v>
      </c>
      <c r="G245" s="13">
        <f>(הפחתה[[#This Row],[יתרת פתיחה]])*(מדד/12)</f>
        <v>0</v>
      </c>
      <c r="H245" s="13">
        <f>IF(הפחתה[[#This Row],[תאריך]]="",0,הפחתה[[#This Row],[ריבית]]+הפחתה[[#This Row],[קרן]]+הפחתה[[#This Row],[מדד]])</f>
        <v>3323.1178405836736</v>
      </c>
      <c r="I245" s="13">
        <f>IF(הפחתה[[#This Row],[תאריך]]="",0,הפחתה[[#This Row],[יתרת פתיחה]]-הפחתה[[#This Row],[קרן]]+הפחתה[[#This Row],[מדד]])</f>
        <v>305892.60206074885</v>
      </c>
      <c r="J245" s="11">
        <f>IF(הפחתה[[#This Row],[יתרת
סגירה]]&gt;0,LastRow-ROW(),0)</f>
        <v>118</v>
      </c>
      <c r="K245" s="11">
        <f>ROWS($K$4:K245)</f>
        <v>242</v>
      </c>
      <c r="L245" s="12">
        <f>IF(ValuesEntered2,IF(הפחתה5[[#This Row],[מס'']]&lt;=תקופת_ההלוואה2,IF(ROW()-ROW(הפחתה5[[#Headers],[תאריך]])=1,LoanStart2,IF(R244&gt;0,EDATE(L244,1),"")),""),"")</f>
        <v>52718</v>
      </c>
      <c r="M245" s="13">
        <f>IF(ROW()-ROW(הפחתה5[[#Headers],[יתרת פתיחה]])=1,סכום_הלוואה2,IF(הפחתה5[[#This Row],[תאריך]]="",0,INDEX(הפחתה5[], ROW()-4,8)))</f>
        <v>89490.316756954169</v>
      </c>
      <c r="N245" s="13">
        <f>IF(ValuesEntered2,IF(ROW()-ROW(הפחתה5[[#Headers],[ריבית]])=1,-IPMT(שיעור_ריבית2/12,1,תקופת_ההלוואה2-ROWS($L$4:L245)+1,הפחתה5[[#This Row],[יתרת פתיחה]]),IFERROR(-IPMT(שיעור_ריבית2/12,1,הפחתה5[[#This Row],[תשלומים
שנותרו]],M246),0)),0)</f>
        <v>345.21141499274023</v>
      </c>
      <c r="O245" s="13">
        <f>IFERROR(IF(AND(ValuesEntered2,הפחתה5[[#This Row],[תאריך]]&lt;&gt;""),-PPMT(שיעור_ריבית2/12,1,תקופת_ההלוואה2-ROWS($L$4:L245)+1,הפחתה5[[#This Row],[יתרת פתיחה]]),""),0)</f>
        <v>1351.2320779566555</v>
      </c>
      <c r="P245" s="13">
        <f>(הפחתה5[[#This Row],[יתרת פתיחה]])*(מדד2/12)</f>
        <v>0</v>
      </c>
      <c r="Q245" s="13">
        <f>IF(הפחתה5[[#This Row],[תאריך]]="",0,הפחתה5[[#This Row],[ריבית]]+הפחתה5[[#This Row],[קרן]]+הפחתה5[[#This Row],[מדד]])</f>
        <v>1696.4434929493957</v>
      </c>
      <c r="R245" s="13">
        <f>IF(הפחתה5[[#This Row],[תאריך]]="",0,הפחתה5[[#This Row],[יתרת פתיחה]]-הפחתה5[[#This Row],[קרן]]+הפחתה5[[#This Row],[מדד]])</f>
        <v>88139.084678997518</v>
      </c>
      <c r="S245" s="11">
        <f>IF(הפחתה5[[#This Row],[יתרת
סגירה]]&gt;0,LastRow2-ROW(),0)</f>
        <v>58</v>
      </c>
      <c r="T245" s="11">
        <f>ROWS($T$4:T245)</f>
        <v>242</v>
      </c>
      <c r="U245" s="12">
        <f ca="1">IF(ValuesEntered3,IF(הפחתה7[[#This Row],[מס'']]&lt;=תקופת_ההלוואה3,IF(ROW()-ROW(הפחתה7[[#Headers],[תאריך]])=1,LoanStart3,IF(AA244&gt;0,EDATE(U244,1),"")),""),"")</f>
        <v>52956</v>
      </c>
      <c r="V245" s="13">
        <f ca="1">IF(ROW()-ROW(הפחתה7[[#Headers],[יתרת פתיחה]])=1,סכום_הלוואה3,IF(הפחתה7[[#This Row],[תאריך]]="",0,INDEX(הפחתה7[], ROW()-4,8)))</f>
        <v>36604.360618065606</v>
      </c>
      <c r="W245" s="13">
        <f ca="1">IF(ValuesEntered3,IF(ROW()-ROW(הפחתה7[[#Headers],[ריבית]])=1,-IPMT(שיעור_ריבית3/12,1,תקופת_ההלוואה3-ROWS($C$4:U245)+1,הפחתה7[[#This Row],[יתרת פתיחה]]),IFERROR(-IPMT(שיעור_ריבית3/12,1,הפחתה7[[#This Row],[תשלומים
שנותרו]],V246),0)),0)</f>
        <v>69.15099390447422</v>
      </c>
      <c r="X245" s="13">
        <f ca="1">IFERROR(IF(AND(ValuesEntered3,הפחתה7[[#This Row],[תאריך]]&lt;&gt;""),-PPMT(שיעור_ריבית3/12,1,תקופת_ההלוואה3-ROWS($C$4:U245)+1,הפחתה7[[#This Row],[יתרת פתיחה]]),""),0)</f>
        <v>586.58845734105398</v>
      </c>
      <c r="Y245" s="13">
        <f ca="1">(הפחתה7[[#This Row],[יתרת פתיחה]])*(מדד3/12)</f>
        <v>61.007267696776012</v>
      </c>
      <c r="Z245" s="13">
        <f ca="1">IF(הפחתה7[[#This Row],[תאריך]]="",0,הפחתה7[[#This Row],[ריבית]]+הפחתה7[[#This Row],[קרן]]+הפחתה7[[#This Row],[מדד]])</f>
        <v>716.74671894230426</v>
      </c>
      <c r="AA245" s="13">
        <f ca="1">IF(הפחתה7[[#This Row],[תאריך]]="",0,הפחתה7[[#This Row],[יתרת פתיחה]]-הפחתה7[[#This Row],[קרן]]+הפחתה7[[#This Row],[מדד]])</f>
        <v>36078.779428421331</v>
      </c>
      <c r="AB245" s="11">
        <f ca="1">IF(הפחתה7[[#This Row],[יתרת
סגירה]]&gt;0,LastRow3-ROW(),0)</f>
        <v>58</v>
      </c>
      <c r="AC245" s="17">
        <f>ROWS($AC$4:AC245)</f>
        <v>242</v>
      </c>
      <c r="AD245" s="18" t="str">
        <f ca="1">IF(ValuesEntered4,IF(הפחתה8[[#This Row],[מס'']]&lt;=תקופת_ההלוואה4,IF(ROW()-ROW(הפחתה8[[#Headers],[תאריך]])=1,LoanStart4,IF(AJ244&gt;0,EDATE(AD244,1),"")),""),"")</f>
        <v/>
      </c>
      <c r="AE245" s="19">
        <f ca="1">IF(ROW()-ROW(הפחתה8[[#Headers],[יתרת פתיחה]])=1,סכום_הלוואה4,IF(הפחתה8[[#This Row],[תאריך]]="",0,INDEX(הפחתה8[], ROW()-4,8)))</f>
        <v>0</v>
      </c>
      <c r="AF245" s="19">
        <f ca="1">IF(ValuesEntered4,IF(ROW()-ROW(הפחתה8[[#Headers],[ריבית]])=1,-IPMT(שיעור_ריבית4/12,1,תקופת_ההלוואה4-ROWS($C$4:AD245)+1,הפחתה8[[#This Row],[יתרת פתיחה]]),IFERROR(-IPMT(שיעור_ריבית4/12,1,הפחתה8[[#This Row],[תשלומים
שנותרו]],AE246),0)),0)</f>
        <v>0</v>
      </c>
      <c r="AG245" s="19" t="str">
        <f ca="1">IFERROR(IF(AND(ValuesEntered4,הפחתה8[[#This Row],[תאריך]]&lt;&gt;""),-PPMT(שיעור_ריבית4/12,1,תקופת_ההלוואה4-ROWS($C$4:AD245)+1,הפחתה8[[#This Row],[יתרת פתיחה]]),""),0)</f>
        <v/>
      </c>
      <c r="AH245" s="19">
        <f ca="1">(הפחתה8[[#This Row],[יתרת פתיחה]])*(מדד4/12)</f>
        <v>0</v>
      </c>
      <c r="AI245" s="19">
        <f ca="1">IF(הפחתה8[[#This Row],[תאריך]]="",0,הפחתה8[[#This Row],[ריבית]]+הפחתה8[[#This Row],[קרן]]+הפחתה8[[#This Row],[מדד]])</f>
        <v>0</v>
      </c>
      <c r="AJ245" s="19">
        <f ca="1">IF(הפחתה8[[#This Row],[תאריך]]="",0,הפחתה8[[#This Row],[יתרת פתיחה]]-הפחתה8[[#This Row],[קרן]])</f>
        <v>0</v>
      </c>
      <c r="AK245" s="20">
        <f ca="1">IF(הפחתה8[[#This Row],[יתרת
סגירה]]&gt;0,LastRow4-ROW(),0)</f>
        <v>0</v>
      </c>
    </row>
    <row r="246" spans="1:37" ht="15" customHeight="1" x14ac:dyDescent="0.25">
      <c r="A246" s="8"/>
      <c r="B246" s="11">
        <f>ROWS($B$4:B246)</f>
        <v>243</v>
      </c>
      <c r="C246" s="12">
        <f>IF(ValuesEntered,IF(הפחתה[[#This Row],[מס'']]&lt;=תקופת_ההלוואה,IF(ROW()-ROW(הפחתה[[#Headers],[תאריך]])=1,LoanStart,IF(I245&gt;0,EDATE(C245,1),"")),""),"")</f>
        <v>52749</v>
      </c>
      <c r="D246" s="13">
        <f>IF(ROW()-ROW(הפחתה[[#Headers],[יתרת פתיחה]])=1,סכום_הלוואה,IF(הפחתה[[#This Row],[תאריך]]="",0,INDEX(הפחתה[], ROW()-4,8)))</f>
        <v>305892.60206074885</v>
      </c>
      <c r="E246" s="13">
        <f>IF(ValuesEntered,IF(ROW()-ROW(הפחתה[[#Headers],[ריבית]])=1,-IPMT(שיעור_ריבית/12,1,תקופת_ההלוואה-ROWS($C$4:C246)+1,הפחתה[[#This Row],[יתרת פתיחה]]),IFERROR(-IPMT(שיעור_ריבית/12,1,הפחתה[[#This Row],[תשלומים
שנותרו]],D247),0)),0)</f>
        <v>1342.2771158074718</v>
      </c>
      <c r="F246" s="13">
        <f>IFERROR(IF(AND(ValuesEntered,הפחתה[[#This Row],[תאריך]]&lt;&gt;""),-PPMT(שיעור_ריבית/12,1,תקופת_ההלוואה-ROWS($C$4:C246)+1,הפחתה[[#This Row],[יתרת פתיחה]]),""),0)</f>
        <v>1980.8022552835787</v>
      </c>
      <c r="G246" s="13">
        <f>(הפחתה[[#This Row],[יתרת פתיחה]])*(מדד/12)</f>
        <v>0</v>
      </c>
      <c r="H246" s="13">
        <f>IF(הפחתה[[#This Row],[תאריך]]="",0,הפחתה[[#This Row],[ריבית]]+הפחתה[[#This Row],[קרן]]+הפחתה[[#This Row],[מדד]])</f>
        <v>3323.0793710910502</v>
      </c>
      <c r="I246" s="13">
        <f>IF(הפחתה[[#This Row],[תאריך]]="",0,הפחתה[[#This Row],[יתרת פתיחה]]-הפחתה[[#This Row],[קרן]]+הפחתה[[#This Row],[מדד]])</f>
        <v>303911.79980546527</v>
      </c>
      <c r="J246" s="11">
        <f>IF(הפחתה[[#This Row],[יתרת
סגירה]]&gt;0,LastRow-ROW(),0)</f>
        <v>117</v>
      </c>
      <c r="K246" s="11">
        <f>ROWS($K$4:K246)</f>
        <v>243</v>
      </c>
      <c r="L246" s="12">
        <f>IF(ValuesEntered2,IF(הפחתה5[[#This Row],[מס'']]&lt;=תקופת_ההלוואה2,IF(ROW()-ROW(הפחתה5[[#Headers],[תאריך]])=1,LoanStart2,IF(R245&gt;0,EDATE(L245,1),"")),""),"")</f>
        <v>52749</v>
      </c>
      <c r="M246" s="13">
        <f>IF(ROW()-ROW(הפחתה5[[#Headers],[יתרת פתיחה]])=1,סכום_הלוואה2,IF(הפחתה5[[#This Row],[תאריך]]="",0,INDEX(הפחתה5[], ROW()-4,8)))</f>
        <v>88139.084678997518</v>
      </c>
      <c r="N246" s="13">
        <f>IF(ValuesEntered2,IF(ROW()-ROW(הפחתה5[[#Headers],[ריבית]])=1,-IPMT(שיעור_ריבית2/12,1,תקופת_ההלוואה2-ROWS($L$4:L246)+1,הפחתה5[[#This Row],[יתרת פתיחה]]),IFERROR(-IPMT(שיעור_ריבית2/12,1,הפחתה5[[#This Row],[תשלומים
שנותרו]],M247),0)),0)</f>
        <v>339.89836107865858</v>
      </c>
      <c r="O246" s="13">
        <f>IFERROR(IF(AND(ValuesEntered2,הפחתה5[[#This Row],[תאריך]]&lt;&gt;""),-PPMT(שיעור_ריבית2/12,1,תקופת_ההלוואה2-ROWS($L$4:L246)+1,הפחתה5[[#This Row],[יתרת פתיחה]]),""),0)</f>
        <v>1356.5244035953187</v>
      </c>
      <c r="P246" s="13">
        <f>(הפחתה5[[#This Row],[יתרת פתיחה]])*(מדד2/12)</f>
        <v>0</v>
      </c>
      <c r="Q246" s="13">
        <f>IF(הפחתה5[[#This Row],[תאריך]]="",0,הפחתה5[[#This Row],[ריבית]]+הפחתה5[[#This Row],[קרן]]+הפחתה5[[#This Row],[מדד]])</f>
        <v>1696.4227646739773</v>
      </c>
      <c r="R246" s="13">
        <f>IF(הפחתה5[[#This Row],[תאריך]]="",0,הפחתה5[[#This Row],[יתרת פתיחה]]-הפחתה5[[#This Row],[קרן]]+הפחתה5[[#This Row],[מדד]])</f>
        <v>86782.560275402197</v>
      </c>
      <c r="S246" s="11">
        <f>IF(הפחתה5[[#This Row],[יתרת
סגירה]]&gt;0,LastRow2-ROW(),0)</f>
        <v>57</v>
      </c>
      <c r="T246" s="11">
        <f>ROWS($T$4:T246)</f>
        <v>243</v>
      </c>
      <c r="U246" s="12">
        <f ca="1">IF(ValuesEntered3,IF(הפחתה7[[#This Row],[מס'']]&lt;=תקופת_ההלוואה3,IF(ROW()-ROW(הפחתה7[[#Headers],[תאריך]])=1,LoanStart3,IF(AA245&gt;0,EDATE(U245,1),"")),""),"")</f>
        <v>52987</v>
      </c>
      <c r="V246" s="13">
        <f ca="1">IF(ROW()-ROW(הפחתה7[[#Headers],[יתרת פתיחה]])=1,סכום_הלוואה3,IF(הפחתה7[[#This Row],[תאריך]]="",0,INDEX(הפחתה7[], ROW()-4,8)))</f>
        <v>36078.779428421331</v>
      </c>
      <c r="W246" s="13">
        <f ca="1">IF(ValuesEntered3,IF(ROW()-ROW(הפחתה7[[#Headers],[ריבית]])=1,-IPMT(שיעור_ריבית3/12,1,תקופת_ההלוואה3-ROWS($C$4:U246)+1,הפחתה7[[#This Row],[יתרת פתיחה]]),IFERROR(-IPMT(שיעור_ריבית3/12,1,הפחתה7[[#This Row],[תשלומים
שנותרו]],V247),0)),0)</f>
        <v>68.137888128384859</v>
      </c>
      <c r="X246" s="13">
        <f ca="1">IFERROR(IF(AND(ValuesEntered3,הפחתה7[[#This Row],[תאריך]]&lt;&gt;""),-PPMT(שיעור_ריבית3/12,1,תקופת_ההלוואה3-ROWS($C$4:U246)+1,הפחתה7[[#This Row],[יתרת פתיחה]]),""),0)</f>
        <v>588.70822570268854</v>
      </c>
      <c r="Y246" s="13">
        <f ca="1">(הפחתה7[[#This Row],[יתרת פתיחה]])*(מדד3/12)</f>
        <v>60.131299047368891</v>
      </c>
      <c r="Z246" s="13">
        <f ca="1">IF(הפחתה7[[#This Row],[תאריך]]="",0,הפחתה7[[#This Row],[ריבית]]+הפחתה7[[#This Row],[קרן]]+הפחתה7[[#This Row],[מדד]])</f>
        <v>716.97741287844224</v>
      </c>
      <c r="AA246" s="13">
        <f ca="1">IF(הפחתה7[[#This Row],[תאריך]]="",0,הפחתה7[[#This Row],[יתרת פתיחה]]-הפחתה7[[#This Row],[קרן]]+הפחתה7[[#This Row],[מדד]])</f>
        <v>35550.202501766013</v>
      </c>
      <c r="AB246" s="11">
        <f ca="1">IF(הפחתה7[[#This Row],[יתרת
סגירה]]&gt;0,LastRow3-ROW(),0)</f>
        <v>57</v>
      </c>
      <c r="AC246" s="17">
        <f>ROWS($AC$4:AC246)</f>
        <v>243</v>
      </c>
      <c r="AD246" s="18" t="str">
        <f ca="1">IF(ValuesEntered4,IF(הפחתה8[[#This Row],[מס'']]&lt;=תקופת_ההלוואה4,IF(ROW()-ROW(הפחתה8[[#Headers],[תאריך]])=1,LoanStart4,IF(AJ245&gt;0,EDATE(AD245,1),"")),""),"")</f>
        <v/>
      </c>
      <c r="AE246" s="19">
        <f ca="1">IF(ROW()-ROW(הפחתה8[[#Headers],[יתרת פתיחה]])=1,סכום_הלוואה4,IF(הפחתה8[[#This Row],[תאריך]]="",0,INDEX(הפחתה8[], ROW()-4,8)))</f>
        <v>0</v>
      </c>
      <c r="AF246" s="19">
        <f ca="1">IF(ValuesEntered4,IF(ROW()-ROW(הפחתה8[[#Headers],[ריבית]])=1,-IPMT(שיעור_ריבית4/12,1,תקופת_ההלוואה4-ROWS($C$4:AD246)+1,הפחתה8[[#This Row],[יתרת פתיחה]]),IFERROR(-IPMT(שיעור_ריבית4/12,1,הפחתה8[[#This Row],[תשלומים
שנותרו]],AE247),0)),0)</f>
        <v>0</v>
      </c>
      <c r="AG246" s="19" t="str">
        <f ca="1">IFERROR(IF(AND(ValuesEntered4,הפחתה8[[#This Row],[תאריך]]&lt;&gt;""),-PPMT(שיעור_ריבית4/12,1,תקופת_ההלוואה4-ROWS($C$4:AD246)+1,הפחתה8[[#This Row],[יתרת פתיחה]]),""),0)</f>
        <v/>
      </c>
      <c r="AH246" s="19">
        <f ca="1">(הפחתה8[[#This Row],[יתרת פתיחה]])*(מדד4/12)</f>
        <v>0</v>
      </c>
      <c r="AI246" s="19">
        <f ca="1">IF(הפחתה8[[#This Row],[תאריך]]="",0,הפחתה8[[#This Row],[ריבית]]+הפחתה8[[#This Row],[קרן]]+הפחתה8[[#This Row],[מדד]])</f>
        <v>0</v>
      </c>
      <c r="AJ246" s="19">
        <f ca="1">IF(הפחתה8[[#This Row],[תאריך]]="",0,הפחתה8[[#This Row],[יתרת פתיחה]]-הפחתה8[[#This Row],[קרן]])</f>
        <v>0</v>
      </c>
      <c r="AK246" s="20">
        <f ca="1">IF(הפחתה8[[#This Row],[יתרת
סגירה]]&gt;0,LastRow4-ROW(),0)</f>
        <v>0</v>
      </c>
    </row>
    <row r="247" spans="1:37" ht="15" customHeight="1" x14ac:dyDescent="0.25">
      <c r="A247" s="8"/>
      <c r="B247" s="11">
        <f>ROWS($B$4:B247)</f>
        <v>244</v>
      </c>
      <c r="C247" s="12">
        <f>IF(ValuesEntered,IF(הפחתה[[#This Row],[מס'']]&lt;=תקופת_ההלוואה,IF(ROW()-ROW(הפחתה[[#Headers],[תאריך]])=1,LoanStart,IF(I246&gt;0,EDATE(C246,1),"")),""),"")</f>
        <v>52779</v>
      </c>
      <c r="D247" s="13">
        <f>IF(ROW()-ROW(הפחתה[[#Headers],[יתרת פתיחה]])=1,סכום_הלוואה,IF(הפחתה[[#This Row],[תאריך]]="",0,INDEX(הפחתה[], ROW()-4,8)))</f>
        <v>303911.79980546527</v>
      </c>
      <c r="E247" s="13">
        <f>IF(ValuesEntered,IF(ROW()-ROW(הפחתה[[#Headers],[ריבית]])=1,-IPMT(שיעור_ריבית/12,1,תקופת_ההלוואה-ROWS($C$4:C247)+1,הפחתה[[#This Row],[יתרת פתיחה]]),IFERROR(-IPMT(שיעור_ריבית/12,1,הפחתה[[#This Row],[תשלומים
שנותרו]],D248),0)),0)</f>
        <v>1333.4899331137533</v>
      </c>
      <c r="F247" s="13">
        <f>IFERROR(IF(AND(ValuesEntered,הפחתה[[#This Row],[תאריך]]&lt;&gt;""),-PPMT(שיעור_ריבית/12,1,תקופת_ההלוואה-ROWS($C$4:C247)+1,הפחתה[[#This Row],[יתרת פתיחה]]),""),0)</f>
        <v>1989.5507985777472</v>
      </c>
      <c r="G247" s="13">
        <f>(הפחתה[[#This Row],[יתרת פתיחה]])*(מדד/12)</f>
        <v>0</v>
      </c>
      <c r="H247" s="13">
        <f>IF(הפחתה[[#This Row],[תאריך]]="",0,הפחתה[[#This Row],[ריבית]]+הפחתה[[#This Row],[קרן]]+הפחתה[[#This Row],[מדד]])</f>
        <v>3323.0407316915007</v>
      </c>
      <c r="I247" s="13">
        <f>IF(הפחתה[[#This Row],[תאריך]]="",0,הפחתה[[#This Row],[יתרת פתיחה]]-הפחתה[[#This Row],[קרן]]+הפחתה[[#This Row],[מדד]])</f>
        <v>301922.24900688755</v>
      </c>
      <c r="J247" s="11">
        <f>IF(הפחתה[[#This Row],[יתרת
סגירה]]&gt;0,LastRow-ROW(),0)</f>
        <v>116</v>
      </c>
      <c r="K247" s="11">
        <f>ROWS($K$4:K247)</f>
        <v>244</v>
      </c>
      <c r="L247" s="12">
        <f>IF(ValuesEntered2,IF(הפחתה5[[#This Row],[מס'']]&lt;=תקופת_ההלוואה2,IF(ROW()-ROW(הפחתה5[[#Headers],[תאריך]])=1,LoanStart2,IF(R246&gt;0,EDATE(L246,1),"")),""),"")</f>
        <v>52779</v>
      </c>
      <c r="M247" s="13">
        <f>IF(ROW()-ROW(הפחתה5[[#Headers],[יתרת פתיחה]])=1,סכום_הלוואה2,IF(הפחתה5[[#This Row],[תאריך]]="",0,INDEX(הפחתה5[], ROW()-4,8)))</f>
        <v>86782.560275402197</v>
      </c>
      <c r="N247" s="13">
        <f>IF(ValuesEntered2,IF(ROW()-ROW(הפחתה5[[#Headers],[ריבית]])=1,-IPMT(שיעור_ריבית2/12,1,תקופת_ההלוואה2-ROWS($L$4:L247)+1,הפחתה5[[#This Row],[יתרת פתיחה]]),IFERROR(-IPMT(שיעור_ריבית2/12,1,הפחתה5[[#This Row],[תשלומים
שנותרו]],M248),0)),0)</f>
        <v>334.56449770341339</v>
      </c>
      <c r="O247" s="13">
        <f>IFERROR(IF(AND(ValuesEntered2,הפחתה5[[#This Row],[תאריך]]&lt;&gt;""),-PPMT(שיעור_ריבית2/12,1,תקופת_ההלוואה2-ROWS($L$4:L247)+1,הפחתה5[[#This Row],[יתרת פתיחה]]),""),0)</f>
        <v>1361.8374575094006</v>
      </c>
      <c r="P247" s="13">
        <f>(הפחתה5[[#This Row],[יתרת פתיחה]])*(מדד2/12)</f>
        <v>0</v>
      </c>
      <c r="Q247" s="13">
        <f>IF(הפחתה5[[#This Row],[תאריך]]="",0,הפחתה5[[#This Row],[ריבית]]+הפחתה5[[#This Row],[קרן]]+הפחתה5[[#This Row],[מדד]])</f>
        <v>1696.4019552128138</v>
      </c>
      <c r="R247" s="13">
        <f>IF(הפחתה5[[#This Row],[תאריך]]="",0,הפחתה5[[#This Row],[יתרת פתיחה]]-הפחתה5[[#This Row],[קרן]]+הפחתה5[[#This Row],[מדד]])</f>
        <v>85420.722817892791</v>
      </c>
      <c r="S247" s="11">
        <f>IF(הפחתה5[[#This Row],[יתרת
סגירה]]&gt;0,LastRow2-ROW(),0)</f>
        <v>56</v>
      </c>
      <c r="T247" s="11">
        <f>ROWS($T$4:T247)</f>
        <v>244</v>
      </c>
      <c r="U247" s="12">
        <f ca="1">IF(ValuesEntered3,IF(הפחתה7[[#This Row],[מס'']]&lt;=תקופת_ההלוואה3,IF(ROW()-ROW(הפחתה7[[#Headers],[תאריך]])=1,LoanStart3,IF(AA246&gt;0,EDATE(U246,1),"")),""),"")</f>
        <v>53018</v>
      </c>
      <c r="V247" s="13">
        <f ca="1">IF(ROW()-ROW(הפחתה7[[#Headers],[יתרת פתיחה]])=1,סכום_הלוואה3,IF(הפחתה7[[#This Row],[תאריך]]="",0,INDEX(הפחתה7[], ROW()-4,8)))</f>
        <v>35550.202501766013</v>
      </c>
      <c r="W247" s="13">
        <f ca="1">IF(ValuesEntered3,IF(ROW()-ROW(הפחתה7[[#Headers],[ריבית]])=1,-IPMT(שיעור_ריבית3/12,1,תקופת_ההלוואה3-ROWS($C$4:U247)+1,הפחתה7[[#This Row],[יתרת פתיחה]]),IFERROR(-IPMT(שיעור_ריבית3/12,1,הפחתה7[[#This Row],[תשלומים
שנותרו]],V248),0)),0)</f>
        <v>67.119015702337634</v>
      </c>
      <c r="X247" s="13">
        <f ca="1">IFERROR(IF(AND(ValuesEntered3,הפחתה7[[#This Row],[תאריך]]&lt;&gt;""),-PPMT(שיעור_ריבית3/12,1,תקופת_ההלוואה3-ROWS($C$4:U247)+1,הפחתה7[[#This Row],[יתרת פתיחה]]),""),0)</f>
        <v>590.83595109279099</v>
      </c>
      <c r="Y247" s="13">
        <f ca="1">(הפחתה7[[#This Row],[יתרת פתיחה]])*(מדד3/12)</f>
        <v>59.25033750294336</v>
      </c>
      <c r="Z247" s="13">
        <f ca="1">IF(הפחתה7[[#This Row],[תאריך]]="",0,הפחתה7[[#This Row],[ריבית]]+הפחתה7[[#This Row],[קרן]]+הפחתה7[[#This Row],[מדד]])</f>
        <v>717.20530429807195</v>
      </c>
      <c r="AA247" s="13">
        <f ca="1">IF(הפחתה7[[#This Row],[תאריך]]="",0,הפחתה7[[#This Row],[יתרת פתיחה]]-הפחתה7[[#This Row],[קרן]]+הפחתה7[[#This Row],[מדד]])</f>
        <v>35018.616888176162</v>
      </c>
      <c r="AB247" s="11">
        <f ca="1">IF(הפחתה7[[#This Row],[יתרת
סגירה]]&gt;0,LastRow3-ROW(),0)</f>
        <v>56</v>
      </c>
      <c r="AC247" s="17">
        <f>ROWS($AC$4:AC247)</f>
        <v>244</v>
      </c>
      <c r="AD247" s="18" t="str">
        <f ca="1">IF(ValuesEntered4,IF(הפחתה8[[#This Row],[מס'']]&lt;=תקופת_ההלוואה4,IF(ROW()-ROW(הפחתה8[[#Headers],[תאריך]])=1,LoanStart4,IF(AJ246&gt;0,EDATE(AD246,1),"")),""),"")</f>
        <v/>
      </c>
      <c r="AE247" s="19">
        <f ca="1">IF(ROW()-ROW(הפחתה8[[#Headers],[יתרת פתיחה]])=1,סכום_הלוואה4,IF(הפחתה8[[#This Row],[תאריך]]="",0,INDEX(הפחתה8[], ROW()-4,8)))</f>
        <v>0</v>
      </c>
      <c r="AF247" s="19">
        <f ca="1">IF(ValuesEntered4,IF(ROW()-ROW(הפחתה8[[#Headers],[ריבית]])=1,-IPMT(שיעור_ריבית4/12,1,תקופת_ההלוואה4-ROWS($C$4:AD247)+1,הפחתה8[[#This Row],[יתרת פתיחה]]),IFERROR(-IPMT(שיעור_ריבית4/12,1,הפחתה8[[#This Row],[תשלומים
שנותרו]],AE248),0)),0)</f>
        <v>0</v>
      </c>
      <c r="AG247" s="19" t="str">
        <f ca="1">IFERROR(IF(AND(ValuesEntered4,הפחתה8[[#This Row],[תאריך]]&lt;&gt;""),-PPMT(שיעור_ריבית4/12,1,תקופת_ההלוואה4-ROWS($C$4:AD247)+1,הפחתה8[[#This Row],[יתרת פתיחה]]),""),0)</f>
        <v/>
      </c>
      <c r="AH247" s="19">
        <f ca="1">(הפחתה8[[#This Row],[יתרת פתיחה]])*(מדד4/12)</f>
        <v>0</v>
      </c>
      <c r="AI247" s="19">
        <f ca="1">IF(הפחתה8[[#This Row],[תאריך]]="",0,הפחתה8[[#This Row],[ריבית]]+הפחתה8[[#This Row],[קרן]]+הפחתה8[[#This Row],[מדד]])</f>
        <v>0</v>
      </c>
      <c r="AJ247" s="19">
        <f ca="1">IF(הפחתה8[[#This Row],[תאריך]]="",0,הפחתה8[[#This Row],[יתרת פתיחה]]-הפחתה8[[#This Row],[קרן]])</f>
        <v>0</v>
      </c>
      <c r="AK247" s="20">
        <f ca="1">IF(הפחתה8[[#This Row],[יתרת
סגירה]]&gt;0,LastRow4-ROW(),0)</f>
        <v>0</v>
      </c>
    </row>
    <row r="248" spans="1:37" ht="15" customHeight="1" x14ac:dyDescent="0.25">
      <c r="A248" s="8"/>
      <c r="B248" s="11">
        <f>ROWS($B$4:B248)</f>
        <v>245</v>
      </c>
      <c r="C248" s="12">
        <f>IF(ValuesEntered,IF(הפחתה[[#This Row],[מס'']]&lt;=תקופת_ההלוואה,IF(ROW()-ROW(הפחתה[[#Headers],[תאריך]])=1,LoanStart,IF(I247&gt;0,EDATE(C247,1),"")),""),"")</f>
        <v>52810</v>
      </c>
      <c r="D248" s="13">
        <f>IF(ROW()-ROW(הפחתה[[#Headers],[יתרת פתיחה]])=1,סכום_הלוואה,IF(הפחתה[[#This Row],[תאריך]]="",0,INDEX(הפחתה[], ROW()-4,8)))</f>
        <v>301922.24900688755</v>
      </c>
      <c r="E248" s="13">
        <f>IF(ValuesEntered,IF(ROW()-ROW(הפחתה[[#Headers],[ריבית]])=1,-IPMT(שיעור_ריבית/12,1,תקופת_ההלוואה-ROWS($C$4:C248)+1,הפחתה[[#This Row],[יתרת פתיחה]]),IFERROR(-IPMT(שיעור_ריבית/12,1,הפחתה[[#This Row],[תשלומים
שנותרו]],D249),0)),0)</f>
        <v>1324.663940363138</v>
      </c>
      <c r="F248" s="13">
        <f>IFERROR(IF(AND(ValuesEntered,הפחתה[[#This Row],[תאריך]]&lt;&gt;""),-PPMT(שיעור_ריבית/12,1,תקופת_ההלוואה-ROWS($C$4:C248)+1,הפחתה[[#This Row],[יתרת פתיחה]]),""),0)</f>
        <v>1998.3379812714659</v>
      </c>
      <c r="G248" s="13">
        <f>(הפחתה[[#This Row],[יתרת פתיחה]])*(מדד/12)</f>
        <v>0</v>
      </c>
      <c r="H248" s="13">
        <f>IF(הפחתה[[#This Row],[תאריך]]="",0,הפחתה[[#This Row],[ריבית]]+הפחתה[[#This Row],[קרן]]+הפחתה[[#This Row],[מדד]])</f>
        <v>3323.0019216346036</v>
      </c>
      <c r="I248" s="13">
        <f>IF(הפחתה[[#This Row],[תאריך]]="",0,הפחתה[[#This Row],[יתרת פתיחה]]-הפחתה[[#This Row],[קרן]]+הפחתה[[#This Row],[מדד]])</f>
        <v>299923.91102561611</v>
      </c>
      <c r="J248" s="11">
        <f>IF(הפחתה[[#This Row],[יתרת
סגירה]]&gt;0,LastRow-ROW(),0)</f>
        <v>115</v>
      </c>
      <c r="K248" s="11">
        <f>ROWS($K$4:K248)</f>
        <v>245</v>
      </c>
      <c r="L248" s="12">
        <f>IF(ValuesEntered2,IF(הפחתה5[[#This Row],[מס'']]&lt;=תקופת_ההלוואה2,IF(ROW()-ROW(הפחתה5[[#Headers],[תאריך]])=1,LoanStart2,IF(R247&gt;0,EDATE(L247,1),"")),""),"")</f>
        <v>52810</v>
      </c>
      <c r="M248" s="13">
        <f>IF(ROW()-ROW(הפחתה5[[#Headers],[יתרת פתיחה]])=1,סכום_הלוואה2,IF(הפחתה5[[#This Row],[תאריך]]="",0,INDEX(הפחתה5[], ROW()-4,8)))</f>
        <v>85420.722817892791</v>
      </c>
      <c r="N248" s="13">
        <f>IF(ValuesEntered2,IF(ROW()-ROW(הפחתה5[[#Headers],[ריבית]])=1,-IPMT(שיעור_ריבית2/12,1,תקופת_ההלוואה2-ROWS($L$4:L248)+1,הפחתה5[[#This Row],[יתרת פתיחה]]),IFERROR(-IPMT(שיעור_ריבית2/12,1,הפחתה5[[#This Row],[תשלומים
שנותרו]],M249),0)),0)</f>
        <v>329.20974336328186</v>
      </c>
      <c r="O248" s="13">
        <f>IFERROR(IF(AND(ValuesEntered2,הפחתה5[[#This Row],[תאריך]]&lt;&gt;""),-PPMT(שיעור_ריבית2/12,1,תקופת_ההלוואה2-ROWS($L$4:L248)+1,הפחתה5[[#This Row],[יתרת פתיחה]]),""),0)</f>
        <v>1367.1713208846454</v>
      </c>
      <c r="P248" s="13">
        <f>(הפחתה5[[#This Row],[יתרת פתיחה]])*(מדד2/12)</f>
        <v>0</v>
      </c>
      <c r="Q248" s="13">
        <f>IF(הפחתה5[[#This Row],[תאריך]]="",0,הפחתה5[[#This Row],[ריבית]]+הפחתה5[[#This Row],[קרן]]+הפחתה5[[#This Row],[מדד]])</f>
        <v>1696.3810642479273</v>
      </c>
      <c r="R248" s="13">
        <f>IF(הפחתה5[[#This Row],[תאריך]]="",0,הפחתה5[[#This Row],[יתרת פתיחה]]-הפחתה5[[#This Row],[קרן]]+הפחתה5[[#This Row],[מדד]])</f>
        <v>84053.551497008142</v>
      </c>
      <c r="S248" s="11">
        <f>IF(הפחתה5[[#This Row],[יתרת
סגירה]]&gt;0,LastRow2-ROW(),0)</f>
        <v>55</v>
      </c>
      <c r="T248" s="11">
        <f>ROWS($T$4:T248)</f>
        <v>245</v>
      </c>
      <c r="U248" s="12">
        <f ca="1">IF(ValuesEntered3,IF(הפחתה7[[#This Row],[מס'']]&lt;=תקופת_ההלוואה3,IF(ROW()-ROW(הפחתה7[[#Headers],[תאריך]])=1,LoanStart3,IF(AA247&gt;0,EDATE(U247,1),"")),""),"")</f>
        <v>53046</v>
      </c>
      <c r="V248" s="13">
        <f ca="1">IF(ROW()-ROW(הפחתה7[[#Headers],[יתרת פתיחה]])=1,סכום_הלוואה3,IF(הפחתה7[[#This Row],[תאריך]]="",0,INDEX(הפחתה7[], ROW()-4,8)))</f>
        <v>35018.616888176162</v>
      </c>
      <c r="W248" s="13">
        <f ca="1">IF(ValuesEntered3,IF(ROW()-ROW(הפחתה7[[#Headers],[ריבית]])=1,-IPMT(שיעור_ריבית3/12,1,תקופת_ההלוואה3-ROWS($C$4:U248)+1,הפחתה7[[#This Row],[יתרת פתיחה]]),IFERROR(-IPMT(שיעור_ריבית3/12,1,הפחתה7[[#This Row],[תשלומים
שנותרו]],V249),0)),0)</f>
        <v>66.094351684644877</v>
      </c>
      <c r="X248" s="13">
        <f ca="1">IFERROR(IF(AND(ValuesEntered3,הפחתה7[[#This Row],[תאריך]]&lt;&gt;""),-PPMT(שיעור_ריבית3/12,1,תקופת_ההלוואה3-ROWS($C$4:U248)+1,הפחתה7[[#This Row],[יתרת פתיחה]]),""),0)</f>
        <v>592.97167505912194</v>
      </c>
      <c r="Y248" s="13">
        <f ca="1">(הפחתה7[[#This Row],[יתרת פתיחה]])*(מדד3/12)</f>
        <v>58.36436148029361</v>
      </c>
      <c r="Z248" s="13">
        <f ca="1">IF(הפחתה7[[#This Row],[תאריך]]="",0,הפחתה7[[#This Row],[ריבית]]+הפחתה7[[#This Row],[קרן]]+הפחתה7[[#This Row],[מדד]])</f>
        <v>717.43038822406038</v>
      </c>
      <c r="AA248" s="13">
        <f ca="1">IF(הפחתה7[[#This Row],[תאריך]]="",0,הפחתה7[[#This Row],[יתרת פתיחה]]-הפחתה7[[#This Row],[קרן]]+הפחתה7[[#This Row],[מדד]])</f>
        <v>34484.00957459733</v>
      </c>
      <c r="AB248" s="11">
        <f ca="1">IF(הפחתה7[[#This Row],[יתרת
סגירה]]&gt;0,LastRow3-ROW(),0)</f>
        <v>55</v>
      </c>
      <c r="AC248" s="17">
        <f>ROWS($AC$4:AC248)</f>
        <v>245</v>
      </c>
      <c r="AD248" s="18" t="str">
        <f ca="1">IF(ValuesEntered4,IF(הפחתה8[[#This Row],[מס'']]&lt;=תקופת_ההלוואה4,IF(ROW()-ROW(הפחתה8[[#Headers],[תאריך]])=1,LoanStart4,IF(AJ247&gt;0,EDATE(AD247,1),"")),""),"")</f>
        <v/>
      </c>
      <c r="AE248" s="19">
        <f ca="1">IF(ROW()-ROW(הפחתה8[[#Headers],[יתרת פתיחה]])=1,סכום_הלוואה4,IF(הפחתה8[[#This Row],[תאריך]]="",0,INDEX(הפחתה8[], ROW()-4,8)))</f>
        <v>0</v>
      </c>
      <c r="AF248" s="19">
        <f ca="1">IF(ValuesEntered4,IF(ROW()-ROW(הפחתה8[[#Headers],[ריבית]])=1,-IPMT(שיעור_ריבית4/12,1,תקופת_ההלוואה4-ROWS($C$4:AD248)+1,הפחתה8[[#This Row],[יתרת פתיחה]]),IFERROR(-IPMT(שיעור_ריבית4/12,1,הפחתה8[[#This Row],[תשלומים
שנותרו]],AE249),0)),0)</f>
        <v>0</v>
      </c>
      <c r="AG248" s="19" t="str">
        <f ca="1">IFERROR(IF(AND(ValuesEntered4,הפחתה8[[#This Row],[תאריך]]&lt;&gt;""),-PPMT(שיעור_ריבית4/12,1,תקופת_ההלוואה4-ROWS($C$4:AD248)+1,הפחתה8[[#This Row],[יתרת פתיחה]]),""),0)</f>
        <v/>
      </c>
      <c r="AH248" s="19">
        <f ca="1">(הפחתה8[[#This Row],[יתרת פתיחה]])*(מדד4/12)</f>
        <v>0</v>
      </c>
      <c r="AI248" s="19">
        <f ca="1">IF(הפחתה8[[#This Row],[תאריך]]="",0,הפחתה8[[#This Row],[ריבית]]+הפחתה8[[#This Row],[קרן]]+הפחתה8[[#This Row],[מדד]])</f>
        <v>0</v>
      </c>
      <c r="AJ248" s="19">
        <f ca="1">IF(הפחתה8[[#This Row],[תאריך]]="",0,הפחתה8[[#This Row],[יתרת פתיחה]]-הפחתה8[[#This Row],[קרן]])</f>
        <v>0</v>
      </c>
      <c r="AK248" s="20">
        <f ca="1">IF(הפחתה8[[#This Row],[יתרת
סגירה]]&gt;0,LastRow4-ROW(),0)</f>
        <v>0</v>
      </c>
    </row>
    <row r="249" spans="1:37" ht="15" customHeight="1" x14ac:dyDescent="0.25">
      <c r="A249" s="8"/>
      <c r="B249" s="11">
        <f>ROWS($B$4:B249)</f>
        <v>246</v>
      </c>
      <c r="C249" s="12">
        <f>IF(ValuesEntered,IF(הפחתה[[#This Row],[מס'']]&lt;=תקופת_ההלוואה,IF(ROW()-ROW(הפחתה[[#Headers],[תאריך]])=1,LoanStart,IF(I248&gt;0,EDATE(C248,1),"")),""),"")</f>
        <v>52841</v>
      </c>
      <c r="D249" s="13">
        <f>IF(ROW()-ROW(הפחתה[[#Headers],[יתרת פתיחה]])=1,סכום_הלוואה,IF(הפחתה[[#This Row],[תאריך]]="",0,INDEX(הפחתה[], ROW()-4,8)))</f>
        <v>299923.91102561611</v>
      </c>
      <c r="E249" s="13">
        <f>IF(ValuesEntered,IF(ROW()-ROW(הפחתה[[#Headers],[ריבית]])=1,-IPMT(שיעור_ריבית/12,1,תקופת_ההלוואה-ROWS($C$4:C249)+1,הפחתה[[#This Row],[יתרת פתיחה]]),IFERROR(-IPMT(שיעור_ריבית/12,1,הפחתה[[#This Row],[תשלומים
שנותרו]],D250),0)),0)</f>
        <v>1315.7989661445404</v>
      </c>
      <c r="F249" s="13">
        <f>IFERROR(IF(AND(ValuesEntered,הפחתה[[#This Row],[תאריך]]&lt;&gt;""),-PPMT(שיעור_ריבית/12,1,תקופת_ההלוואה-ROWS($C$4:C249)+1,הפחתה[[#This Row],[יתרת פתיחה]]),""),0)</f>
        <v>2007.1639740220817</v>
      </c>
      <c r="G249" s="13">
        <f>(הפחתה[[#This Row],[יתרת פתיחה]])*(מדד/12)</f>
        <v>0</v>
      </c>
      <c r="H249" s="13">
        <f>IF(הפחתה[[#This Row],[תאריך]]="",0,הפחתה[[#This Row],[ריבית]]+הפחתה[[#This Row],[קרן]]+הפחתה[[#This Row],[מדד]])</f>
        <v>3322.962940166622</v>
      </c>
      <c r="I249" s="13">
        <f>IF(הפחתה[[#This Row],[תאריך]]="",0,הפחתה[[#This Row],[יתרת פתיחה]]-הפחתה[[#This Row],[קרן]]+הפחתה[[#This Row],[מדד]])</f>
        <v>297916.74705159402</v>
      </c>
      <c r="J249" s="11">
        <f>IF(הפחתה[[#This Row],[יתרת
סגירה]]&gt;0,LastRow-ROW(),0)</f>
        <v>114</v>
      </c>
      <c r="K249" s="11">
        <f>ROWS($K$4:K249)</f>
        <v>246</v>
      </c>
      <c r="L249" s="12">
        <f>IF(ValuesEntered2,IF(הפחתה5[[#This Row],[מס'']]&lt;=תקופת_ההלוואה2,IF(ROW()-ROW(הפחתה5[[#Headers],[תאריך]])=1,LoanStart2,IF(R248&gt;0,EDATE(L248,1),"")),""),"")</f>
        <v>52841</v>
      </c>
      <c r="M249" s="13">
        <f>IF(ROW()-ROW(הפחתה5[[#Headers],[יתרת פתיחה]])=1,סכום_הלוואה2,IF(הפחתה5[[#This Row],[תאריך]]="",0,INDEX(הפחתה5[], ROW()-4,8)))</f>
        <v>84053.551497008142</v>
      </c>
      <c r="N249" s="13">
        <f>IF(ValuesEntered2,IF(ROW()-ROW(הפחתה5[[#Headers],[ריבית]])=1,-IPMT(שיעור_ריבית2/12,1,תקופת_ההלוואה2-ROWS($L$4:L249)+1,הפחתה5[[#This Row],[יתרת פתיחה]]),IFERROR(-IPMT(שיעור_ריבית2/12,1,הפחתה5[[#This Row],[תשלומים
שנותרו]],M250),0)),0)</f>
        <v>323.83401623531819</v>
      </c>
      <c r="O249" s="13">
        <f>IFERROR(IF(AND(ValuesEntered2,הפחתה5[[#This Row],[תאריך]]&lt;&gt;""),-PPMT(שיעור_ריבית2/12,1,תקופת_ההלוואה2-ROWS($L$4:L249)+1,הפחתה5[[#This Row],[יתרת פתיחה]]),""),0)</f>
        <v>1372.5260752247773</v>
      </c>
      <c r="P249" s="13">
        <f>(הפחתה5[[#This Row],[יתרת פתיחה]])*(מדד2/12)</f>
        <v>0</v>
      </c>
      <c r="Q249" s="13">
        <f>IF(הפחתה5[[#This Row],[תאריך]]="",0,הפחתה5[[#This Row],[ריבית]]+הפחתה5[[#This Row],[קרן]]+הפחתה5[[#This Row],[מדד]])</f>
        <v>1696.3600914600954</v>
      </c>
      <c r="R249" s="13">
        <f>IF(הפחתה5[[#This Row],[תאריך]]="",0,הפחתה5[[#This Row],[יתרת פתיחה]]-הפחתה5[[#This Row],[קרן]]+הפחתה5[[#This Row],[מדד]])</f>
        <v>82681.025421783372</v>
      </c>
      <c r="S249" s="11">
        <f>IF(הפחתה5[[#This Row],[יתרת
סגירה]]&gt;0,LastRow2-ROW(),0)</f>
        <v>54</v>
      </c>
      <c r="T249" s="11">
        <f>ROWS($T$4:T249)</f>
        <v>246</v>
      </c>
      <c r="U249" s="12">
        <f ca="1">IF(ValuesEntered3,IF(הפחתה7[[#This Row],[מס'']]&lt;=תקופת_ההלוואה3,IF(ROW()-ROW(הפחתה7[[#Headers],[תאריך]])=1,LoanStart3,IF(AA248&gt;0,EDATE(U248,1),"")),""),"")</f>
        <v>53077</v>
      </c>
      <c r="V249" s="13">
        <f ca="1">IF(ROW()-ROW(הפחתה7[[#Headers],[יתרת פתיחה]])=1,סכום_הלוואה3,IF(הפחתה7[[#This Row],[תאריך]]="",0,INDEX(הפחתה7[], ROW()-4,8)))</f>
        <v>34484.00957459733</v>
      </c>
      <c r="W249" s="13">
        <f ca="1">IF(ValuesEntered3,IF(ROW()-ROW(הפחתה7[[#Headers],[ריבית]])=1,-IPMT(שיעור_ריבית3/12,1,תקופת_ההלוואה3-ROWS($C$4:U249)+1,הפחתה7[[#This Row],[יתרת פתיחה]]),IFERROR(-IPMT(שיעור_ריבית3/12,1,הפחתה7[[#This Row],[תשלומים
שנותרו]],V250),0)),0)</f>
        <v>65.063871010766675</v>
      </c>
      <c r="X249" s="13">
        <f ca="1">IFERROR(IF(AND(ValuesEntered3,הפחתה7[[#This Row],[תאריך]]&lt;&gt;""),-PPMT(שיעור_ריבית3/12,1,תקופת_ההלוואה3-ROWS($C$4:U249)+1,הפחתה7[[#This Row],[יתרת פתיחה]]),""),0)</f>
        <v>595.11544001005427</v>
      </c>
      <c r="Y249" s="13">
        <f ca="1">(הפחתה7[[#This Row],[יתרת פתיחה]])*(מדד3/12)</f>
        <v>57.473349290995557</v>
      </c>
      <c r="Z249" s="13">
        <f ca="1">IF(הפחתה7[[#This Row],[תאריך]]="",0,הפחתה7[[#This Row],[ריבית]]+הפחתה7[[#This Row],[קרן]]+הפחתה7[[#This Row],[מדד]])</f>
        <v>717.65266031181648</v>
      </c>
      <c r="AA249" s="13">
        <f ca="1">IF(הפחתה7[[#This Row],[תאריך]]="",0,הפחתה7[[#This Row],[יתרת פתיחה]]-הפחתה7[[#This Row],[קרן]]+הפחתה7[[#This Row],[מדד]])</f>
        <v>33946.367483878268</v>
      </c>
      <c r="AB249" s="11">
        <f ca="1">IF(הפחתה7[[#This Row],[יתרת
סגירה]]&gt;0,LastRow3-ROW(),0)</f>
        <v>54</v>
      </c>
      <c r="AC249" s="17">
        <f>ROWS($AC$4:AC249)</f>
        <v>246</v>
      </c>
      <c r="AD249" s="18" t="str">
        <f ca="1">IF(ValuesEntered4,IF(הפחתה8[[#This Row],[מס'']]&lt;=תקופת_ההלוואה4,IF(ROW()-ROW(הפחתה8[[#Headers],[תאריך]])=1,LoanStart4,IF(AJ248&gt;0,EDATE(AD248,1),"")),""),"")</f>
        <v/>
      </c>
      <c r="AE249" s="19">
        <f ca="1">IF(ROW()-ROW(הפחתה8[[#Headers],[יתרת פתיחה]])=1,סכום_הלוואה4,IF(הפחתה8[[#This Row],[תאריך]]="",0,INDEX(הפחתה8[], ROW()-4,8)))</f>
        <v>0</v>
      </c>
      <c r="AF249" s="19">
        <f ca="1">IF(ValuesEntered4,IF(ROW()-ROW(הפחתה8[[#Headers],[ריבית]])=1,-IPMT(שיעור_ריבית4/12,1,תקופת_ההלוואה4-ROWS($C$4:AD249)+1,הפחתה8[[#This Row],[יתרת פתיחה]]),IFERROR(-IPMT(שיעור_ריבית4/12,1,הפחתה8[[#This Row],[תשלומים
שנותרו]],AE250),0)),0)</f>
        <v>0</v>
      </c>
      <c r="AG249" s="19" t="str">
        <f ca="1">IFERROR(IF(AND(ValuesEntered4,הפחתה8[[#This Row],[תאריך]]&lt;&gt;""),-PPMT(שיעור_ריבית4/12,1,תקופת_ההלוואה4-ROWS($C$4:AD249)+1,הפחתה8[[#This Row],[יתרת פתיחה]]),""),0)</f>
        <v/>
      </c>
      <c r="AH249" s="19">
        <f ca="1">(הפחתה8[[#This Row],[יתרת פתיחה]])*(מדד4/12)</f>
        <v>0</v>
      </c>
      <c r="AI249" s="19">
        <f ca="1">IF(הפחתה8[[#This Row],[תאריך]]="",0,הפחתה8[[#This Row],[ריבית]]+הפחתה8[[#This Row],[קרן]]+הפחתה8[[#This Row],[מדד]])</f>
        <v>0</v>
      </c>
      <c r="AJ249" s="19">
        <f ca="1">IF(הפחתה8[[#This Row],[תאריך]]="",0,הפחתה8[[#This Row],[יתרת פתיחה]]-הפחתה8[[#This Row],[קרן]])</f>
        <v>0</v>
      </c>
      <c r="AK249" s="20">
        <f ca="1">IF(הפחתה8[[#This Row],[יתרת
סגירה]]&gt;0,LastRow4-ROW(),0)</f>
        <v>0</v>
      </c>
    </row>
    <row r="250" spans="1:37" ht="15" customHeight="1" x14ac:dyDescent="0.25">
      <c r="A250" s="8"/>
      <c r="B250" s="11">
        <f>ROWS($B$4:B250)</f>
        <v>247</v>
      </c>
      <c r="C250" s="12">
        <f>IF(ValuesEntered,IF(הפחתה[[#This Row],[מס'']]&lt;=תקופת_ההלוואה,IF(ROW()-ROW(הפחתה[[#Headers],[תאריך]])=1,LoanStart,IF(I249&gt;0,EDATE(C249,1),"")),""),"")</f>
        <v>52871</v>
      </c>
      <c r="D250" s="13">
        <f>IF(ROW()-ROW(הפחתה[[#Headers],[יתרת פתיחה]])=1,סכום_הלוואה,IF(הפחתה[[#This Row],[תאריך]]="",0,INDEX(הפחתה[], ROW()-4,8)))</f>
        <v>297916.74705159402</v>
      </c>
      <c r="E250" s="13">
        <f>IF(ValuesEntered,IF(ROW()-ROW(הפחתה[[#Headers],[ריבית]])=1,-IPMT(שיעור_ריבית/12,1,תקופת_ההלוואה-ROWS($C$4:C250)+1,הפחתה[[#This Row],[יתרת פתיחה]]),IFERROR(-IPMT(שיעור_ריבית/12,1,הפחתה[[#This Row],[תשלומים
שנותרו]],D251),0)),0)</f>
        <v>1306.8948382898107</v>
      </c>
      <c r="F250" s="13">
        <f>IFERROR(IF(AND(ValuesEntered,הפחתה[[#This Row],[תאריך]]&lt;&gt;""),-PPMT(שיעור_ריבית/12,1,תקופת_ההלוואה-ROWS($C$4:C250)+1,הפחתה[[#This Row],[יתרת פתיחה]]),""),0)</f>
        <v>2016.0289482406786</v>
      </c>
      <c r="G250" s="13">
        <f>(הפחתה[[#This Row],[יתרת פתיחה]])*(מדד/12)</f>
        <v>0</v>
      </c>
      <c r="H250" s="13">
        <f>IF(הפחתה[[#This Row],[תאריך]]="",0,הפחתה[[#This Row],[ריבית]]+הפחתה[[#This Row],[קרן]]+הפחתה[[#This Row],[מדד]])</f>
        <v>3322.9237865304895</v>
      </c>
      <c r="I250" s="13">
        <f>IF(הפחתה[[#This Row],[תאריך]]="",0,הפחתה[[#This Row],[יתרת פתיחה]]-הפחתה[[#This Row],[קרן]]+הפחתה[[#This Row],[מדד]])</f>
        <v>295900.71810335334</v>
      </c>
      <c r="J250" s="11">
        <f>IF(הפחתה[[#This Row],[יתרת
סגירה]]&gt;0,LastRow-ROW(),0)</f>
        <v>113</v>
      </c>
      <c r="K250" s="11">
        <f>ROWS($K$4:K250)</f>
        <v>247</v>
      </c>
      <c r="L250" s="12">
        <f>IF(ValuesEntered2,IF(הפחתה5[[#This Row],[מס'']]&lt;=תקופת_ההלוואה2,IF(ROW()-ROW(הפחתה5[[#Headers],[תאריך]])=1,LoanStart2,IF(R249&gt;0,EDATE(L249,1),"")),""),"")</f>
        <v>52871</v>
      </c>
      <c r="M250" s="13">
        <f>IF(ROW()-ROW(הפחתה5[[#Headers],[יתרת פתיחה]])=1,סכום_הלוואה2,IF(הפחתה5[[#This Row],[תאריך]]="",0,INDEX(הפחתה5[], ROW()-4,8)))</f>
        <v>82681.025421783372</v>
      </c>
      <c r="N250" s="13">
        <f>IF(ValuesEntered2,IF(ROW()-ROW(הפחתה5[[#Headers],[ריבית]])=1,-IPMT(שיעור_ריבית2/12,1,תקופת_ההלוואה2-ROWS($L$4:L250)+1,הפחתה5[[#This Row],[יתרת פתיחה]]),IFERROR(-IPMT(שיעור_ריבית2/12,1,הפחתה5[[#This Row],[תשלומים
שנותרו]],M251),0)),0)</f>
        <v>318.43723417610329</v>
      </c>
      <c r="O250" s="13">
        <f>IFERROR(IF(AND(ValuesEntered2,הפחתה5[[#This Row],[תאריך]]&lt;&gt;""),-PPMT(שיעור_ריבית2/12,1,תקופת_ההלוואה2-ROWS($L$4:L250)+1,הפחתה5[[#This Row],[יתרת פתיחה]]),""),0)</f>
        <v>1377.901802352741</v>
      </c>
      <c r="P250" s="13">
        <f>(הפחתה5[[#This Row],[יתרת פתיחה]])*(מדד2/12)</f>
        <v>0</v>
      </c>
      <c r="Q250" s="13">
        <f>IF(הפחתה5[[#This Row],[תאריך]]="",0,הפחתה5[[#This Row],[ריבית]]+הפחתה5[[#This Row],[קרן]]+הפחתה5[[#This Row],[מדד]])</f>
        <v>1696.3390365288442</v>
      </c>
      <c r="R250" s="13">
        <f>IF(הפחתה5[[#This Row],[תאריך]]="",0,הפחתה5[[#This Row],[יתרת פתיחה]]-הפחתה5[[#This Row],[קרן]]+הפחתה5[[#This Row],[מדד]])</f>
        <v>81303.123619430626</v>
      </c>
      <c r="S250" s="11">
        <f>IF(הפחתה5[[#This Row],[יתרת
סגירה]]&gt;0,LastRow2-ROW(),0)</f>
        <v>53</v>
      </c>
      <c r="T250" s="11">
        <f>ROWS($T$4:T250)</f>
        <v>247</v>
      </c>
      <c r="U250" s="12">
        <f ca="1">IF(ValuesEntered3,IF(הפחתה7[[#This Row],[מס'']]&lt;=תקופת_ההלוואה3,IF(ROW()-ROW(הפחתה7[[#Headers],[תאריך]])=1,LoanStart3,IF(AA249&gt;0,EDATE(U249,1),"")),""),"")</f>
        <v>53107</v>
      </c>
      <c r="V250" s="13">
        <f ca="1">IF(ROW()-ROW(הפחתה7[[#Headers],[יתרת פתיחה]])=1,סכום_הלוואה3,IF(הפחתה7[[#This Row],[תאריך]]="",0,INDEX(הפחתה7[], ROW()-4,8)))</f>
        <v>33946.367483878268</v>
      </c>
      <c r="W250" s="13">
        <f ca="1">IF(ValuesEntered3,IF(ROW()-ROW(הפחתה7[[#Headers],[ריבית]])=1,-IPMT(שיעור_ריבית3/12,1,תקופת_ההלוואה3-ROWS($C$4:U250)+1,הפחתה7[[#This Row],[יתרת פתיחה]]),IFERROR(-IPMT(שיעור_ריבית3/12,1,הפחתה7[[#This Row],[תשלומים
שנותרו]],V251),0)),0)</f>
        <v>64.027548491349691</v>
      </c>
      <c r="X250" s="13">
        <f ca="1">IFERROR(IF(AND(ValuesEntered3,הפחתה7[[#This Row],[תאריך]]&lt;&gt;""),-PPMT(שיעור_ריבית3/12,1,תקופת_ההלוואה3-ROWS($C$4:U250)+1,הפחתה7[[#This Row],[יתרת פתיחה]]),""),0)</f>
        <v>597.26728927040119</v>
      </c>
      <c r="Y250" s="13">
        <f ca="1">(הפחתה7[[#This Row],[יתרת פתיחה]])*(מדד3/12)</f>
        <v>56.57727913979712</v>
      </c>
      <c r="Z250" s="13">
        <f ca="1">IF(הפחתה7[[#This Row],[תאריך]]="",0,הפחתה7[[#This Row],[ריבית]]+הפחתה7[[#This Row],[קרן]]+הפחתה7[[#This Row],[מדד]])</f>
        <v>717.872116901548</v>
      </c>
      <c r="AA250" s="13">
        <f ca="1">IF(הפחתה7[[#This Row],[תאריך]]="",0,הפחתה7[[#This Row],[יתרת פתיחה]]-הפחתה7[[#This Row],[קרן]]+הפחתה7[[#This Row],[מדד]])</f>
        <v>33405.677473747666</v>
      </c>
      <c r="AB250" s="11">
        <f ca="1">IF(הפחתה7[[#This Row],[יתרת
סגירה]]&gt;0,LastRow3-ROW(),0)</f>
        <v>53</v>
      </c>
      <c r="AC250" s="17">
        <f>ROWS($AC$4:AC250)</f>
        <v>247</v>
      </c>
      <c r="AD250" s="18" t="str">
        <f ca="1">IF(ValuesEntered4,IF(הפחתה8[[#This Row],[מס'']]&lt;=תקופת_ההלוואה4,IF(ROW()-ROW(הפחתה8[[#Headers],[תאריך]])=1,LoanStart4,IF(AJ249&gt;0,EDATE(AD249,1),"")),""),"")</f>
        <v/>
      </c>
      <c r="AE250" s="19">
        <f ca="1">IF(ROW()-ROW(הפחתה8[[#Headers],[יתרת פתיחה]])=1,סכום_הלוואה4,IF(הפחתה8[[#This Row],[תאריך]]="",0,INDEX(הפחתה8[], ROW()-4,8)))</f>
        <v>0</v>
      </c>
      <c r="AF250" s="19">
        <f ca="1">IF(ValuesEntered4,IF(ROW()-ROW(הפחתה8[[#Headers],[ריבית]])=1,-IPMT(שיעור_ריבית4/12,1,תקופת_ההלוואה4-ROWS($C$4:AD250)+1,הפחתה8[[#This Row],[יתרת פתיחה]]),IFERROR(-IPMT(שיעור_ריבית4/12,1,הפחתה8[[#This Row],[תשלומים
שנותרו]],AE251),0)),0)</f>
        <v>0</v>
      </c>
      <c r="AG250" s="19" t="str">
        <f ca="1">IFERROR(IF(AND(ValuesEntered4,הפחתה8[[#This Row],[תאריך]]&lt;&gt;""),-PPMT(שיעור_ריבית4/12,1,תקופת_ההלוואה4-ROWS($C$4:AD250)+1,הפחתה8[[#This Row],[יתרת פתיחה]]),""),0)</f>
        <v/>
      </c>
      <c r="AH250" s="19">
        <f ca="1">(הפחתה8[[#This Row],[יתרת פתיחה]])*(מדד4/12)</f>
        <v>0</v>
      </c>
      <c r="AI250" s="19">
        <f ca="1">IF(הפחתה8[[#This Row],[תאריך]]="",0,הפחתה8[[#This Row],[ריבית]]+הפחתה8[[#This Row],[קרן]]+הפחתה8[[#This Row],[מדד]])</f>
        <v>0</v>
      </c>
      <c r="AJ250" s="19">
        <f ca="1">IF(הפחתה8[[#This Row],[תאריך]]="",0,הפחתה8[[#This Row],[יתרת פתיחה]]-הפחתה8[[#This Row],[קרן]])</f>
        <v>0</v>
      </c>
      <c r="AK250" s="20">
        <f ca="1">IF(הפחתה8[[#This Row],[יתרת
סגירה]]&gt;0,LastRow4-ROW(),0)</f>
        <v>0</v>
      </c>
    </row>
    <row r="251" spans="1:37" ht="15" customHeight="1" x14ac:dyDescent="0.25">
      <c r="A251" s="8"/>
      <c r="B251" s="11">
        <f>ROWS($B$4:B251)</f>
        <v>248</v>
      </c>
      <c r="C251" s="12">
        <f>IF(ValuesEntered,IF(הפחתה[[#This Row],[מס'']]&lt;=תקופת_ההלוואה,IF(ROW()-ROW(הפחתה[[#Headers],[תאריך]])=1,LoanStart,IF(I250&gt;0,EDATE(C250,1),"")),""),"")</f>
        <v>52902</v>
      </c>
      <c r="D251" s="13">
        <f>IF(ROW()-ROW(הפחתה[[#Headers],[יתרת פתיחה]])=1,סכום_הלוואה,IF(הפחתה[[#This Row],[תאריך]]="",0,INDEX(הפחתה[], ROW()-4,8)))</f>
        <v>295900.71810335334</v>
      </c>
      <c r="E251" s="13">
        <f>IF(ValuesEntered,IF(ROW()-ROW(הפחתה[[#Headers],[ריבית]])=1,-IPMT(שיעור_ריבית/12,1,תקופת_ההלוואה-ROWS($C$4:C251)+1,הפחתה[[#This Row],[יתרת פתיחה]]),IFERROR(-IPMT(שיעור_ריבית/12,1,הפחתה[[#This Row],[תשלומים
שנותרו]],D252),0)),0)</f>
        <v>1297.9513838703892</v>
      </c>
      <c r="F251" s="13">
        <f>IFERROR(IF(AND(ValuesEntered,הפחתה[[#This Row],[תאריך]]&lt;&gt;""),-PPMT(שיעור_ריבית/12,1,תקופת_ההלוואה-ROWS($C$4:C251)+1,הפחתה[[#This Row],[יתרת פתיחה]]),""),0)</f>
        <v>2024.933076095409</v>
      </c>
      <c r="G251" s="13">
        <f>(הפחתה[[#This Row],[יתרת פתיחה]])*(מדד/12)</f>
        <v>0</v>
      </c>
      <c r="H251" s="13">
        <f>IF(הפחתה[[#This Row],[תאריך]]="",0,הפחתה[[#This Row],[ריבית]]+הפחתה[[#This Row],[קרן]]+הפחתה[[#This Row],[מדד]])</f>
        <v>3322.8844599657982</v>
      </c>
      <c r="I251" s="13">
        <f>IF(הפחתה[[#This Row],[תאריך]]="",0,הפחתה[[#This Row],[יתרת פתיחה]]-הפחתה[[#This Row],[קרן]]+הפחתה[[#This Row],[מדד]])</f>
        <v>293875.78502725792</v>
      </c>
      <c r="J251" s="11">
        <f>IF(הפחתה[[#This Row],[יתרת
סגירה]]&gt;0,LastRow-ROW(),0)</f>
        <v>112</v>
      </c>
      <c r="K251" s="11">
        <f>ROWS($K$4:K251)</f>
        <v>248</v>
      </c>
      <c r="L251" s="12">
        <f>IF(ValuesEntered2,IF(הפחתה5[[#This Row],[מס'']]&lt;=תקופת_ההלוואה2,IF(ROW()-ROW(הפחתה5[[#Headers],[תאריך]])=1,LoanStart2,IF(R250&gt;0,EDATE(L250,1),"")),""),"")</f>
        <v>52902</v>
      </c>
      <c r="M251" s="13">
        <f>IF(ROW()-ROW(הפחתה5[[#Headers],[יתרת פתיחה]])=1,סכום_הלוואה2,IF(הפחתה5[[#This Row],[תאריך]]="",0,INDEX(הפחתה5[], ROW()-4,8)))</f>
        <v>81303.123619430626</v>
      </c>
      <c r="N251" s="13">
        <f>IF(ValuesEntered2,IF(ROW()-ROW(הפחתה5[[#Headers],[ריבית]])=1,-IPMT(שיעור_ריבית2/12,1,תקופת_ההלוואה2-ROWS($L$4:L251)+1,הפחתה5[[#This Row],[יתרת פתיחה]]),IFERROR(-IPMT(שיעור_ריבית2/12,1,הפחתה5[[#This Row],[תשלומים
שנותרו]],M252),0)),0)</f>
        <v>313.01931472048977</v>
      </c>
      <c r="O251" s="13">
        <f>IFERROR(IF(AND(ValuesEntered2,הפחתה5[[#This Row],[תאריך]]&lt;&gt;""),-PPMT(שיעור_ריבית2/12,1,תקופת_ההלוואה2-ROWS($L$4:L251)+1,הפחתה5[[#This Row],[יתרת פתיחה]]),""),0)</f>
        <v>1383.2985844119557</v>
      </c>
      <c r="P251" s="13">
        <f>(הפחתה5[[#This Row],[יתרת פתיחה]])*(מדד2/12)</f>
        <v>0</v>
      </c>
      <c r="Q251" s="13">
        <f>IF(הפחתה5[[#This Row],[תאריך]]="",0,הפחתה5[[#This Row],[ריבית]]+הפחתה5[[#This Row],[קרן]]+הפחתה5[[#This Row],[מדד]])</f>
        <v>1696.3178991324455</v>
      </c>
      <c r="R251" s="13">
        <f>IF(הפחתה5[[#This Row],[תאריך]]="",0,הפחתה5[[#This Row],[יתרת פתיחה]]-הפחתה5[[#This Row],[קרן]]+הפחתה5[[#This Row],[מדד]])</f>
        <v>79919.825035018672</v>
      </c>
      <c r="S251" s="11">
        <f>IF(הפחתה5[[#This Row],[יתרת
סגירה]]&gt;0,LastRow2-ROW(),0)</f>
        <v>52</v>
      </c>
      <c r="T251" s="11">
        <f>ROWS($T$4:T251)</f>
        <v>248</v>
      </c>
      <c r="U251" s="12">
        <f ca="1">IF(ValuesEntered3,IF(הפחתה7[[#This Row],[מס'']]&lt;=תקופת_ההלוואה3,IF(ROW()-ROW(הפחתה7[[#Headers],[תאריך]])=1,LoanStart3,IF(AA250&gt;0,EDATE(U250,1),"")),""),"")</f>
        <v>53138</v>
      </c>
      <c r="V251" s="13">
        <f ca="1">IF(ROW()-ROW(הפחתה7[[#Headers],[יתרת פתיחה]])=1,סכום_הלוואה3,IF(הפחתה7[[#This Row],[תאריך]]="",0,INDEX(הפחתה7[], ROW()-4,8)))</f>
        <v>33405.677473747666</v>
      </c>
      <c r="W251" s="13">
        <f ca="1">IF(ValuesEntered3,IF(ROW()-ROW(הפחתה7[[#Headers],[ריבית]])=1,-IPMT(שיעור_ריבית3/12,1,תקופת_ההלוואה3-ROWS($C$4:U251)+1,הפחתה7[[#This Row],[יתרת פתיחה]]),IFERROR(-IPMT(שיעור_ריבית3/12,1,הפחתה7[[#This Row],[תשלומים
שנותרו]],V252),0)),0)</f>
        <v>62.98535881014562</v>
      </c>
      <c r="X251" s="13">
        <f ca="1">IFERROR(IF(AND(ValuesEntered3,הפחתה7[[#This Row],[תאריך]]&lt;&gt;""),-PPMT(שיעור_ריבית3/12,1,תקופת_ההלוואה3-ROWS($C$4:U251)+1,הפחתה7[[#This Row],[יתרת פתיחה]]),""),0)</f>
        <v>599.42726714242281</v>
      </c>
      <c r="Y251" s="13">
        <f ca="1">(הפחתה7[[#This Row],[יתרת פתיחה]])*(מדד3/12)</f>
        <v>55.676129122912783</v>
      </c>
      <c r="Z251" s="13">
        <f ca="1">IF(הפחתה7[[#This Row],[תאריך]]="",0,הפחתה7[[#This Row],[ריבית]]+הפחתה7[[#This Row],[קרן]]+הפחתה7[[#This Row],[מדד]])</f>
        <v>718.08875507548123</v>
      </c>
      <c r="AA251" s="13">
        <f ca="1">IF(הפחתה7[[#This Row],[תאריך]]="",0,הפחתה7[[#This Row],[יתרת פתיחה]]-הפחתה7[[#This Row],[קרן]]+הפחתה7[[#This Row],[מדד]])</f>
        <v>32861.926335728152</v>
      </c>
      <c r="AB251" s="11">
        <f ca="1">IF(הפחתה7[[#This Row],[יתרת
סגירה]]&gt;0,LastRow3-ROW(),0)</f>
        <v>52</v>
      </c>
      <c r="AC251" s="17">
        <f>ROWS($AC$4:AC251)</f>
        <v>248</v>
      </c>
      <c r="AD251" s="18" t="str">
        <f ca="1">IF(ValuesEntered4,IF(הפחתה8[[#This Row],[מס'']]&lt;=תקופת_ההלוואה4,IF(ROW()-ROW(הפחתה8[[#Headers],[תאריך]])=1,LoanStart4,IF(AJ250&gt;0,EDATE(AD250,1),"")),""),"")</f>
        <v/>
      </c>
      <c r="AE251" s="19">
        <f ca="1">IF(ROW()-ROW(הפחתה8[[#Headers],[יתרת פתיחה]])=1,סכום_הלוואה4,IF(הפחתה8[[#This Row],[תאריך]]="",0,INDEX(הפחתה8[], ROW()-4,8)))</f>
        <v>0</v>
      </c>
      <c r="AF251" s="19">
        <f ca="1">IF(ValuesEntered4,IF(ROW()-ROW(הפחתה8[[#Headers],[ריבית]])=1,-IPMT(שיעור_ריבית4/12,1,תקופת_ההלוואה4-ROWS($C$4:AD251)+1,הפחתה8[[#This Row],[יתרת פתיחה]]),IFERROR(-IPMT(שיעור_ריבית4/12,1,הפחתה8[[#This Row],[תשלומים
שנותרו]],AE252),0)),0)</f>
        <v>0</v>
      </c>
      <c r="AG251" s="19" t="str">
        <f ca="1">IFERROR(IF(AND(ValuesEntered4,הפחתה8[[#This Row],[תאריך]]&lt;&gt;""),-PPMT(שיעור_ריבית4/12,1,תקופת_ההלוואה4-ROWS($C$4:AD251)+1,הפחתה8[[#This Row],[יתרת פתיחה]]),""),0)</f>
        <v/>
      </c>
      <c r="AH251" s="19">
        <f ca="1">(הפחתה8[[#This Row],[יתרת פתיחה]])*(מדד4/12)</f>
        <v>0</v>
      </c>
      <c r="AI251" s="19">
        <f ca="1">IF(הפחתה8[[#This Row],[תאריך]]="",0,הפחתה8[[#This Row],[ריבית]]+הפחתה8[[#This Row],[קרן]]+הפחתה8[[#This Row],[מדד]])</f>
        <v>0</v>
      </c>
      <c r="AJ251" s="19">
        <f ca="1">IF(הפחתה8[[#This Row],[תאריך]]="",0,הפחתה8[[#This Row],[יתרת פתיחה]]-הפחתה8[[#This Row],[קרן]])</f>
        <v>0</v>
      </c>
      <c r="AK251" s="20">
        <f ca="1">IF(הפחתה8[[#This Row],[יתרת
סגירה]]&gt;0,LastRow4-ROW(),0)</f>
        <v>0</v>
      </c>
    </row>
    <row r="252" spans="1:37" ht="15" customHeight="1" x14ac:dyDescent="0.25">
      <c r="A252" s="8"/>
      <c r="B252" s="11">
        <f>ROWS($B$4:B252)</f>
        <v>249</v>
      </c>
      <c r="C252" s="12">
        <f>IF(ValuesEntered,IF(הפחתה[[#This Row],[מס'']]&lt;=תקופת_ההלוואה,IF(ROW()-ROW(הפחתה[[#Headers],[תאריך]])=1,LoanStart,IF(I251&gt;0,EDATE(C251,1),"")),""),"")</f>
        <v>52932</v>
      </c>
      <c r="D252" s="13">
        <f>IF(ROW()-ROW(הפחתה[[#Headers],[יתרת פתיחה]])=1,סכום_הלוואה,IF(הפחתה[[#This Row],[תאריך]]="",0,INDEX(הפחתה[], ROW()-4,8)))</f>
        <v>293875.78502725792</v>
      </c>
      <c r="E252" s="13">
        <f>IF(ValuesEntered,IF(ROW()-ROW(הפחתה[[#Headers],[ריבית]])=1,-IPMT(שיעור_ריבית/12,1,תקופת_ההלוואה-ROWS($C$4:C252)+1,הפחתה[[#This Row],[יתרת פתיחה]]),IFERROR(-IPMT(שיעור_ריבית/12,1,הפחתה[[#This Row],[תשלומים
שנותרו]],D253),0)),0)</f>
        <v>1288.9684291939486</v>
      </c>
      <c r="F252" s="13">
        <f>IFERROR(IF(AND(ValuesEntered,הפחתה[[#This Row],[תאריך]]&lt;&gt;""),-PPMT(שיעור_ריבית/12,1,תקופת_ההלוואה-ROWS($C$4:C252)+1,הפחתה[[#This Row],[יתרת פתיחה]]),""),0)</f>
        <v>2033.8765305148299</v>
      </c>
      <c r="G252" s="13">
        <f>(הפחתה[[#This Row],[יתרת פתיחה]])*(מדד/12)</f>
        <v>0</v>
      </c>
      <c r="H252" s="13">
        <f>IF(הפחתה[[#This Row],[תאריך]]="",0,הפחתה[[#This Row],[ריבית]]+הפחתה[[#This Row],[קרן]]+הפחתה[[#This Row],[מדד]])</f>
        <v>3322.8449597087783</v>
      </c>
      <c r="I252" s="13">
        <f>IF(הפחתה[[#This Row],[תאריך]]="",0,הפחתה[[#This Row],[יתרת פתיחה]]-הפחתה[[#This Row],[קרן]]+הפחתה[[#This Row],[מדד]])</f>
        <v>291841.90849674307</v>
      </c>
      <c r="J252" s="11">
        <f>IF(הפחתה[[#This Row],[יתרת
סגירה]]&gt;0,LastRow-ROW(),0)</f>
        <v>111</v>
      </c>
      <c r="K252" s="11">
        <f>ROWS($K$4:K252)</f>
        <v>249</v>
      </c>
      <c r="L252" s="12">
        <f>IF(ValuesEntered2,IF(הפחתה5[[#This Row],[מס'']]&lt;=תקופת_ההלוואה2,IF(ROW()-ROW(הפחתה5[[#Headers],[תאריך]])=1,LoanStart2,IF(R251&gt;0,EDATE(L251,1),"")),""),"")</f>
        <v>52932</v>
      </c>
      <c r="M252" s="13">
        <f>IF(ROW()-ROW(הפחתה5[[#Headers],[יתרת פתיחה]])=1,סכום_הלוואה2,IF(הפחתה5[[#This Row],[תאריך]]="",0,INDEX(הפחתה5[], ROW()-4,8)))</f>
        <v>79919.825035018672</v>
      </c>
      <c r="N252" s="13">
        <f>IF(ValuesEntered2,IF(ROW()-ROW(הפחתה5[[#Headers],[ריבית]])=1,-IPMT(שיעור_ריבית2/12,1,תקופת_ההלוואה2-ROWS($L$4:L252)+1,הפחתה5[[#This Row],[יתרת פתיחה]]),IFERROR(-IPMT(שיעור_ריבית2/12,1,הפחתה5[[#This Row],[תשלומים
שנותרו]],M253),0)),0)</f>
        <v>307.5801750803418</v>
      </c>
      <c r="O252" s="13">
        <f>IFERROR(IF(AND(ValuesEntered2,הפחתה5[[#This Row],[תאריך]]&lt;&gt;""),-PPMT(שיעור_ריבית2/12,1,תקופת_ההלוואה2-ROWS($L$4:L252)+1,הפחתה5[[#This Row],[יתרת פתיחה]]),""),0)</f>
        <v>1388.7165038675694</v>
      </c>
      <c r="P252" s="13">
        <f>(הפחתה5[[#This Row],[יתרת פתיחה]])*(מדד2/12)</f>
        <v>0</v>
      </c>
      <c r="Q252" s="13">
        <f>IF(הפחתה5[[#This Row],[תאריך]]="",0,הפחתה5[[#This Row],[ריבית]]+הפחתה5[[#This Row],[קרן]]+הפחתה5[[#This Row],[מדד]])</f>
        <v>1696.2966789479112</v>
      </c>
      <c r="R252" s="13">
        <f>IF(הפחתה5[[#This Row],[תאריך]]="",0,הפחתה5[[#This Row],[יתרת פתיחה]]-הפחתה5[[#This Row],[קרן]]+הפחתה5[[#This Row],[מדד]])</f>
        <v>78531.108531151098</v>
      </c>
      <c r="S252" s="11">
        <f>IF(הפחתה5[[#This Row],[יתרת
סגירה]]&gt;0,LastRow2-ROW(),0)</f>
        <v>51</v>
      </c>
      <c r="T252" s="11">
        <f>ROWS($T$4:T252)</f>
        <v>249</v>
      </c>
      <c r="U252" s="12">
        <f ca="1">IF(ValuesEntered3,IF(הפחתה7[[#This Row],[מס'']]&lt;=תקופת_ההלוואה3,IF(ROW()-ROW(הפחתה7[[#Headers],[תאריך]])=1,LoanStart3,IF(AA251&gt;0,EDATE(U251,1),"")),""),"")</f>
        <v>53168</v>
      </c>
      <c r="V252" s="13">
        <f ca="1">IF(ROW()-ROW(הפחתה7[[#Headers],[יתרת פתיחה]])=1,סכום_הלוואה3,IF(הפחתה7[[#This Row],[תאריך]]="",0,INDEX(הפחתה7[], ROW()-4,8)))</f>
        <v>32861.926335728152</v>
      </c>
      <c r="W252" s="13">
        <f ca="1">IF(ValuesEntered3,IF(ROW()-ROW(הפחתה7[[#Headers],[ריבית]])=1,-IPMT(שיעור_ריבית3/12,1,תקופת_ההלוואה3-ROWS($C$4:U252)+1,הפחתה7[[#This Row],[יתרת פתיחה]]),IFERROR(-IPMT(שיעור_ריבית3/12,1,הפחתה7[[#This Row],[תשלומים
שנותרו]],V253),0)),0)</f>
        <v>61.937276521798374</v>
      </c>
      <c r="X252" s="13">
        <f ca="1">IFERROR(IF(AND(ValuesEntered3,הפחתה7[[#This Row],[תאריך]]&lt;&gt;""),-PPMT(שיעור_ריבית3/12,1,תקופת_ההלוואה3-ROWS($C$4:U252)+1,הפחתה7[[#This Row],[יתרת פתיחה]]),""),0)</f>
        <v>601.59541897260192</v>
      </c>
      <c r="Y252" s="13">
        <f ca="1">(הפחתה7[[#This Row],[יתרת פתיחה]])*(מדד3/12)</f>
        <v>54.769877226213588</v>
      </c>
      <c r="Z252" s="13">
        <f ca="1">IF(הפחתה7[[#This Row],[תאריך]]="",0,הפחתה7[[#This Row],[ריבית]]+הפחתה7[[#This Row],[קרן]]+הפחתה7[[#This Row],[מדד]])</f>
        <v>718.30257272061385</v>
      </c>
      <c r="AA252" s="13">
        <f ca="1">IF(הפחתה7[[#This Row],[תאריך]]="",0,הפחתה7[[#This Row],[יתרת פתיחה]]-הפחתה7[[#This Row],[קרן]]+הפחתה7[[#This Row],[מדד]])</f>
        <v>32315.100793981761</v>
      </c>
      <c r="AB252" s="11">
        <f ca="1">IF(הפחתה7[[#This Row],[יתרת
סגירה]]&gt;0,LastRow3-ROW(),0)</f>
        <v>51</v>
      </c>
      <c r="AC252" s="17">
        <f>ROWS($AC$4:AC252)</f>
        <v>249</v>
      </c>
      <c r="AD252" s="18" t="str">
        <f ca="1">IF(ValuesEntered4,IF(הפחתה8[[#This Row],[מס'']]&lt;=תקופת_ההלוואה4,IF(ROW()-ROW(הפחתה8[[#Headers],[תאריך]])=1,LoanStart4,IF(AJ251&gt;0,EDATE(AD251,1),"")),""),"")</f>
        <v/>
      </c>
      <c r="AE252" s="19">
        <f ca="1">IF(ROW()-ROW(הפחתה8[[#Headers],[יתרת פתיחה]])=1,סכום_הלוואה4,IF(הפחתה8[[#This Row],[תאריך]]="",0,INDEX(הפחתה8[], ROW()-4,8)))</f>
        <v>0</v>
      </c>
      <c r="AF252" s="19">
        <f ca="1">IF(ValuesEntered4,IF(ROW()-ROW(הפחתה8[[#Headers],[ריבית]])=1,-IPMT(שיעור_ריבית4/12,1,תקופת_ההלוואה4-ROWS($C$4:AD252)+1,הפחתה8[[#This Row],[יתרת פתיחה]]),IFERROR(-IPMT(שיעור_ריבית4/12,1,הפחתה8[[#This Row],[תשלומים
שנותרו]],AE253),0)),0)</f>
        <v>0</v>
      </c>
      <c r="AG252" s="19" t="str">
        <f ca="1">IFERROR(IF(AND(ValuesEntered4,הפחתה8[[#This Row],[תאריך]]&lt;&gt;""),-PPMT(שיעור_ריבית4/12,1,תקופת_ההלוואה4-ROWS($C$4:AD252)+1,הפחתה8[[#This Row],[יתרת פתיחה]]),""),0)</f>
        <v/>
      </c>
      <c r="AH252" s="19">
        <f ca="1">(הפחתה8[[#This Row],[יתרת פתיחה]])*(מדד4/12)</f>
        <v>0</v>
      </c>
      <c r="AI252" s="19">
        <f ca="1">IF(הפחתה8[[#This Row],[תאריך]]="",0,הפחתה8[[#This Row],[ריבית]]+הפחתה8[[#This Row],[קרן]]+הפחתה8[[#This Row],[מדד]])</f>
        <v>0</v>
      </c>
      <c r="AJ252" s="19">
        <f ca="1">IF(הפחתה8[[#This Row],[תאריך]]="",0,הפחתה8[[#This Row],[יתרת פתיחה]]-הפחתה8[[#This Row],[קרן]])</f>
        <v>0</v>
      </c>
      <c r="AK252" s="20">
        <f ca="1">IF(הפחתה8[[#This Row],[יתרת
סגירה]]&gt;0,LastRow4-ROW(),0)</f>
        <v>0</v>
      </c>
    </row>
    <row r="253" spans="1:37" ht="15" customHeight="1" x14ac:dyDescent="0.25">
      <c r="A253" s="8"/>
      <c r="B253" s="11">
        <f>ROWS($B$4:B253)</f>
        <v>250</v>
      </c>
      <c r="C253" s="12">
        <f>IF(ValuesEntered,IF(הפחתה[[#This Row],[מס'']]&lt;=תקופת_ההלוואה,IF(ROW()-ROW(הפחתה[[#Headers],[תאריך]])=1,LoanStart,IF(I252&gt;0,EDATE(C252,1),"")),""),"")</f>
        <v>52963</v>
      </c>
      <c r="D253" s="13">
        <f>IF(ROW()-ROW(הפחתה[[#Headers],[יתרת פתיחה]])=1,סכום_הלוואה,IF(הפחתה[[#This Row],[תאריך]]="",0,INDEX(הפחתה[], ROW()-4,8)))</f>
        <v>291841.90849674307</v>
      </c>
      <c r="E253" s="13">
        <f>IF(ValuesEntered,IF(ROW()-ROW(הפחתה[[#Headers],[ריבית]])=1,-IPMT(שיעור_ריבית/12,1,תקופת_ההלוואה-ROWS($C$4:C253)+1,הפחתה[[#This Row],[יתרת פתיחה]]),IFERROR(-IPMT(שיעור_ריבית/12,1,הפחתה[[#This Row],[תשלומים
שנותרו]],D254),0)),0)</f>
        <v>1279.9457998010205</v>
      </c>
      <c r="F253" s="13">
        <f>IFERROR(IF(AND(ValuesEntered,הפחתה[[#This Row],[תאריך]]&lt;&gt;""),-PPMT(שיעור_ריבית/12,1,תקופת_ההלוואה-ROWS($C$4:C253)+1,הפחתה[[#This Row],[יתרת פתיחה]]),""),0)</f>
        <v>2042.8594851912706</v>
      </c>
      <c r="G253" s="13">
        <f>(הפחתה[[#This Row],[יתרת פתיחה]])*(מדד/12)</f>
        <v>0</v>
      </c>
      <c r="H253" s="13">
        <f>IF(הפחתה[[#This Row],[תאריך]]="",0,הפחתה[[#This Row],[ריבית]]+הפחתה[[#This Row],[קרן]]+הפחתה[[#This Row],[מדד]])</f>
        <v>3322.805284992291</v>
      </c>
      <c r="I253" s="13">
        <f>IF(הפחתה[[#This Row],[תאריך]]="",0,הפחתה[[#This Row],[יתרת פתיחה]]-הפחתה[[#This Row],[קרן]]+הפחתה[[#This Row],[מדד]])</f>
        <v>289799.04901155178</v>
      </c>
      <c r="J253" s="11">
        <f>IF(הפחתה[[#This Row],[יתרת
סגירה]]&gt;0,LastRow-ROW(),0)</f>
        <v>110</v>
      </c>
      <c r="K253" s="11">
        <f>ROWS($K$4:K253)</f>
        <v>250</v>
      </c>
      <c r="L253" s="12">
        <f>IF(ValuesEntered2,IF(הפחתה5[[#This Row],[מס'']]&lt;=תקופת_ההלוואה2,IF(ROW()-ROW(הפחתה5[[#Headers],[תאריך]])=1,LoanStart2,IF(R252&gt;0,EDATE(L252,1),"")),""),"")</f>
        <v>52963</v>
      </c>
      <c r="M253" s="13">
        <f>IF(ROW()-ROW(הפחתה5[[#Headers],[יתרת פתיחה]])=1,סכום_הלוואה2,IF(הפחתה5[[#This Row],[תאריך]]="",0,INDEX(הפחתה5[], ROW()-4,8)))</f>
        <v>78531.108531151098</v>
      </c>
      <c r="N253" s="13">
        <f>IF(ValuesEntered2,IF(ROW()-ROW(הפחתה5[[#Headers],[ריבית]])=1,-IPMT(שיעור_ריבית2/12,1,תקופת_ההלוואה2-ROWS($L$4:L253)+1,הפחתה5[[#This Row],[יתרת פתיחה]]),IFERROR(-IPMT(שיעור_ריבית2/12,1,הפחתה5[[#This Row],[תשלומים
שנותרו]],M254),0)),0)</f>
        <v>302.11973214326986</v>
      </c>
      <c r="O253" s="13">
        <f>IFERROR(IF(AND(ValuesEntered2,הפחתה5[[#This Row],[תאריך]]&lt;&gt;""),-PPMT(שיעור_ריבית2/12,1,תקופת_ההלוואה2-ROWS($L$4:L253)+1,הפחתה5[[#This Row],[יתרת פתיחה]]),""),0)</f>
        <v>1394.1556435077168</v>
      </c>
      <c r="P253" s="13">
        <f>(הפחתה5[[#This Row],[יתרת פתיחה]])*(מדד2/12)</f>
        <v>0</v>
      </c>
      <c r="Q253" s="13">
        <f>IF(הפחתה5[[#This Row],[תאריך]]="",0,הפחתה5[[#This Row],[ריבית]]+הפחתה5[[#This Row],[קרן]]+הפחתה5[[#This Row],[מדד]])</f>
        <v>1696.2753756509867</v>
      </c>
      <c r="R253" s="13">
        <f>IF(הפחתה5[[#This Row],[תאריך]]="",0,הפחתה5[[#This Row],[יתרת פתיחה]]-הפחתה5[[#This Row],[קרן]]+הפחתה5[[#This Row],[מדד]])</f>
        <v>77136.952887643376</v>
      </c>
      <c r="S253" s="11">
        <f>IF(הפחתה5[[#This Row],[יתרת
סגירה]]&gt;0,LastRow2-ROW(),0)</f>
        <v>50</v>
      </c>
      <c r="T253" s="11">
        <f>ROWS($T$4:T253)</f>
        <v>250</v>
      </c>
      <c r="U253" s="12">
        <f ca="1">IF(ValuesEntered3,IF(הפחתה7[[#This Row],[מס'']]&lt;=תקופת_ההלוואה3,IF(ROW()-ROW(הפחתה7[[#Headers],[תאריך]])=1,LoanStart3,IF(AA252&gt;0,EDATE(U252,1),"")),""),"")</f>
        <v>53199</v>
      </c>
      <c r="V253" s="13">
        <f ca="1">IF(ROW()-ROW(הפחתה7[[#Headers],[יתרת פתיחה]])=1,סכום_הלוואה3,IF(הפחתה7[[#This Row],[תאריך]]="",0,INDEX(הפחתה7[], ROW()-4,8)))</f>
        <v>32315.100793981761</v>
      </c>
      <c r="W253" s="13">
        <f ca="1">IF(ValuesEntered3,IF(ROW()-ROW(הפחתה7[[#Headers],[ריבית]])=1,-IPMT(שיעור_ריבית3/12,1,תקופת_ההלוואה3-ROWS($C$4:U253)+1,הפחתה7[[#This Row],[יתרת פתיחה]]),IFERROR(-IPMT(שיעור_ריבית3/12,1,הפחתה7[[#This Row],[תשלומים
שנותרו]],V254),0)),0)</f>
        <v>60.883276049487051</v>
      </c>
      <c r="X253" s="13">
        <f ca="1">IFERROR(IF(AND(ValuesEntered3,הפחתה7[[#This Row],[תאריך]]&lt;&gt;""),-PPMT(שיעור_ריבית3/12,1,תקופת_ההלוואה3-ROWS($C$4:U253)+1,הפחתה7[[#This Row],[יתרת פתיחה]]),""),0)</f>
        <v>603.77179122486746</v>
      </c>
      <c r="Y253" s="13">
        <f ca="1">(הפחתה7[[#This Row],[יתרת פתיחה]])*(מדד3/12)</f>
        <v>53.858501323302939</v>
      </c>
      <c r="Z253" s="13">
        <f ca="1">IF(הפחתה7[[#This Row],[תאריך]]="",0,הפחתה7[[#This Row],[ריבית]]+הפחתה7[[#This Row],[קרן]]+הפחתה7[[#This Row],[מדד]])</f>
        <v>718.51356859765735</v>
      </c>
      <c r="AA253" s="13">
        <f ca="1">IF(הפחתה7[[#This Row],[תאריך]]="",0,הפחתה7[[#This Row],[יתרת פתיחה]]-הפחתה7[[#This Row],[קרן]]+הפחתה7[[#This Row],[מדד]])</f>
        <v>31765.187504080197</v>
      </c>
      <c r="AB253" s="11">
        <f ca="1">IF(הפחתה7[[#This Row],[יתרת
סגירה]]&gt;0,LastRow3-ROW(),0)</f>
        <v>50</v>
      </c>
      <c r="AC253" s="17">
        <f>ROWS($AC$4:AC253)</f>
        <v>250</v>
      </c>
      <c r="AD253" s="18" t="str">
        <f ca="1">IF(ValuesEntered4,IF(הפחתה8[[#This Row],[מס'']]&lt;=תקופת_ההלוואה4,IF(ROW()-ROW(הפחתה8[[#Headers],[תאריך]])=1,LoanStart4,IF(AJ252&gt;0,EDATE(AD252,1),"")),""),"")</f>
        <v/>
      </c>
      <c r="AE253" s="19">
        <f ca="1">IF(ROW()-ROW(הפחתה8[[#Headers],[יתרת פתיחה]])=1,סכום_הלוואה4,IF(הפחתה8[[#This Row],[תאריך]]="",0,INDEX(הפחתה8[], ROW()-4,8)))</f>
        <v>0</v>
      </c>
      <c r="AF253" s="19">
        <f ca="1">IF(ValuesEntered4,IF(ROW()-ROW(הפחתה8[[#Headers],[ריבית]])=1,-IPMT(שיעור_ריבית4/12,1,תקופת_ההלוואה4-ROWS($C$4:AD253)+1,הפחתה8[[#This Row],[יתרת פתיחה]]),IFERROR(-IPMT(שיעור_ריבית4/12,1,הפחתה8[[#This Row],[תשלומים
שנותרו]],AE254),0)),0)</f>
        <v>0</v>
      </c>
      <c r="AG253" s="19" t="str">
        <f ca="1">IFERROR(IF(AND(ValuesEntered4,הפחתה8[[#This Row],[תאריך]]&lt;&gt;""),-PPMT(שיעור_ריבית4/12,1,תקופת_ההלוואה4-ROWS($C$4:AD253)+1,הפחתה8[[#This Row],[יתרת פתיחה]]),""),0)</f>
        <v/>
      </c>
      <c r="AH253" s="19">
        <f ca="1">(הפחתה8[[#This Row],[יתרת פתיחה]])*(מדד4/12)</f>
        <v>0</v>
      </c>
      <c r="AI253" s="19">
        <f ca="1">IF(הפחתה8[[#This Row],[תאריך]]="",0,הפחתה8[[#This Row],[ריבית]]+הפחתה8[[#This Row],[קרן]]+הפחתה8[[#This Row],[מדד]])</f>
        <v>0</v>
      </c>
      <c r="AJ253" s="19">
        <f ca="1">IF(הפחתה8[[#This Row],[תאריך]]="",0,הפחתה8[[#This Row],[יתרת פתיחה]]-הפחתה8[[#This Row],[קרן]])</f>
        <v>0</v>
      </c>
      <c r="AK253" s="20">
        <f ca="1">IF(הפחתה8[[#This Row],[יתרת
סגירה]]&gt;0,LastRow4-ROW(),0)</f>
        <v>0</v>
      </c>
    </row>
    <row r="254" spans="1:37" ht="15" customHeight="1" x14ac:dyDescent="0.25">
      <c r="A254" s="8"/>
      <c r="B254" s="11">
        <f>ROWS($B$4:B254)</f>
        <v>251</v>
      </c>
      <c r="C254" s="12">
        <f>IF(ValuesEntered,IF(הפחתה[[#This Row],[מס'']]&lt;=תקופת_ההלוואה,IF(ROW()-ROW(הפחתה[[#Headers],[תאריך]])=1,LoanStart,IF(I253&gt;0,EDATE(C253,1),"")),""),"")</f>
        <v>52994</v>
      </c>
      <c r="D254" s="13">
        <f>IF(ROW()-ROW(הפחתה[[#Headers],[יתרת פתיחה]])=1,סכום_הלוואה,IF(הפחתה[[#This Row],[תאריך]]="",0,INDEX(הפחתה[], ROW()-4,8)))</f>
        <v>289799.04901155178</v>
      </c>
      <c r="E254" s="13">
        <f>IF(ValuesEntered,IF(ROW()-ROW(הפחתה[[#Headers],[ריבית]])=1,-IPMT(שיעור_ריבית/12,1,תקופת_ההלוואה-ROWS($C$4:C254)+1,הפחתה[[#This Row],[יתרת פתיחה]]),IFERROR(-IPMT(שיעור_ריבית/12,1,הפחתה[[#This Row],[תשלומים
שנותרו]],D255),0)),0)</f>
        <v>1270.8833204616069</v>
      </c>
      <c r="F254" s="13">
        <f>IFERROR(IF(AND(ValuesEntered,הפחתה[[#This Row],[תאריך]]&lt;&gt;""),-PPMT(שיעור_ריבית/12,1,תקופת_ההלוואה-ROWS($C$4:C254)+1,הפחתה[[#This Row],[יתרת פתיחה]]),""),0)</f>
        <v>2051.8821145841985</v>
      </c>
      <c r="G254" s="13">
        <f>(הפחתה[[#This Row],[יתרת פתיחה]])*(מדד/12)</f>
        <v>0</v>
      </c>
      <c r="H254" s="13">
        <f>IF(הפחתה[[#This Row],[תאריך]]="",0,הפחתה[[#This Row],[ריבית]]+הפחתה[[#This Row],[קרן]]+הפחתה[[#This Row],[מדד]])</f>
        <v>3322.7654350458051</v>
      </c>
      <c r="I254" s="13">
        <f>IF(הפחתה[[#This Row],[תאריך]]="",0,הפחתה[[#This Row],[יתרת פתיחה]]-הפחתה[[#This Row],[קרן]]+הפחתה[[#This Row],[מדד]])</f>
        <v>287747.16689696757</v>
      </c>
      <c r="J254" s="11">
        <f>IF(הפחתה[[#This Row],[יתרת
סגירה]]&gt;0,LastRow-ROW(),0)</f>
        <v>109</v>
      </c>
      <c r="K254" s="11">
        <f>ROWS($K$4:K254)</f>
        <v>251</v>
      </c>
      <c r="L254" s="12">
        <f>IF(ValuesEntered2,IF(הפחתה5[[#This Row],[מס'']]&lt;=תקופת_ההלוואה2,IF(ROW()-ROW(הפחתה5[[#Headers],[תאריך]])=1,LoanStart2,IF(R253&gt;0,EDATE(L253,1),"")),""),"")</f>
        <v>52994</v>
      </c>
      <c r="M254" s="13">
        <f>IF(ROW()-ROW(הפחתה5[[#Headers],[יתרת פתיחה]])=1,סכום_הלוואה2,IF(הפחתה5[[#This Row],[תאריך]]="",0,INDEX(הפחתה5[], ROW()-4,8)))</f>
        <v>77136.952887643376</v>
      </c>
      <c r="N254" s="13">
        <f>IF(ValuesEntered2,IF(ROW()-ROW(הפחתה5[[#Headers],[ריבית]])=1,-IPMT(שיעור_ריבית2/12,1,תקופת_ההלוואה2-ROWS($L$4:L254)+1,הפחתה5[[#This Row],[יתרת פתיחה]]),IFERROR(-IPMT(שיעור_ריבית2/12,1,הפחתה5[[#This Row],[תשלומים
שנותרו]],M255),0)),0)</f>
        <v>296.63790247136109</v>
      </c>
      <c r="O254" s="13">
        <f>IFERROR(IF(AND(ValuesEntered2,הפחתה5[[#This Row],[תאריך]]&lt;&gt;""),-PPMT(שיעור_ריבית2/12,1,תקופת_ההלוואה2-ROWS($L$4:L254)+1,הפחתה5[[#This Row],[יתרת פתיחה]]),""),0)</f>
        <v>1399.6160864447891</v>
      </c>
      <c r="P254" s="13">
        <f>(הפחתה5[[#This Row],[יתרת פתיחה]])*(מדד2/12)</f>
        <v>0</v>
      </c>
      <c r="Q254" s="13">
        <f>IF(הפחתה5[[#This Row],[תאריך]]="",0,הפחתה5[[#This Row],[ריבית]]+הפחתה5[[#This Row],[קרן]]+הפחתה5[[#This Row],[מדד]])</f>
        <v>1696.2539889161501</v>
      </c>
      <c r="R254" s="13">
        <f>IF(הפחתה5[[#This Row],[תאריך]]="",0,הפחתה5[[#This Row],[יתרת פתיחה]]-הפחתה5[[#This Row],[קרן]]+הפחתה5[[#This Row],[מדד]])</f>
        <v>75737.336801198588</v>
      </c>
      <c r="S254" s="11">
        <f>IF(הפחתה5[[#This Row],[יתרת
סגירה]]&gt;0,LastRow2-ROW(),0)</f>
        <v>49</v>
      </c>
      <c r="T254" s="11">
        <f>ROWS($T$4:T254)</f>
        <v>251</v>
      </c>
      <c r="U254" s="12">
        <f ca="1">IF(ValuesEntered3,IF(הפחתה7[[#This Row],[מס'']]&lt;=תקופת_ההלוואה3,IF(ROW()-ROW(הפחתה7[[#Headers],[תאריך]])=1,LoanStart3,IF(AA253&gt;0,EDATE(U253,1),"")),""),"")</f>
        <v>53230</v>
      </c>
      <c r="V254" s="13">
        <f ca="1">IF(ROW()-ROW(הפחתה7[[#Headers],[יתרת פתיחה]])=1,סכום_הלוואה3,IF(הפחתה7[[#This Row],[תאריך]]="",0,INDEX(הפחתה7[], ROW()-4,8)))</f>
        <v>31765.187504080197</v>
      </c>
      <c r="W254" s="13">
        <f ca="1">IF(ValuesEntered3,IF(ROW()-ROW(הפחתה7[[#Headers],[ריבית]])=1,-IPMT(שיעור_ריבית3/12,1,תקופת_ההלוואה3-ROWS($C$4:U254)+1,הפחתה7[[#This Row],[יתרת פתיחה]]),IFERROR(-IPMT(שיעור_ריבית3/12,1,הפחתה7[[#This Row],[תשלומים
שנותרו]],V255),0)),0)</f>
        <v>59.823331682410874</v>
      </c>
      <c r="X254" s="13">
        <f ca="1">IFERROR(IF(AND(ValuesEntered3,הפחתה7[[#This Row],[תאריך]]&lt;&gt;""),-PPMT(שיעור_ריבית3/12,1,תקופת_ההלוואה3-ROWS($C$4:U254)+1,הפחתה7[[#This Row],[יתרת פתיחה]]),""),0)</f>
        <v>605.95643156102858</v>
      </c>
      <c r="Y254" s="13">
        <f ca="1">(הפחתה7[[#This Row],[יתרת פתיחה]])*(מדד3/12)</f>
        <v>52.941979173466997</v>
      </c>
      <c r="Z254" s="13">
        <f ca="1">IF(הפחתה7[[#This Row],[תאריך]]="",0,הפחתה7[[#This Row],[ריבית]]+הפחתה7[[#This Row],[קרן]]+הפחתה7[[#This Row],[מדד]])</f>
        <v>718.72174241690641</v>
      </c>
      <c r="AA254" s="13">
        <f ca="1">IF(הפחתה7[[#This Row],[תאריך]]="",0,הפחתה7[[#This Row],[יתרת פתיחה]]-הפחתה7[[#This Row],[קרן]]+הפחתה7[[#This Row],[מדד]])</f>
        <v>31212.173051692633</v>
      </c>
      <c r="AB254" s="11">
        <f ca="1">IF(הפחתה7[[#This Row],[יתרת
סגירה]]&gt;0,LastRow3-ROW(),0)</f>
        <v>49</v>
      </c>
      <c r="AC254" s="17">
        <f>ROWS($AC$4:AC254)</f>
        <v>251</v>
      </c>
      <c r="AD254" s="18" t="str">
        <f ca="1">IF(ValuesEntered4,IF(הפחתה8[[#This Row],[מס'']]&lt;=תקופת_ההלוואה4,IF(ROW()-ROW(הפחתה8[[#Headers],[תאריך]])=1,LoanStart4,IF(AJ253&gt;0,EDATE(AD253,1),"")),""),"")</f>
        <v/>
      </c>
      <c r="AE254" s="19">
        <f ca="1">IF(ROW()-ROW(הפחתה8[[#Headers],[יתרת פתיחה]])=1,סכום_הלוואה4,IF(הפחתה8[[#This Row],[תאריך]]="",0,INDEX(הפחתה8[], ROW()-4,8)))</f>
        <v>0</v>
      </c>
      <c r="AF254" s="19">
        <f ca="1">IF(ValuesEntered4,IF(ROW()-ROW(הפחתה8[[#Headers],[ריבית]])=1,-IPMT(שיעור_ריבית4/12,1,תקופת_ההלוואה4-ROWS($C$4:AD254)+1,הפחתה8[[#This Row],[יתרת פתיחה]]),IFERROR(-IPMT(שיעור_ריבית4/12,1,הפחתה8[[#This Row],[תשלומים
שנותרו]],AE255),0)),0)</f>
        <v>0</v>
      </c>
      <c r="AG254" s="19" t="str">
        <f ca="1">IFERROR(IF(AND(ValuesEntered4,הפחתה8[[#This Row],[תאריך]]&lt;&gt;""),-PPMT(שיעור_ריבית4/12,1,תקופת_ההלוואה4-ROWS($C$4:AD254)+1,הפחתה8[[#This Row],[יתרת פתיחה]]),""),0)</f>
        <v/>
      </c>
      <c r="AH254" s="19">
        <f ca="1">(הפחתה8[[#This Row],[יתרת פתיחה]])*(מדד4/12)</f>
        <v>0</v>
      </c>
      <c r="AI254" s="19">
        <f ca="1">IF(הפחתה8[[#This Row],[תאריך]]="",0,הפחתה8[[#This Row],[ריבית]]+הפחתה8[[#This Row],[קרן]]+הפחתה8[[#This Row],[מדד]])</f>
        <v>0</v>
      </c>
      <c r="AJ254" s="19">
        <f ca="1">IF(הפחתה8[[#This Row],[תאריך]]="",0,הפחתה8[[#This Row],[יתרת פתיחה]]-הפחתה8[[#This Row],[קרן]])</f>
        <v>0</v>
      </c>
      <c r="AK254" s="20">
        <f ca="1">IF(הפחתה8[[#This Row],[יתרת
סגירה]]&gt;0,LastRow4-ROW(),0)</f>
        <v>0</v>
      </c>
    </row>
    <row r="255" spans="1:37" ht="15" customHeight="1" x14ac:dyDescent="0.25">
      <c r="A255" s="8"/>
      <c r="B255" s="11">
        <f>ROWS($B$4:B255)</f>
        <v>252</v>
      </c>
      <c r="C255" s="12">
        <f>IF(ValuesEntered,IF(הפחתה[[#This Row],[מס'']]&lt;=תקופת_ההלוואה,IF(ROW()-ROW(הפחתה[[#Headers],[תאריך]])=1,LoanStart,IF(I254&gt;0,EDATE(C254,1),"")),""),"")</f>
        <v>53022</v>
      </c>
      <c r="D255" s="13">
        <f>IF(ROW()-ROW(הפחתה[[#Headers],[יתרת פתיחה]])=1,סכום_הלוואה,IF(הפחתה[[#This Row],[תאריך]]="",0,INDEX(הפחתה[], ROW()-4,8)))</f>
        <v>287747.16689696757</v>
      </c>
      <c r="E255" s="13">
        <f>IF(ValuesEntered,IF(ROW()-ROW(הפחתה[[#Headers],[ריבית]])=1,-IPMT(שיעור_ריבית/12,1,תקופת_ההלוואה-ROWS($C$4:C255)+1,הפחתה[[#This Row],[יתרת פתיחה]]),IFERROR(-IPMT(שיעור_ריבית/12,1,הפחתה[[#This Row],[תשלומים
שנותרו]],D256),0)),0)</f>
        <v>1261.7808151717775</v>
      </c>
      <c r="F255" s="13">
        <f>IFERROR(IF(AND(ValuesEntered,הפחתה[[#This Row],[תאריך]]&lt;&gt;""),-PPMT(שיעור_ריבית/12,1,תקופת_ההלוואה-ROWS($C$4:C255)+1,הפחתה[[#This Row],[יתרת פתיחה]]),""),0)</f>
        <v>2060.944593923612</v>
      </c>
      <c r="G255" s="13">
        <f>(הפחתה[[#This Row],[יתרת פתיחה]])*(מדד/12)</f>
        <v>0</v>
      </c>
      <c r="H255" s="13">
        <f>IF(הפחתה[[#This Row],[תאריך]]="",0,הפחתה[[#This Row],[ריבית]]+הפחתה[[#This Row],[קרן]]+הפחתה[[#This Row],[מדד]])</f>
        <v>3322.7254090953893</v>
      </c>
      <c r="I255" s="13">
        <f>IF(הפחתה[[#This Row],[תאריך]]="",0,הפחתה[[#This Row],[יתרת פתיחה]]-הפחתה[[#This Row],[קרן]]+הפחתה[[#This Row],[מדד]])</f>
        <v>285686.22230304393</v>
      </c>
      <c r="J255" s="11">
        <f>IF(הפחתה[[#This Row],[יתרת
סגירה]]&gt;0,LastRow-ROW(),0)</f>
        <v>108</v>
      </c>
      <c r="K255" s="11">
        <f>ROWS($K$4:K255)</f>
        <v>252</v>
      </c>
      <c r="L255" s="12">
        <f>IF(ValuesEntered2,IF(הפחתה5[[#This Row],[מס'']]&lt;=תקופת_ההלוואה2,IF(ROW()-ROW(הפחתה5[[#Headers],[תאריך]])=1,LoanStart2,IF(R254&gt;0,EDATE(L254,1),"")),""),"")</f>
        <v>53022</v>
      </c>
      <c r="M255" s="13">
        <f>IF(ROW()-ROW(הפחתה5[[#Headers],[יתרת פתיחה]])=1,סכום_הלוואה2,IF(הפחתה5[[#This Row],[תאריך]]="",0,INDEX(הפחתה5[], ROW()-4,8)))</f>
        <v>75737.336801198588</v>
      </c>
      <c r="N255" s="13">
        <f>IF(ValuesEntered2,IF(ROW()-ROW(הפחתה5[[#Headers],[ריבית]])=1,-IPMT(שיעור_ריבית2/12,1,תקופת_ההלוואה2-ROWS($L$4:L255)+1,הפחתה5[[#This Row],[יתרת פתיחה]]),IFERROR(-IPMT(שיעור_ריבית2/12,1,הפחתה5[[#This Row],[תשלומים
שנותרו]],M256),0)),0)</f>
        <v>291.13460229990409</v>
      </c>
      <c r="O255" s="13">
        <f>IFERROR(IF(AND(ValuesEntered2,הפחתה5[[#This Row],[תאריך]]&lt;&gt;""),-PPMT(שיעור_ריבית2/12,1,תקופת_ההלוואה2-ROWS($L$4:L255)+1,הפחתה5[[#This Row],[יתרת פתיחה]]),""),0)</f>
        <v>1405.0979161166979</v>
      </c>
      <c r="P255" s="13">
        <f>(הפחתה5[[#This Row],[יתרת פתיחה]])*(מדד2/12)</f>
        <v>0</v>
      </c>
      <c r="Q255" s="13">
        <f>IF(הפחתה5[[#This Row],[תאריך]]="",0,הפחתה5[[#This Row],[ריבית]]+הפחתה5[[#This Row],[קרן]]+הפחתה5[[#This Row],[מדד]])</f>
        <v>1696.232518416602</v>
      </c>
      <c r="R255" s="13">
        <f>IF(הפחתה5[[#This Row],[תאריך]]="",0,הפחתה5[[#This Row],[יתרת פתיחה]]-הפחתה5[[#This Row],[קרן]]+הפחתה5[[#This Row],[מדד]])</f>
        <v>74332.238885081897</v>
      </c>
      <c r="S255" s="11">
        <f>IF(הפחתה5[[#This Row],[יתרת
סגירה]]&gt;0,LastRow2-ROW(),0)</f>
        <v>48</v>
      </c>
      <c r="T255" s="11">
        <f>ROWS($T$4:T255)</f>
        <v>252</v>
      </c>
      <c r="U255" s="12">
        <f ca="1">IF(ValuesEntered3,IF(הפחתה7[[#This Row],[מס'']]&lt;=תקופת_ההלוואה3,IF(ROW()-ROW(הפחתה7[[#Headers],[תאריך]])=1,LoanStart3,IF(AA254&gt;0,EDATE(U254,1),"")),""),"")</f>
        <v>53260</v>
      </c>
      <c r="V255" s="13">
        <f ca="1">IF(ROW()-ROW(הפחתה7[[#Headers],[יתרת פתיחה]])=1,סכום_הלוואה3,IF(הפחתה7[[#This Row],[תאריך]]="",0,INDEX(הפחתה7[], ROW()-4,8)))</f>
        <v>31212.173051692633</v>
      </c>
      <c r="W255" s="13">
        <f ca="1">IF(ValuesEntered3,IF(ROW()-ROW(הפחתה7[[#Headers],[ריבית]])=1,-IPMT(שיעור_ריבית3/12,1,תקופת_ההלוואה3-ROWS($C$4:U255)+1,הפחתה7[[#This Row],[יתרת פתיחה]]),IFERROR(-IPMT(שיעור_ריבית3/12,1,הפחתה7[[#This Row],[תשלומים
שנותרו]],V256),0)),0)</f>
        <v>58.757417573100405</v>
      </c>
      <c r="X255" s="13">
        <f ca="1">IFERROR(IF(AND(ValuesEntered3,הפחתה7[[#This Row],[תאריך]]&lt;&gt;""),-PPMT(שיעור_ריבית3/12,1,תקופת_ההלוואה3-ROWS($C$4:U255)+1,הפחתה7[[#This Row],[יתרת פתיחה]]),""),0)</f>
        <v>608.14938892929808</v>
      </c>
      <c r="Y255" s="13">
        <f ca="1">(הפחתה7[[#This Row],[יתרת פתיחה]])*(מדד3/12)</f>
        <v>52.020288419487727</v>
      </c>
      <c r="Z255" s="13">
        <f ca="1">IF(הפחתה7[[#This Row],[תאריך]]="",0,הפחתה7[[#This Row],[ריבית]]+הפחתה7[[#This Row],[קרן]]+הפחתה7[[#This Row],[מדד]])</f>
        <v>718.92709492188624</v>
      </c>
      <c r="AA255" s="13">
        <f ca="1">IF(הפחתה7[[#This Row],[תאריך]]="",0,הפחתה7[[#This Row],[יתרת פתיחה]]-הפחתה7[[#This Row],[קרן]]+הפחתה7[[#This Row],[מדד]])</f>
        <v>30656.043951182823</v>
      </c>
      <c r="AB255" s="11">
        <f ca="1">IF(הפחתה7[[#This Row],[יתרת
סגירה]]&gt;0,LastRow3-ROW(),0)</f>
        <v>48</v>
      </c>
      <c r="AC255" s="17">
        <f>ROWS($AC$4:AC255)</f>
        <v>252</v>
      </c>
      <c r="AD255" s="18" t="str">
        <f ca="1">IF(ValuesEntered4,IF(הפחתה8[[#This Row],[מס'']]&lt;=תקופת_ההלוואה4,IF(ROW()-ROW(הפחתה8[[#Headers],[תאריך]])=1,LoanStart4,IF(AJ254&gt;0,EDATE(AD254,1),"")),""),"")</f>
        <v/>
      </c>
      <c r="AE255" s="19">
        <f ca="1">IF(ROW()-ROW(הפחתה8[[#Headers],[יתרת פתיחה]])=1,סכום_הלוואה4,IF(הפחתה8[[#This Row],[תאריך]]="",0,INDEX(הפחתה8[], ROW()-4,8)))</f>
        <v>0</v>
      </c>
      <c r="AF255" s="19">
        <f ca="1">IF(ValuesEntered4,IF(ROW()-ROW(הפחתה8[[#Headers],[ריבית]])=1,-IPMT(שיעור_ריבית4/12,1,תקופת_ההלוואה4-ROWS($C$4:AD255)+1,הפחתה8[[#This Row],[יתרת פתיחה]]),IFERROR(-IPMT(שיעור_ריבית4/12,1,הפחתה8[[#This Row],[תשלומים
שנותרו]],AE256),0)),0)</f>
        <v>0</v>
      </c>
      <c r="AG255" s="19" t="str">
        <f ca="1">IFERROR(IF(AND(ValuesEntered4,הפחתה8[[#This Row],[תאריך]]&lt;&gt;""),-PPMT(שיעור_ריבית4/12,1,תקופת_ההלוואה4-ROWS($C$4:AD255)+1,הפחתה8[[#This Row],[יתרת פתיחה]]),""),0)</f>
        <v/>
      </c>
      <c r="AH255" s="19">
        <f ca="1">(הפחתה8[[#This Row],[יתרת פתיחה]])*(מדד4/12)</f>
        <v>0</v>
      </c>
      <c r="AI255" s="19">
        <f ca="1">IF(הפחתה8[[#This Row],[תאריך]]="",0,הפחתה8[[#This Row],[ריבית]]+הפחתה8[[#This Row],[קרן]]+הפחתה8[[#This Row],[מדד]])</f>
        <v>0</v>
      </c>
      <c r="AJ255" s="19">
        <f ca="1">IF(הפחתה8[[#This Row],[תאריך]]="",0,הפחתה8[[#This Row],[יתרת פתיחה]]-הפחתה8[[#This Row],[קרן]])</f>
        <v>0</v>
      </c>
      <c r="AK255" s="20">
        <f ca="1">IF(הפחתה8[[#This Row],[יתרת
סגירה]]&gt;0,LastRow4-ROW(),0)</f>
        <v>0</v>
      </c>
    </row>
    <row r="256" spans="1:37" ht="15" customHeight="1" x14ac:dyDescent="0.25">
      <c r="A256" s="8"/>
      <c r="B256" s="11">
        <f>ROWS($B$4:B256)</f>
        <v>253</v>
      </c>
      <c r="C256" s="12">
        <f>IF(ValuesEntered,IF(הפחתה[[#This Row],[מס'']]&lt;=תקופת_ההלוואה,IF(ROW()-ROW(הפחתה[[#Headers],[תאריך]])=1,LoanStart,IF(I255&gt;0,EDATE(C255,1),"")),""),"")</f>
        <v>53053</v>
      </c>
      <c r="D256" s="13">
        <f>IF(ROW()-ROW(הפחתה[[#Headers],[יתרת פתיחה]])=1,סכום_הלוואה,IF(הפחתה[[#This Row],[תאריך]]="",0,INDEX(הפחתה[], ROW()-4,8)))</f>
        <v>285686.22230304393</v>
      </c>
      <c r="E256" s="13">
        <f>IF(ValuesEntered,IF(ROW()-ROW(הפחתה[[#Headers],[ריבית]])=1,-IPMT(שיעור_ריבית/12,1,תקופת_ההלוואה-ROWS($C$4:C256)+1,הפחתה[[#This Row],[יתרת פתיחה]]),IFERROR(-IPMT(שיעור_ריבית/12,1,הפחתה[[#This Row],[תשלומים
שנותרו]],D257),0)),0)</f>
        <v>1252.6381071502512</v>
      </c>
      <c r="F256" s="13">
        <f>IFERROR(IF(AND(ValuesEntered,הפחתה[[#This Row],[תאריך]]&lt;&gt;""),-PPMT(שיעור_ריבית/12,1,תקופת_ההלוואה-ROWS($C$4:C256)+1,הפחתה[[#This Row],[יתרת פתיחה]]),""),0)</f>
        <v>2070.047099213441</v>
      </c>
      <c r="G256" s="13">
        <f>(הפחתה[[#This Row],[יתרת פתיחה]])*(מדד/12)</f>
        <v>0</v>
      </c>
      <c r="H256" s="13">
        <f>IF(הפחתה[[#This Row],[תאריך]]="",0,הפחתה[[#This Row],[ריבית]]+הפחתה[[#This Row],[קרן]]+הפחתה[[#This Row],[מדד]])</f>
        <v>3322.6852063636925</v>
      </c>
      <c r="I256" s="13">
        <f>IF(הפחתה[[#This Row],[תאריך]]="",0,הפחתה[[#This Row],[יתרת פתיחה]]-הפחתה[[#This Row],[קרן]]+הפחתה[[#This Row],[מדד]])</f>
        <v>283616.17520383047</v>
      </c>
      <c r="J256" s="11">
        <f>IF(הפחתה[[#This Row],[יתרת
סגירה]]&gt;0,LastRow-ROW(),0)</f>
        <v>107</v>
      </c>
      <c r="K256" s="11">
        <f>ROWS($K$4:K256)</f>
        <v>253</v>
      </c>
      <c r="L256" s="12">
        <f>IF(ValuesEntered2,IF(הפחתה5[[#This Row],[מס'']]&lt;=תקופת_ההלוואה2,IF(ROW()-ROW(הפחתה5[[#Headers],[תאריך]])=1,LoanStart2,IF(R255&gt;0,EDATE(L255,1),"")),""),"")</f>
        <v>53053</v>
      </c>
      <c r="M256" s="13">
        <f>IF(ROW()-ROW(הפחתה5[[#Headers],[יתרת פתיחה]])=1,סכום_הלוואה2,IF(הפחתה5[[#This Row],[תאריך]]="",0,INDEX(הפחתה5[], ROW()-4,8)))</f>
        <v>74332.238885081897</v>
      </c>
      <c r="N256" s="13">
        <f>IF(ValuesEntered2,IF(ROW()-ROW(הפחתה5[[#Headers],[ריבית]])=1,-IPMT(שיעור_ריבית2/12,1,תקופת_ההלוואה2-ROWS($L$4:L256)+1,הפחתה5[[#This Row],[יתרת פתיחה]]),IFERROR(-IPMT(שיעור_ריבית2/12,1,הפחתה5[[#This Row],[תשלומים
שנותרו]],M257),0)),0)</f>
        <v>285.60974753610878</v>
      </c>
      <c r="O256" s="13">
        <f>IFERROR(IF(AND(ValuesEntered2,הפחתה5[[#This Row],[תאריך]]&lt;&gt;""),-PPMT(שיעור_ריבית2/12,1,תקופת_ההלוואה2-ROWS($L$4:L256)+1,הפחתה5[[#This Row],[יתרת פתיחה]]),""),0)</f>
        <v>1410.6012162881552</v>
      </c>
      <c r="P256" s="13">
        <f>(הפחתה5[[#This Row],[יתרת פתיחה]])*(מדד2/12)</f>
        <v>0</v>
      </c>
      <c r="Q256" s="13">
        <f>IF(הפחתה5[[#This Row],[תאריך]]="",0,הפחתה5[[#This Row],[ריבית]]+הפחתה5[[#This Row],[קרן]]+הפחתה5[[#This Row],[מדד]])</f>
        <v>1696.2109638242641</v>
      </c>
      <c r="R256" s="13">
        <f>IF(הפחתה5[[#This Row],[תאריך]]="",0,הפחתה5[[#This Row],[יתרת פתיחה]]-הפחתה5[[#This Row],[קרן]]+הפחתה5[[#This Row],[מדד]])</f>
        <v>72921.637668793745</v>
      </c>
      <c r="S256" s="11">
        <f>IF(הפחתה5[[#This Row],[יתרת
סגירה]]&gt;0,LastRow2-ROW(),0)</f>
        <v>47</v>
      </c>
      <c r="T256" s="11">
        <f>ROWS($T$4:T256)</f>
        <v>253</v>
      </c>
      <c r="U256" s="12">
        <f ca="1">IF(ValuesEntered3,IF(הפחתה7[[#This Row],[מס'']]&lt;=תקופת_ההלוואה3,IF(ROW()-ROW(הפחתה7[[#Headers],[תאריך]])=1,LoanStart3,IF(AA255&gt;0,EDATE(U255,1),"")),""),"")</f>
        <v>53291</v>
      </c>
      <c r="V256" s="13">
        <f ca="1">IF(ROW()-ROW(הפחתה7[[#Headers],[יתרת פתיחה]])=1,סכום_הלוואה3,IF(הפחתה7[[#This Row],[תאריך]]="",0,INDEX(הפחתה7[], ROW()-4,8)))</f>
        <v>30656.043951182823</v>
      </c>
      <c r="W256" s="13">
        <f ca="1">IF(ValuesEntered3,IF(ROW()-ROW(הפחתה7[[#Headers],[ריבית]])=1,-IPMT(שיעור_ריבית3/12,1,תקופת_ההלוואה3-ROWS($C$4:U256)+1,הפחתה7[[#This Row],[יתרת פתיחה]]),IFERROR(-IPMT(שיעור_ריבית3/12,1,הפחתה7[[#This Row],[תשלומים
שנותרו]],V257),0)),0)</f>
        <v>57.685507734536898</v>
      </c>
      <c r="X256" s="13">
        <f ca="1">IFERROR(IF(AND(ValuesEntered3,הפחתה7[[#This Row],[תאריך]]&lt;&gt;""),-PPMT(שיעור_ריבית3/12,1,תקופת_ההלוואה3-ROWS($C$4:U256)+1,הפחתה7[[#This Row],[יתרת פתיחה]]),""),0)</f>
        <v>610.35071366191323</v>
      </c>
      <c r="Y256" s="13">
        <f ca="1">(הפחתה7[[#This Row],[יתרת פתיחה]])*(מדד3/12)</f>
        <v>51.093406585304706</v>
      </c>
      <c r="Z256" s="13">
        <f ca="1">IF(הפחתה7[[#This Row],[תאריך]]="",0,הפחתה7[[#This Row],[ריבית]]+הפחתה7[[#This Row],[קרן]]+הפחתה7[[#This Row],[מדד]])</f>
        <v>719.12962798175488</v>
      </c>
      <c r="AA256" s="13">
        <f ca="1">IF(הפחתה7[[#This Row],[תאריך]]="",0,הפחתה7[[#This Row],[יתרת פתיחה]]-הפחתה7[[#This Row],[קרן]]+הפחתה7[[#This Row],[מדד]])</f>
        <v>30096.786644106214</v>
      </c>
      <c r="AB256" s="11">
        <f ca="1">IF(הפחתה7[[#This Row],[יתרת
סגירה]]&gt;0,LastRow3-ROW(),0)</f>
        <v>47</v>
      </c>
      <c r="AC256" s="17">
        <f>ROWS($AC$4:AC256)</f>
        <v>253</v>
      </c>
      <c r="AD256" s="18" t="str">
        <f ca="1">IF(ValuesEntered4,IF(הפחתה8[[#This Row],[מס'']]&lt;=תקופת_ההלוואה4,IF(ROW()-ROW(הפחתה8[[#Headers],[תאריך]])=1,LoanStart4,IF(AJ255&gt;0,EDATE(AD255,1),"")),""),"")</f>
        <v/>
      </c>
      <c r="AE256" s="19">
        <f ca="1">IF(ROW()-ROW(הפחתה8[[#Headers],[יתרת פתיחה]])=1,סכום_הלוואה4,IF(הפחתה8[[#This Row],[תאריך]]="",0,INDEX(הפחתה8[], ROW()-4,8)))</f>
        <v>0</v>
      </c>
      <c r="AF256" s="19">
        <f ca="1">IF(ValuesEntered4,IF(ROW()-ROW(הפחתה8[[#Headers],[ריבית]])=1,-IPMT(שיעור_ריבית4/12,1,תקופת_ההלוואה4-ROWS($C$4:AD256)+1,הפחתה8[[#This Row],[יתרת פתיחה]]),IFERROR(-IPMT(שיעור_ריבית4/12,1,הפחתה8[[#This Row],[תשלומים
שנותרו]],AE257),0)),0)</f>
        <v>0</v>
      </c>
      <c r="AG256" s="19" t="str">
        <f ca="1">IFERROR(IF(AND(ValuesEntered4,הפחתה8[[#This Row],[תאריך]]&lt;&gt;""),-PPMT(שיעור_ריבית4/12,1,תקופת_ההלוואה4-ROWS($C$4:AD256)+1,הפחתה8[[#This Row],[יתרת פתיחה]]),""),0)</f>
        <v/>
      </c>
      <c r="AH256" s="19">
        <f ca="1">(הפחתה8[[#This Row],[יתרת פתיחה]])*(מדד4/12)</f>
        <v>0</v>
      </c>
      <c r="AI256" s="19">
        <f ca="1">IF(הפחתה8[[#This Row],[תאריך]]="",0,הפחתה8[[#This Row],[ריבית]]+הפחתה8[[#This Row],[קרן]]+הפחתה8[[#This Row],[מדד]])</f>
        <v>0</v>
      </c>
      <c r="AJ256" s="19">
        <f ca="1">IF(הפחתה8[[#This Row],[תאריך]]="",0,הפחתה8[[#This Row],[יתרת פתיחה]]-הפחתה8[[#This Row],[קרן]])</f>
        <v>0</v>
      </c>
      <c r="AK256" s="20">
        <f ca="1">IF(הפחתה8[[#This Row],[יתרת
סגירה]]&gt;0,LastRow4-ROW(),0)</f>
        <v>0</v>
      </c>
    </row>
    <row r="257" spans="1:37" ht="15" customHeight="1" x14ac:dyDescent="0.25">
      <c r="A257" s="8"/>
      <c r="B257" s="11">
        <f>ROWS($B$4:B257)</f>
        <v>254</v>
      </c>
      <c r="C257" s="12">
        <f>IF(ValuesEntered,IF(הפחתה[[#This Row],[מס'']]&lt;=תקופת_ההלוואה,IF(ROW()-ROW(הפחתה[[#Headers],[תאריך]])=1,LoanStart,IF(I256&gt;0,EDATE(C256,1),"")),""),"")</f>
        <v>53083</v>
      </c>
      <c r="D257" s="13">
        <f>IF(ROW()-ROW(הפחתה[[#Headers],[יתרת פתיחה]])=1,סכום_הלוואה,IF(הפחתה[[#This Row],[תאריך]]="",0,INDEX(הפחתה[], ROW()-4,8)))</f>
        <v>283616.17520383047</v>
      </c>
      <c r="E257" s="13">
        <f>IF(ValuesEntered,IF(ROW()-ROW(הפחתה[[#Headers],[ריבית]])=1,-IPMT(שיעור_ריבית/12,1,תקופת_ההלוואה-ROWS($C$4:C257)+1,הפחתה[[#This Row],[יתרת פתיחה]]),IFERROR(-IPMT(שיעור_ריבית/12,1,הפחתה[[#This Row],[תשלומים
שנותרו]],D258),0)),0)</f>
        <v>1243.4550188349635</v>
      </c>
      <c r="F257" s="13">
        <f>IFERROR(IF(AND(ValuesEntered,הפחתה[[#This Row],[תאריך]]&lt;&gt;""),-PPMT(שיעור_ריבית/12,1,תקופת_ההלוואה-ROWS($C$4:C257)+1,הפחתה[[#This Row],[יתרת פתיחה]]),""),0)</f>
        <v>2079.1898072349668</v>
      </c>
      <c r="G257" s="13">
        <f>(הפחתה[[#This Row],[יתרת פתיחה]])*(מדד/12)</f>
        <v>0</v>
      </c>
      <c r="H257" s="13">
        <f>IF(הפחתה[[#This Row],[תאריך]]="",0,הפחתה[[#This Row],[ריבית]]+הפחתה[[#This Row],[קרן]]+הפחתה[[#This Row],[מדד]])</f>
        <v>3322.6448260699303</v>
      </c>
      <c r="I257" s="13">
        <f>IF(הפחתה[[#This Row],[תאריך]]="",0,הפחתה[[#This Row],[יתרת פתיחה]]-הפחתה[[#This Row],[קרן]]+הפחתה[[#This Row],[מדד]])</f>
        <v>281536.9853965955</v>
      </c>
      <c r="J257" s="11">
        <f>IF(הפחתה[[#This Row],[יתרת
סגירה]]&gt;0,LastRow-ROW(),0)</f>
        <v>106</v>
      </c>
      <c r="K257" s="11">
        <f>ROWS($K$4:K257)</f>
        <v>254</v>
      </c>
      <c r="L257" s="12">
        <f>IF(ValuesEntered2,IF(הפחתה5[[#This Row],[מס'']]&lt;=תקופת_ההלוואה2,IF(ROW()-ROW(הפחתה5[[#Headers],[תאריך]])=1,LoanStart2,IF(R256&gt;0,EDATE(L256,1),"")),""),"")</f>
        <v>53083</v>
      </c>
      <c r="M257" s="13">
        <f>IF(ROW()-ROW(הפחתה5[[#Headers],[יתרת פתיחה]])=1,סכום_הלוואה2,IF(הפחתה5[[#This Row],[תאריך]]="",0,INDEX(הפחתה5[], ROW()-4,8)))</f>
        <v>72921.637668793745</v>
      </c>
      <c r="N257" s="13">
        <f>IF(ValuesEntered2,IF(ROW()-ROW(הפחתה5[[#Headers],[ריבית]])=1,-IPMT(שיעור_ריבית2/12,1,תקופת_ההלוואה2-ROWS($L$4:L257)+1,הפחתה5[[#This Row],[יתרת פתיחה]]),IFERROR(-IPMT(שיעור_ריבית2/12,1,הפחתה5[[#This Row],[תשלומים
שנותרו]],M258),0)),0)</f>
        <v>280.063253757822</v>
      </c>
      <c r="O257" s="13">
        <f>IFERROR(IF(AND(ValuesEntered2,הפחתה5[[#This Row],[תאריך]]&lt;&gt;""),-PPMT(שיעור_ריבית2/12,1,תקופת_ההלוואה2-ROWS($L$4:L257)+1,הפחתה5[[#This Row],[יתרת פתיחה]]),""),0)</f>
        <v>1416.1260710519502</v>
      </c>
      <c r="P257" s="13">
        <f>(הפחתה5[[#This Row],[יתרת פתיחה]])*(מדד2/12)</f>
        <v>0</v>
      </c>
      <c r="Q257" s="13">
        <f>IF(הפחתה5[[#This Row],[תאריך]]="",0,הפחתה5[[#This Row],[ריבית]]+הפחתה5[[#This Row],[קרן]]+הפחתה5[[#This Row],[מדד]])</f>
        <v>1696.1893248097722</v>
      </c>
      <c r="R257" s="13">
        <f>IF(הפחתה5[[#This Row],[תאריך]]="",0,הפחתה5[[#This Row],[יתרת פתיחה]]-הפחתה5[[#This Row],[קרן]]+הפחתה5[[#This Row],[מדד]])</f>
        <v>71505.511597741788</v>
      </c>
      <c r="S257" s="11">
        <f>IF(הפחתה5[[#This Row],[יתרת
סגירה]]&gt;0,LastRow2-ROW(),0)</f>
        <v>46</v>
      </c>
      <c r="T257" s="11">
        <f>ROWS($T$4:T257)</f>
        <v>254</v>
      </c>
      <c r="U257" s="12">
        <f ca="1">IF(ValuesEntered3,IF(הפחתה7[[#This Row],[מס'']]&lt;=תקופת_ההלוואה3,IF(ROW()-ROW(הפחתה7[[#Headers],[תאריך]])=1,LoanStart3,IF(AA256&gt;0,EDATE(U256,1),"")),""),"")</f>
        <v>53321</v>
      </c>
      <c r="V257" s="13">
        <f ca="1">IF(ROW()-ROW(הפחתה7[[#Headers],[יתרת פתיחה]])=1,סכום_הלוואה3,IF(הפחתה7[[#This Row],[תאריך]]="",0,INDEX(הפחתה7[], ROW()-4,8)))</f>
        <v>30096.786644106214</v>
      </c>
      <c r="W257" s="13">
        <f ca="1">IF(ValuesEntered3,IF(ROW()-ROW(הפחתה7[[#Headers],[ריבית]])=1,-IPMT(שיעור_ריבית3/12,1,תקופת_ההלוואה3-ROWS($C$4:U257)+1,הפחתה7[[#This Row],[יתרת פתיחה]]),IFERROR(-IPMT(שיעור_ריבית3/12,1,הפחתה7[[#This Row],[תשלומים
שנותרו]],V258),0)),0)</f>
        <v>56.607576037060383</v>
      </c>
      <c r="X257" s="13">
        <f ca="1">IFERROR(IF(AND(ValuesEntered3,הפחתה7[[#This Row],[תאריך]]&lt;&gt;""),-PPMT(שיעור_ריבית3/12,1,תקופת_ההלוואה3-ROWS($C$4:U257)+1,הפחתה7[[#This Row],[יתרת פתיחה]]),""),0)</f>
        <v>612.56045758300115</v>
      </c>
      <c r="Y257" s="13">
        <f ca="1">(הפחתה7[[#This Row],[יתרת פתיחה]])*(מדד3/12)</f>
        <v>50.161311073510362</v>
      </c>
      <c r="Z257" s="13">
        <f ca="1">IF(הפחתה7[[#This Row],[תאריך]]="",0,הפחתה7[[#This Row],[ריבית]]+הפחתה7[[#This Row],[קרן]]+הפחתה7[[#This Row],[מדד]])</f>
        <v>719.3293446935719</v>
      </c>
      <c r="AA257" s="13">
        <f ca="1">IF(הפחתה7[[#This Row],[תאריך]]="",0,הפחתה7[[#This Row],[יתרת פתיחה]]-הפחתה7[[#This Row],[קרן]]+הפחתה7[[#This Row],[מדד]])</f>
        <v>29534.387497596723</v>
      </c>
      <c r="AB257" s="11">
        <f ca="1">IF(הפחתה7[[#This Row],[יתרת
סגירה]]&gt;0,LastRow3-ROW(),0)</f>
        <v>46</v>
      </c>
      <c r="AC257" s="17">
        <f>ROWS($AC$4:AC257)</f>
        <v>254</v>
      </c>
      <c r="AD257" s="18" t="str">
        <f ca="1">IF(ValuesEntered4,IF(הפחתה8[[#This Row],[מס'']]&lt;=תקופת_ההלוואה4,IF(ROW()-ROW(הפחתה8[[#Headers],[תאריך]])=1,LoanStart4,IF(AJ256&gt;0,EDATE(AD256,1),"")),""),"")</f>
        <v/>
      </c>
      <c r="AE257" s="19">
        <f ca="1">IF(ROW()-ROW(הפחתה8[[#Headers],[יתרת פתיחה]])=1,סכום_הלוואה4,IF(הפחתה8[[#This Row],[תאריך]]="",0,INDEX(הפחתה8[], ROW()-4,8)))</f>
        <v>0</v>
      </c>
      <c r="AF257" s="19">
        <f ca="1">IF(ValuesEntered4,IF(ROW()-ROW(הפחתה8[[#Headers],[ריבית]])=1,-IPMT(שיעור_ריבית4/12,1,תקופת_ההלוואה4-ROWS($C$4:AD257)+1,הפחתה8[[#This Row],[יתרת פתיחה]]),IFERROR(-IPMT(שיעור_ריבית4/12,1,הפחתה8[[#This Row],[תשלומים
שנותרו]],AE258),0)),0)</f>
        <v>0</v>
      </c>
      <c r="AG257" s="19" t="str">
        <f ca="1">IFERROR(IF(AND(ValuesEntered4,הפחתה8[[#This Row],[תאריך]]&lt;&gt;""),-PPMT(שיעור_ריבית4/12,1,תקופת_ההלוואה4-ROWS($C$4:AD257)+1,הפחתה8[[#This Row],[יתרת פתיחה]]),""),0)</f>
        <v/>
      </c>
      <c r="AH257" s="19">
        <f ca="1">(הפחתה8[[#This Row],[יתרת פתיחה]])*(מדד4/12)</f>
        <v>0</v>
      </c>
      <c r="AI257" s="19">
        <f ca="1">IF(הפחתה8[[#This Row],[תאריך]]="",0,הפחתה8[[#This Row],[ריבית]]+הפחתה8[[#This Row],[קרן]]+הפחתה8[[#This Row],[מדד]])</f>
        <v>0</v>
      </c>
      <c r="AJ257" s="19">
        <f ca="1">IF(הפחתה8[[#This Row],[תאריך]]="",0,הפחתה8[[#This Row],[יתרת פתיחה]]-הפחתה8[[#This Row],[קרן]])</f>
        <v>0</v>
      </c>
      <c r="AK257" s="20">
        <f ca="1">IF(הפחתה8[[#This Row],[יתרת
סגירה]]&gt;0,LastRow4-ROW(),0)</f>
        <v>0</v>
      </c>
    </row>
    <row r="258" spans="1:37" ht="15" customHeight="1" x14ac:dyDescent="0.25">
      <c r="A258" s="8"/>
      <c r="B258" s="11">
        <f>ROWS($B$4:B258)</f>
        <v>255</v>
      </c>
      <c r="C258" s="12">
        <f>IF(ValuesEntered,IF(הפחתה[[#This Row],[מס'']]&lt;=תקופת_ההלוואה,IF(ROW()-ROW(הפחתה[[#Headers],[תאריך]])=1,LoanStart,IF(I257&gt;0,EDATE(C257,1),"")),""),"")</f>
        <v>53114</v>
      </c>
      <c r="D258" s="13">
        <f>IF(ROW()-ROW(הפחתה[[#Headers],[יתרת פתיחה]])=1,סכום_הלוואה,IF(הפחתה[[#This Row],[תאריך]]="",0,INDEX(הפחתה[], ROW()-4,8)))</f>
        <v>281536.9853965955</v>
      </c>
      <c r="E258" s="13">
        <f>IF(ValuesEntered,IF(ROW()-ROW(הפחתה[[#Headers],[ריבית]])=1,-IPMT(שיעור_ריבית/12,1,תקופת_ההלוואה-ROWS($C$4:C258)+1,הפחתה[[#This Row],[יתרת פתיחה]]),IFERROR(-IPMT(שיעור_ריבית/12,1,הפחתה[[#This Row],[תשלומים
שנותרו]],D259),0)),0)</f>
        <v>1234.2313718796165</v>
      </c>
      <c r="F258" s="13">
        <f>IFERROR(IF(AND(ValuesEntered,הפחתה[[#This Row],[תאריך]]&lt;&gt;""),-PPMT(שיעור_ריבית/12,1,תקופת_ההלוואה-ROWS($C$4:C258)+1,הפחתה[[#This Row],[יתרת פתיחה]]),""),0)</f>
        <v>2088.3728955502547</v>
      </c>
      <c r="G258" s="13">
        <f>(הפחתה[[#This Row],[יתרת פתיחה]])*(מדד/12)</f>
        <v>0</v>
      </c>
      <c r="H258" s="13">
        <f>IF(הפחתה[[#This Row],[תאריך]]="",0,הפחתה[[#This Row],[ריבית]]+הפחתה[[#This Row],[קרן]]+הפחתה[[#This Row],[מדד]])</f>
        <v>3322.6042674298715</v>
      </c>
      <c r="I258" s="13">
        <f>IF(הפחתה[[#This Row],[תאריך]]="",0,הפחתה[[#This Row],[יתרת פתיחה]]-הפחתה[[#This Row],[קרן]]+הפחתה[[#This Row],[מדד]])</f>
        <v>279448.61250104522</v>
      </c>
      <c r="J258" s="11">
        <f>IF(הפחתה[[#This Row],[יתרת
סגירה]]&gt;0,LastRow-ROW(),0)</f>
        <v>105</v>
      </c>
      <c r="K258" s="11">
        <f>ROWS($K$4:K258)</f>
        <v>255</v>
      </c>
      <c r="L258" s="12">
        <f>IF(ValuesEntered2,IF(הפחתה5[[#This Row],[מס'']]&lt;=תקופת_ההלוואה2,IF(ROW()-ROW(הפחתה5[[#Headers],[תאריך]])=1,LoanStart2,IF(R257&gt;0,EDATE(L257,1),"")),""),"")</f>
        <v>53114</v>
      </c>
      <c r="M258" s="13">
        <f>IF(ROW()-ROW(הפחתה5[[#Headers],[יתרת פתיחה]])=1,סכום_הלוואה2,IF(הפחתה5[[#This Row],[תאריך]]="",0,INDEX(הפחתה5[], ROW()-4,8)))</f>
        <v>71505.511597741788</v>
      </c>
      <c r="N258" s="13">
        <f>IF(ValuesEntered2,IF(ROW()-ROW(הפחתה5[[#Headers],[ריבית]])=1,-IPMT(שיעור_ריבית2/12,1,תקופת_ההלוואה2-ROWS($L$4:L258)+1,הפחתה5[[#This Row],[יתרת פתיחה]]),IFERROR(-IPMT(שיעור_ריבית2/12,1,הפחתה5[[#This Row],[תשלומים
שנותרו]],M259),0)),0)</f>
        <v>274.49503621223687</v>
      </c>
      <c r="O258" s="13">
        <f>IFERROR(IF(AND(ValuesEntered2,הפחתה5[[#This Row],[תאריך]]&lt;&gt;""),-PPMT(שיעור_ריבית2/12,1,תקופת_ההלוואה2-ROWS($L$4:L258)+1,הפחתה5[[#This Row],[יתרת פתיחה]]),""),0)</f>
        <v>1421.6725648302368</v>
      </c>
      <c r="P258" s="13">
        <f>(הפחתה5[[#This Row],[יתרת פתיחה]])*(מדד2/12)</f>
        <v>0</v>
      </c>
      <c r="Q258" s="13">
        <f>IF(הפחתה5[[#This Row],[תאריך]]="",0,הפחתה5[[#This Row],[ריבית]]+הפחתה5[[#This Row],[קרן]]+הפחתה5[[#This Row],[מדד]])</f>
        <v>1696.1676010424735</v>
      </c>
      <c r="R258" s="13">
        <f>IF(הפחתה5[[#This Row],[תאריך]]="",0,הפחתה5[[#This Row],[יתרת פתיחה]]-הפחתה5[[#This Row],[קרן]]+הפחתה5[[#This Row],[מדד]])</f>
        <v>70083.83903291155</v>
      </c>
      <c r="S258" s="11">
        <f>IF(הפחתה5[[#This Row],[יתרת
סגירה]]&gt;0,LastRow2-ROW(),0)</f>
        <v>45</v>
      </c>
      <c r="T258" s="11">
        <f>ROWS($T$4:T258)</f>
        <v>255</v>
      </c>
      <c r="U258" s="12">
        <f ca="1">IF(ValuesEntered3,IF(הפחתה7[[#This Row],[מס'']]&lt;=תקופת_ההלוואה3,IF(ROW()-ROW(הפחתה7[[#Headers],[תאריך]])=1,LoanStart3,IF(AA257&gt;0,EDATE(U257,1),"")),""),"")</f>
        <v>53352</v>
      </c>
      <c r="V258" s="13">
        <f ca="1">IF(ROW()-ROW(הפחתה7[[#Headers],[יתרת פתיחה]])=1,סכום_הלוואה3,IF(הפחתה7[[#This Row],[תאריך]]="",0,INDEX(הפחתה7[], ROW()-4,8)))</f>
        <v>29534.387497596723</v>
      </c>
      <c r="W258" s="13">
        <f ca="1">IF(ValuesEntered3,IF(ROW()-ROW(הפחתה7[[#Headers],[ריבית]])=1,-IPMT(שיעור_ריבית3/12,1,תקופת_ההלוואה3-ROWS($C$4:U258)+1,הפחתה7[[#This Row],[יתרת פתיחה]]),IFERROR(-IPMT(שיעור_ריבית3/12,1,הפחתה7[[#This Row],[תשלומים
שנותרו]],V259),0)),0)</f>
        <v>55.52359620504344</v>
      </c>
      <c r="X258" s="13">
        <f ca="1">IFERROR(IF(AND(ValuesEntered3,הפחתה7[[#This Row],[תאריך]]&lt;&gt;""),-PPMT(שיעור_ריבית3/12,1,תקופת_ההלוואה3-ROWS($C$4:U258)+1,הפחתה7[[#This Row],[יתרת פתיחה]]),""),0)</f>
        <v>614.77867412802198</v>
      </c>
      <c r="Y258" s="13">
        <f ca="1">(הפחתה7[[#This Row],[יתרת פתיחה]])*(מדד3/12)</f>
        <v>49.223979162661209</v>
      </c>
      <c r="Z258" s="13">
        <f ca="1">IF(הפחתה7[[#This Row],[תאריך]]="",0,הפחתה7[[#This Row],[ריבית]]+הפחתה7[[#This Row],[קרן]]+הפחתה7[[#This Row],[מדד]])</f>
        <v>719.52624949572657</v>
      </c>
      <c r="AA258" s="13">
        <f ca="1">IF(הפחתה7[[#This Row],[תאריך]]="",0,הפחתה7[[#This Row],[יתרת פתיחה]]-הפחתה7[[#This Row],[קרן]]+הפחתה7[[#This Row],[מדד]])</f>
        <v>28968.832802631361</v>
      </c>
      <c r="AB258" s="11">
        <f ca="1">IF(הפחתה7[[#This Row],[יתרת
סגירה]]&gt;0,LastRow3-ROW(),0)</f>
        <v>45</v>
      </c>
      <c r="AC258" s="17">
        <f>ROWS($AC$4:AC258)</f>
        <v>255</v>
      </c>
      <c r="AD258" s="18" t="str">
        <f ca="1">IF(ValuesEntered4,IF(הפחתה8[[#This Row],[מס'']]&lt;=תקופת_ההלוואה4,IF(ROW()-ROW(הפחתה8[[#Headers],[תאריך]])=1,LoanStart4,IF(AJ257&gt;0,EDATE(AD257,1),"")),""),"")</f>
        <v/>
      </c>
      <c r="AE258" s="19">
        <f ca="1">IF(ROW()-ROW(הפחתה8[[#Headers],[יתרת פתיחה]])=1,סכום_הלוואה4,IF(הפחתה8[[#This Row],[תאריך]]="",0,INDEX(הפחתה8[], ROW()-4,8)))</f>
        <v>0</v>
      </c>
      <c r="AF258" s="19">
        <f ca="1">IF(ValuesEntered4,IF(ROW()-ROW(הפחתה8[[#Headers],[ריבית]])=1,-IPMT(שיעור_ריבית4/12,1,תקופת_ההלוואה4-ROWS($C$4:AD258)+1,הפחתה8[[#This Row],[יתרת פתיחה]]),IFERROR(-IPMT(שיעור_ריבית4/12,1,הפחתה8[[#This Row],[תשלומים
שנותרו]],AE259),0)),0)</f>
        <v>0</v>
      </c>
      <c r="AG258" s="19" t="str">
        <f ca="1">IFERROR(IF(AND(ValuesEntered4,הפחתה8[[#This Row],[תאריך]]&lt;&gt;""),-PPMT(שיעור_ריבית4/12,1,תקופת_ההלוואה4-ROWS($C$4:AD258)+1,הפחתה8[[#This Row],[יתרת פתיחה]]),""),0)</f>
        <v/>
      </c>
      <c r="AH258" s="19">
        <f ca="1">(הפחתה8[[#This Row],[יתרת פתיחה]])*(מדד4/12)</f>
        <v>0</v>
      </c>
      <c r="AI258" s="19">
        <f ca="1">IF(הפחתה8[[#This Row],[תאריך]]="",0,הפחתה8[[#This Row],[ריבית]]+הפחתה8[[#This Row],[קרן]]+הפחתה8[[#This Row],[מדד]])</f>
        <v>0</v>
      </c>
      <c r="AJ258" s="19">
        <f ca="1">IF(הפחתה8[[#This Row],[תאריך]]="",0,הפחתה8[[#This Row],[יתרת פתיחה]]-הפחתה8[[#This Row],[קרן]])</f>
        <v>0</v>
      </c>
      <c r="AK258" s="20">
        <f ca="1">IF(הפחתה8[[#This Row],[יתרת
סגירה]]&gt;0,LastRow4-ROW(),0)</f>
        <v>0</v>
      </c>
    </row>
    <row r="259" spans="1:37" ht="15" customHeight="1" x14ac:dyDescent="0.25">
      <c r="A259" s="8"/>
      <c r="B259" s="11">
        <f>ROWS($B$4:B259)</f>
        <v>256</v>
      </c>
      <c r="C259" s="12">
        <f>IF(ValuesEntered,IF(הפחתה[[#This Row],[מס'']]&lt;=תקופת_ההלוואה,IF(ROW()-ROW(הפחתה[[#Headers],[תאריך]])=1,LoanStart,IF(I258&gt;0,EDATE(C258,1),"")),""),"")</f>
        <v>53144</v>
      </c>
      <c r="D259" s="13">
        <f>IF(ROW()-ROW(הפחתה[[#Headers],[יתרת פתיחה]])=1,סכום_הלוואה,IF(הפחתה[[#This Row],[תאריך]]="",0,INDEX(הפחתה[], ROW()-4,8)))</f>
        <v>279448.61250104522</v>
      </c>
      <c r="E259" s="13">
        <f>IF(ValuesEntered,IF(ROW()-ROW(הפחתה[[#Headers],[ריבית]])=1,-IPMT(שיעור_ריבית/12,1,תקופת_ההלוואה-ROWS($C$4:C259)+1,הפחתה[[#This Row],[יתרת פתיחה]]),IFERROR(-IPMT(שיעור_ריבית/12,1,הפחתה[[#This Row],[תשלומים
שנותרו]],D260),0)),0)</f>
        <v>1224.9669871502167</v>
      </c>
      <c r="F259" s="13">
        <f>IFERROR(IF(AND(ValuesEntered,הפחתה[[#This Row],[תאריך]]&lt;&gt;""),-PPMT(שיעור_ריבית/12,1,תקופת_ההלוואה-ROWS($C$4:C259)+1,הפחתה[[#This Row],[יתרת פתיחה]]),""),0)</f>
        <v>2097.5965425056015</v>
      </c>
      <c r="G259" s="13">
        <f>(הפחתה[[#This Row],[יתרת פתיחה]])*(מדד/12)</f>
        <v>0</v>
      </c>
      <c r="H259" s="13">
        <f>IF(הפחתה[[#This Row],[תאריך]]="",0,הפחתה[[#This Row],[ריבית]]+הפחתה[[#This Row],[קרן]]+הפחתה[[#This Row],[מדד]])</f>
        <v>3322.5635296558185</v>
      </c>
      <c r="I259" s="13">
        <f>IF(הפחתה[[#This Row],[תאריך]]="",0,הפחתה[[#This Row],[יתרת פתיחה]]-הפחתה[[#This Row],[קרן]]+הפחתה[[#This Row],[מדד]])</f>
        <v>277351.01595853962</v>
      </c>
      <c r="J259" s="11">
        <f>IF(הפחתה[[#This Row],[יתרת
סגירה]]&gt;0,LastRow-ROW(),0)</f>
        <v>104</v>
      </c>
      <c r="K259" s="11">
        <f>ROWS($K$4:K259)</f>
        <v>256</v>
      </c>
      <c r="L259" s="12">
        <f>IF(ValuesEntered2,IF(הפחתה5[[#This Row],[מס'']]&lt;=תקופת_ההלוואה2,IF(ROW()-ROW(הפחתה5[[#Headers],[תאריך]])=1,LoanStart2,IF(R258&gt;0,EDATE(L258,1),"")),""),"")</f>
        <v>53144</v>
      </c>
      <c r="M259" s="13">
        <f>IF(ROW()-ROW(הפחתה5[[#Headers],[יתרת פתיחה]])=1,סכום_הלוואה2,IF(הפחתה5[[#This Row],[תאריך]]="",0,INDEX(הפחתה5[], ROW()-4,8)))</f>
        <v>70083.83903291155</v>
      </c>
      <c r="N259" s="13">
        <f>IF(ValuesEntered2,IF(ROW()-ROW(הפחתה5[[#Headers],[ריבית]])=1,-IPMT(שיעור_ריבית2/12,1,תקופת_ההלוואה2-ROWS($L$4:L259)+1,הפחתה5[[#This Row],[יתרת פתיחה]]),IFERROR(-IPMT(שיעור_ריבית2/12,1,הפחתה5[[#This Row],[תשלומים
שנותרו]],M260),0)),0)</f>
        <v>268.90500981459826</v>
      </c>
      <c r="O259" s="13">
        <f>IFERROR(IF(AND(ValuesEntered2,הפחתה5[[#This Row],[תאריך]]&lt;&gt;""),-PPMT(שיעור_ריבית2/12,1,תקופת_ההלוואה2-ROWS($L$4:L259)+1,הפחתה5[[#This Row],[יתרת פתיחה]]),""),0)</f>
        <v>1427.2407823758224</v>
      </c>
      <c r="P259" s="13">
        <f>(הפחתה5[[#This Row],[יתרת פתיחה]])*(מדד2/12)</f>
        <v>0</v>
      </c>
      <c r="Q259" s="13">
        <f>IF(הפחתה5[[#This Row],[תאריך]]="",0,הפחתה5[[#This Row],[ריבית]]+הפחתה5[[#This Row],[קרן]]+הפחתה5[[#This Row],[מדד]])</f>
        <v>1696.1457921904207</v>
      </c>
      <c r="R259" s="13">
        <f>IF(הפחתה5[[#This Row],[תאריך]]="",0,הפחתה5[[#This Row],[יתרת פתיחה]]-הפחתה5[[#This Row],[קרן]]+הפחתה5[[#This Row],[מדד]])</f>
        <v>68656.598250535724</v>
      </c>
      <c r="S259" s="11">
        <f>IF(הפחתה5[[#This Row],[יתרת
סגירה]]&gt;0,LastRow2-ROW(),0)</f>
        <v>44</v>
      </c>
      <c r="T259" s="11">
        <f>ROWS($T$4:T259)</f>
        <v>256</v>
      </c>
      <c r="U259" s="12">
        <f ca="1">IF(ValuesEntered3,IF(הפחתה7[[#This Row],[מס'']]&lt;=תקופת_ההלוואה3,IF(ROW()-ROW(הפחתה7[[#Headers],[תאריך]])=1,LoanStart3,IF(AA258&gt;0,EDATE(U258,1),"")),""),"")</f>
        <v>53383</v>
      </c>
      <c r="V259" s="13">
        <f ca="1">IF(ROW()-ROW(הפחתה7[[#Headers],[יתרת פתיחה]])=1,סכום_הלוואה3,IF(הפחתה7[[#This Row],[תאריך]]="",0,INDEX(הפחתה7[], ROW()-4,8)))</f>
        <v>28968.832802631361</v>
      </c>
      <c r="W259" s="13">
        <f ca="1">IF(ValuesEntered3,IF(ROW()-ROW(הפחתה7[[#Headers],[ריבית]])=1,-IPMT(שיעור_ריבית3/12,1,תקופת_ההלוואה3-ROWS($C$4:U259)+1,הפחתה7[[#This Row],[יתרת פתיחה]]),IFERROR(-IPMT(שיעור_ריבית3/12,1,הפחתה7[[#This Row],[תשלומים
שנותרו]],V260),0)),0)</f>
        <v>54.433541813305567</v>
      </c>
      <c r="X259" s="13">
        <f ca="1">IFERROR(IF(AND(ValuesEntered3,הפחתה7[[#This Row],[תאריך]]&lt;&gt;""),-PPMT(שיעור_ריבית3/12,1,תקופת_ההלוואה3-ROWS($C$4:U259)+1,הפחתה7[[#This Row],[יתרת פתיחה]]),""),0)</f>
        <v>617.00541847632098</v>
      </c>
      <c r="Y259" s="13">
        <f ca="1">(הפחתה7[[#This Row],[יתרת פתיחה]])*(מדד3/12)</f>
        <v>48.281388004385605</v>
      </c>
      <c r="Z259" s="13">
        <f ca="1">IF(הפחתה7[[#This Row],[תאריך]]="",0,הפחתה7[[#This Row],[ריבית]]+הפחתה7[[#This Row],[קרן]]+הפחתה7[[#This Row],[מדד]])</f>
        <v>719.72034829401207</v>
      </c>
      <c r="AA259" s="13">
        <f ca="1">IF(הפחתה7[[#This Row],[תאריך]]="",0,הפחתה7[[#This Row],[יתרת פתיחה]]-הפחתה7[[#This Row],[קרן]]+הפחתה7[[#This Row],[מדד]])</f>
        <v>28400.108772159427</v>
      </c>
      <c r="AB259" s="11">
        <f ca="1">IF(הפחתה7[[#This Row],[יתרת
סגירה]]&gt;0,LastRow3-ROW(),0)</f>
        <v>44</v>
      </c>
      <c r="AC259" s="17">
        <f>ROWS($AC$4:AC259)</f>
        <v>256</v>
      </c>
      <c r="AD259" s="18" t="str">
        <f ca="1">IF(ValuesEntered4,IF(הפחתה8[[#This Row],[מס'']]&lt;=תקופת_ההלוואה4,IF(ROW()-ROW(הפחתה8[[#Headers],[תאריך]])=1,LoanStart4,IF(AJ258&gt;0,EDATE(AD258,1),"")),""),"")</f>
        <v/>
      </c>
      <c r="AE259" s="19">
        <f ca="1">IF(ROW()-ROW(הפחתה8[[#Headers],[יתרת פתיחה]])=1,סכום_הלוואה4,IF(הפחתה8[[#This Row],[תאריך]]="",0,INDEX(הפחתה8[], ROW()-4,8)))</f>
        <v>0</v>
      </c>
      <c r="AF259" s="19">
        <f ca="1">IF(ValuesEntered4,IF(ROW()-ROW(הפחתה8[[#Headers],[ריבית]])=1,-IPMT(שיעור_ריבית4/12,1,תקופת_ההלוואה4-ROWS($C$4:AD259)+1,הפחתה8[[#This Row],[יתרת פתיחה]]),IFERROR(-IPMT(שיעור_ריבית4/12,1,הפחתה8[[#This Row],[תשלומים
שנותרו]],AE260),0)),0)</f>
        <v>0</v>
      </c>
      <c r="AG259" s="19" t="str">
        <f ca="1">IFERROR(IF(AND(ValuesEntered4,הפחתה8[[#This Row],[תאריך]]&lt;&gt;""),-PPMT(שיעור_ריבית4/12,1,תקופת_ההלוואה4-ROWS($C$4:AD259)+1,הפחתה8[[#This Row],[יתרת פתיחה]]),""),0)</f>
        <v/>
      </c>
      <c r="AH259" s="19">
        <f ca="1">(הפחתה8[[#This Row],[יתרת פתיחה]])*(מדד4/12)</f>
        <v>0</v>
      </c>
      <c r="AI259" s="19">
        <f ca="1">IF(הפחתה8[[#This Row],[תאריך]]="",0,הפחתה8[[#This Row],[ריבית]]+הפחתה8[[#This Row],[קרן]]+הפחתה8[[#This Row],[מדד]])</f>
        <v>0</v>
      </c>
      <c r="AJ259" s="19">
        <f ca="1">IF(הפחתה8[[#This Row],[תאריך]]="",0,הפחתה8[[#This Row],[יתרת פתיחה]]-הפחתה8[[#This Row],[קרן]])</f>
        <v>0</v>
      </c>
      <c r="AK259" s="20">
        <f ca="1">IF(הפחתה8[[#This Row],[יתרת
סגירה]]&gt;0,LastRow4-ROW(),0)</f>
        <v>0</v>
      </c>
    </row>
    <row r="260" spans="1:37" ht="15" customHeight="1" x14ac:dyDescent="0.25">
      <c r="A260" s="8"/>
      <c r="B260" s="11">
        <f>ROWS($B$4:B260)</f>
        <v>257</v>
      </c>
      <c r="C260" s="12">
        <f>IF(ValuesEntered,IF(הפחתה[[#This Row],[מס'']]&lt;=תקופת_ההלוואה,IF(ROW()-ROW(הפחתה[[#Headers],[תאריך]])=1,LoanStart,IF(I259&gt;0,EDATE(C259,1),"")),""),"")</f>
        <v>53175</v>
      </c>
      <c r="D260" s="13">
        <f>IF(ROW()-ROW(הפחתה[[#Headers],[יתרת פתיחה]])=1,סכום_הלוואה,IF(הפחתה[[#This Row],[תאריך]]="",0,INDEX(הפחתה[], ROW()-4,8)))</f>
        <v>277351.01595853962</v>
      </c>
      <c r="E260" s="13">
        <f>IF(ValuesEntered,IF(ROW()-ROW(הפחתה[[#Headers],[ריבית]])=1,-IPMT(שיעור_ריבית/12,1,תקופת_ההלוואה-ROWS($C$4:C260)+1,הפחתה[[#This Row],[יתרת פתיחה]]),IFERROR(-IPMT(שיעור_ריבית/12,1,הפחתה[[#This Row],[תשלומים
שנותרו]],D261),0)),0)</f>
        <v>1215.6616847215955</v>
      </c>
      <c r="F260" s="13">
        <f>IFERROR(IF(AND(ValuesEntered,הפחתה[[#This Row],[תאריך]]&lt;&gt;""),-PPMT(שיעור_ריבית/12,1,תקופת_ההלוואה-ROWS($C$4:C260)+1,הפחתה[[#This Row],[יתרת פתיחה]]),""),0)</f>
        <v>2106.8609272350013</v>
      </c>
      <c r="G260" s="13">
        <f>(הפחתה[[#This Row],[יתרת פתיחה]])*(מדד/12)</f>
        <v>0</v>
      </c>
      <c r="H260" s="13">
        <f>IF(הפחתה[[#This Row],[תאריך]]="",0,הפחתה[[#This Row],[ריבית]]+הפחתה[[#This Row],[קרן]]+הפחתה[[#This Row],[מדד]])</f>
        <v>3322.5226119565968</v>
      </c>
      <c r="I260" s="13">
        <f>IF(הפחתה[[#This Row],[תאריך]]="",0,הפחתה[[#This Row],[יתרת פתיחה]]-הפחתה[[#This Row],[קרן]]+הפחתה[[#This Row],[מדד]])</f>
        <v>275244.15503130463</v>
      </c>
      <c r="J260" s="11">
        <f>IF(הפחתה[[#This Row],[יתרת
סגירה]]&gt;0,LastRow-ROW(),0)</f>
        <v>103</v>
      </c>
      <c r="K260" s="11">
        <f>ROWS($K$4:K260)</f>
        <v>257</v>
      </c>
      <c r="L260" s="12">
        <f>IF(ValuesEntered2,IF(הפחתה5[[#This Row],[מס'']]&lt;=תקופת_ההלוואה2,IF(ROW()-ROW(הפחתה5[[#Headers],[תאריך]])=1,LoanStart2,IF(R259&gt;0,EDATE(L259,1),"")),""),"")</f>
        <v>53175</v>
      </c>
      <c r="M260" s="13">
        <f>IF(ROW()-ROW(הפחתה5[[#Headers],[יתרת פתיחה]])=1,סכום_הלוואה2,IF(הפחתה5[[#This Row],[תאריך]]="",0,INDEX(הפחתה5[], ROW()-4,8)))</f>
        <v>68656.598250535724</v>
      </c>
      <c r="N260" s="13">
        <f>IF(ValuesEntered2,IF(ROW()-ROW(הפחתה5[[#Headers],[ריבית]])=1,-IPMT(שיעור_ריבית2/12,1,תקופת_ההלוואה2-ROWS($L$4:L260)+1,הפחתה5[[#This Row],[יתרת פתיחה]]),IFERROR(-IPMT(שיעור_ריבית2/12,1,הפחתה5[[#This Row],[תשלומים
שנותרו]],M261),0)),0)</f>
        <v>263.29308914690216</v>
      </c>
      <c r="O260" s="13">
        <f>IFERROR(IF(AND(ValuesEntered2,הפחתה5[[#This Row],[תאריך]]&lt;&gt;""),-PPMT(שיעור_ריבית2/12,1,תקופת_ההלוואה2-ROWS($L$4:L260)+1,הפחתה5[[#This Row],[יתרת פתיחה]]),""),0)</f>
        <v>1432.8308087734606</v>
      </c>
      <c r="P260" s="13">
        <f>(הפחתה5[[#This Row],[יתרת פתיחה]])*(מדד2/12)</f>
        <v>0</v>
      </c>
      <c r="Q260" s="13">
        <f>IF(הפחתה5[[#This Row],[תאריך]]="",0,הפחתה5[[#This Row],[ריבית]]+הפחתה5[[#This Row],[קרן]]+הפחתה5[[#This Row],[מדד]])</f>
        <v>1696.1238979203627</v>
      </c>
      <c r="R260" s="13">
        <f>IF(הפחתה5[[#This Row],[תאריך]]="",0,הפחתה5[[#This Row],[יתרת פתיחה]]-הפחתה5[[#This Row],[קרן]]+הפחתה5[[#This Row],[מדד]])</f>
        <v>67223.767441762262</v>
      </c>
      <c r="S260" s="11">
        <f>IF(הפחתה5[[#This Row],[יתרת
סגירה]]&gt;0,LastRow2-ROW(),0)</f>
        <v>43</v>
      </c>
      <c r="T260" s="11">
        <f>ROWS($T$4:T260)</f>
        <v>257</v>
      </c>
      <c r="U260" s="12">
        <f ca="1">IF(ValuesEntered3,IF(הפחתה7[[#This Row],[מס'']]&lt;=תקופת_ההלוואה3,IF(ROW()-ROW(הפחתה7[[#Headers],[תאריך]])=1,LoanStart3,IF(AA259&gt;0,EDATE(U259,1),"")),""),"")</f>
        <v>53411</v>
      </c>
      <c r="V260" s="13">
        <f ca="1">IF(ROW()-ROW(הפחתה7[[#Headers],[יתרת פתיחה]])=1,סכום_הלוואה3,IF(הפחתה7[[#This Row],[תאריך]]="",0,INDEX(הפחתה7[], ROW()-4,8)))</f>
        <v>28400.108772159427</v>
      </c>
      <c r="W260" s="13">
        <f ca="1">IF(ValuesEntered3,IF(ROW()-ROW(הפחתה7[[#Headers],[ריבית]])=1,-IPMT(שיעור_ריבית3/12,1,תקופת_ההלוואה3-ROWS($C$4:U260)+1,הפחתה7[[#This Row],[יתרת פתיחה]]),IFERROR(-IPMT(שיעור_ריבית3/12,1,הפחתה7[[#This Row],[תשלומים
שנותרו]],V261),0)),0)</f>
        <v>53.337386283238821</v>
      </c>
      <c r="X260" s="13">
        <f ca="1">IFERROR(IF(AND(ValuesEntered3,הפחתה7[[#This Row],[תאריך]]&lt;&gt;""),-PPMT(שיעור_ריבית3/12,1,תקופת_ההלוואה3-ROWS($C$4:U260)+1,הפחתה7[[#This Row],[יתרת פתיחה]]),""),0)</f>
        <v>619.24074769856907</v>
      </c>
      <c r="Y260" s="13">
        <f ca="1">(הפחתה7[[#This Row],[יתרת פתיחה]])*(מדד3/12)</f>
        <v>47.333514620265717</v>
      </c>
      <c r="Z260" s="13">
        <f ca="1">IF(הפחתה7[[#This Row],[תאריך]]="",0,הפחתה7[[#This Row],[ריבית]]+הפחתה7[[#This Row],[קרן]]+הפחתה7[[#This Row],[מדד]])</f>
        <v>719.91164860207368</v>
      </c>
      <c r="AA260" s="13">
        <f ca="1">IF(הפחתה7[[#This Row],[תאריך]]="",0,הפחתה7[[#This Row],[יתרת פתיחה]]-הפחתה7[[#This Row],[קרן]]+הפחתה7[[#This Row],[מדד]])</f>
        <v>27828.201539081125</v>
      </c>
      <c r="AB260" s="11">
        <f ca="1">IF(הפחתה7[[#This Row],[יתרת
סגירה]]&gt;0,LastRow3-ROW(),0)</f>
        <v>43</v>
      </c>
      <c r="AC260" s="17">
        <f>ROWS($AC$4:AC260)</f>
        <v>257</v>
      </c>
      <c r="AD260" s="18" t="str">
        <f ca="1">IF(ValuesEntered4,IF(הפחתה8[[#This Row],[מס'']]&lt;=תקופת_ההלוואה4,IF(ROW()-ROW(הפחתה8[[#Headers],[תאריך]])=1,LoanStart4,IF(AJ259&gt;0,EDATE(AD259,1),"")),""),"")</f>
        <v/>
      </c>
      <c r="AE260" s="19">
        <f ca="1">IF(ROW()-ROW(הפחתה8[[#Headers],[יתרת פתיחה]])=1,סכום_הלוואה4,IF(הפחתה8[[#This Row],[תאריך]]="",0,INDEX(הפחתה8[], ROW()-4,8)))</f>
        <v>0</v>
      </c>
      <c r="AF260" s="19">
        <f ca="1">IF(ValuesEntered4,IF(ROW()-ROW(הפחתה8[[#Headers],[ריבית]])=1,-IPMT(שיעור_ריבית4/12,1,תקופת_ההלוואה4-ROWS($C$4:AD260)+1,הפחתה8[[#This Row],[יתרת פתיחה]]),IFERROR(-IPMT(שיעור_ריבית4/12,1,הפחתה8[[#This Row],[תשלומים
שנותרו]],AE261),0)),0)</f>
        <v>0</v>
      </c>
      <c r="AG260" s="19" t="str">
        <f ca="1">IFERROR(IF(AND(ValuesEntered4,הפחתה8[[#This Row],[תאריך]]&lt;&gt;""),-PPMT(שיעור_ריבית4/12,1,תקופת_ההלוואה4-ROWS($C$4:AD260)+1,הפחתה8[[#This Row],[יתרת פתיחה]]),""),0)</f>
        <v/>
      </c>
      <c r="AH260" s="19">
        <f ca="1">(הפחתה8[[#This Row],[יתרת פתיחה]])*(מדד4/12)</f>
        <v>0</v>
      </c>
      <c r="AI260" s="19">
        <f ca="1">IF(הפחתה8[[#This Row],[תאריך]]="",0,הפחתה8[[#This Row],[ריבית]]+הפחתה8[[#This Row],[קרן]]+הפחתה8[[#This Row],[מדד]])</f>
        <v>0</v>
      </c>
      <c r="AJ260" s="19">
        <f ca="1">IF(הפחתה8[[#This Row],[תאריך]]="",0,הפחתה8[[#This Row],[יתרת פתיחה]]-הפחתה8[[#This Row],[קרן]])</f>
        <v>0</v>
      </c>
      <c r="AK260" s="20">
        <f ca="1">IF(הפחתה8[[#This Row],[יתרת
סגירה]]&gt;0,LastRow4-ROW(),0)</f>
        <v>0</v>
      </c>
    </row>
    <row r="261" spans="1:37" ht="15" customHeight="1" x14ac:dyDescent="0.25">
      <c r="A261" s="8"/>
      <c r="B261" s="11">
        <f>ROWS($B$4:B261)</f>
        <v>258</v>
      </c>
      <c r="C261" s="12">
        <f>IF(ValuesEntered,IF(הפחתה[[#This Row],[מס'']]&lt;=תקופת_ההלוואה,IF(ROW()-ROW(הפחתה[[#Headers],[תאריך]])=1,LoanStart,IF(I260&gt;0,EDATE(C260,1),"")),""),"")</f>
        <v>53206</v>
      </c>
      <c r="D261" s="13">
        <f>IF(ROW()-ROW(הפחתה[[#Headers],[יתרת פתיחה]])=1,סכום_הלוואה,IF(הפחתה[[#This Row],[תאריך]]="",0,INDEX(הפחתה[], ROW()-4,8)))</f>
        <v>275244.15503130463</v>
      </c>
      <c r="E261" s="13">
        <f>IF(ValuesEntered,IF(ROW()-ROW(הפחתה[[#Headers],[ריבית]])=1,-IPMT(שיעור_ריבית/12,1,תקופת_ההלוואה-ROWS($C$4:C261)+1,הפחתה[[#This Row],[יתרת פתיחה]]),IFERROR(-IPMT(שיעור_ריבית/12,1,הפחתה[[#This Row],[תשלומים
שנותרו]],D262),0)),0)</f>
        <v>1206.3152838739145</v>
      </c>
      <c r="F261" s="13">
        <f>IFERROR(IF(AND(ValuesEntered,הפחתה[[#This Row],[תאריך]]&lt;&gt;""),-PPMT(שיעור_ריבית/12,1,תקופת_ההלוואה-ROWS($C$4:C261)+1,הפחתה[[#This Row],[יתרת פתיחה]]),""),0)</f>
        <v>2116.1662296636227</v>
      </c>
      <c r="G261" s="13">
        <f>(הפחתה[[#This Row],[יתרת פתיחה]])*(מדד/12)</f>
        <v>0</v>
      </c>
      <c r="H261" s="13">
        <f>IF(הפחתה[[#This Row],[תאריך]]="",0,הפחתה[[#This Row],[ריבית]]+הפחתה[[#This Row],[קרן]]+הפחתה[[#This Row],[מדד]])</f>
        <v>3322.4815135375375</v>
      </c>
      <c r="I261" s="13">
        <f>IF(הפחתה[[#This Row],[תאריך]]="",0,הפחתה[[#This Row],[יתרת פתיחה]]-הפחתה[[#This Row],[קרן]]+הפחתה[[#This Row],[מדד]])</f>
        <v>273127.98880164098</v>
      </c>
      <c r="J261" s="11">
        <f>IF(הפחתה[[#This Row],[יתרת
סגירה]]&gt;0,LastRow-ROW(),0)</f>
        <v>102</v>
      </c>
      <c r="K261" s="11">
        <f>ROWS($K$4:K261)</f>
        <v>258</v>
      </c>
      <c r="L261" s="12">
        <f>IF(ValuesEntered2,IF(הפחתה5[[#This Row],[מס'']]&lt;=תקופת_ההלוואה2,IF(ROW()-ROW(הפחתה5[[#Headers],[תאריך]])=1,LoanStart2,IF(R260&gt;0,EDATE(L260,1),"")),""),"")</f>
        <v>53206</v>
      </c>
      <c r="M261" s="13">
        <f>IF(ROW()-ROW(הפחתה5[[#Headers],[יתרת פתיחה]])=1,סכום_הלוואה2,IF(הפחתה5[[#This Row],[תאריך]]="",0,INDEX(הפחתה5[], ROW()-4,8)))</f>
        <v>67223.767441762262</v>
      </c>
      <c r="N261" s="13">
        <f>IF(ValuesEntered2,IF(ROW()-ROW(הפחתה5[[#Headers],[ריבית]])=1,-IPMT(שיעור_ריבית2/12,1,תקופת_ההלוואה2-ROWS($L$4:L261)+1,הפחתה5[[#This Row],[יתרת פתיחה]]),IFERROR(-IPMT(שיעור_ריבית2/12,1,הפחתה5[[#This Row],[תשלומים
שנותרו]],M262),0)),0)</f>
        <v>257.65918845659098</v>
      </c>
      <c r="O261" s="13">
        <f>IFERROR(IF(AND(ValuesEntered2,הפחתה5[[#This Row],[תאריך]]&lt;&gt;""),-PPMT(שיעור_ריבית2/12,1,תקופת_ההלוואה2-ROWS($L$4:L261)+1,הפחתה5[[#This Row],[יתרת פתיחה]]),""),0)</f>
        <v>1438.4427294411569</v>
      </c>
      <c r="P261" s="13">
        <f>(הפחתה5[[#This Row],[יתרת פתיחה]])*(מדד2/12)</f>
        <v>0</v>
      </c>
      <c r="Q261" s="13">
        <f>IF(הפחתה5[[#This Row],[תאריך]]="",0,הפחתה5[[#This Row],[ריבית]]+הפחתה5[[#This Row],[קרן]]+הפחתה5[[#This Row],[מדד]])</f>
        <v>1696.1019178977479</v>
      </c>
      <c r="R261" s="13">
        <f>IF(הפחתה5[[#This Row],[תאריך]]="",0,הפחתה5[[#This Row],[יתרת פתיחה]]-הפחתה5[[#This Row],[קרן]]+הפחתה5[[#This Row],[מדד]])</f>
        <v>65785.324712321104</v>
      </c>
      <c r="S261" s="11">
        <f>IF(הפחתה5[[#This Row],[יתרת
סגירה]]&gt;0,LastRow2-ROW(),0)</f>
        <v>42</v>
      </c>
      <c r="T261" s="11">
        <f>ROWS($T$4:T261)</f>
        <v>258</v>
      </c>
      <c r="U261" s="12">
        <f ca="1">IF(ValuesEntered3,IF(הפחתה7[[#This Row],[מס'']]&lt;=תקופת_ההלוואה3,IF(ROW()-ROW(הפחתה7[[#Headers],[תאריך]])=1,LoanStart3,IF(AA260&gt;0,EDATE(U260,1),"")),""),"")</f>
        <v>53442</v>
      </c>
      <c r="V261" s="13">
        <f ca="1">IF(ROW()-ROW(הפחתה7[[#Headers],[יתרת פתיחה]])=1,סכום_הלוואה3,IF(הפחתה7[[#This Row],[תאריך]]="",0,INDEX(הפחתה7[], ROW()-4,8)))</f>
        <v>27828.201539081125</v>
      </c>
      <c r="W261" s="13">
        <f ca="1">IF(ValuesEntered3,IF(ROW()-ROW(הפחתה7[[#Headers],[ריבית]])=1,-IPMT(שיעור_ריבית3/12,1,תקופת_ההלוואה3-ROWS($C$4:U261)+1,הפחתה7[[#This Row],[יתרת פתיחה]]),IFERROR(-IPMT(שיעור_ריבית3/12,1,הפחתה7[[#This Row],[תשלומים
שנותרו]],V262),0)),0)</f>
        <v>52.235102878612011</v>
      </c>
      <c r="X261" s="13">
        <f ca="1">IFERROR(IF(AND(ValuesEntered3,הפחתה7[[#This Row],[תאריך]]&lt;&gt;""),-PPMT(שיעור_ריבית3/12,1,תקופת_ההלוואה3-ROWS($C$4:U261)+1,הפחתה7[[#This Row],[יתרת פתיחה]]),""),0)</f>
        <v>621.48472092115128</v>
      </c>
      <c r="Y261" s="13">
        <f ca="1">(הפחתה7[[#This Row],[יתרת פתיחה]])*(מדד3/12)</f>
        <v>46.380335898468545</v>
      </c>
      <c r="Z261" s="13">
        <f ca="1">IF(הפחתה7[[#This Row],[תאריך]]="",0,הפחתה7[[#This Row],[ריבית]]+הפחתה7[[#This Row],[קרן]]+הפחתה7[[#This Row],[מדד]])</f>
        <v>720.10015969823178</v>
      </c>
      <c r="AA261" s="13">
        <f ca="1">IF(הפחתה7[[#This Row],[תאריך]]="",0,הפחתה7[[#This Row],[יתרת פתיחה]]-הפחתה7[[#This Row],[קרן]]+הפחתה7[[#This Row],[מדד]])</f>
        <v>27253.097154058443</v>
      </c>
      <c r="AB261" s="11">
        <f ca="1">IF(הפחתה7[[#This Row],[יתרת
סגירה]]&gt;0,LastRow3-ROW(),0)</f>
        <v>42</v>
      </c>
      <c r="AC261" s="17">
        <f>ROWS($AC$4:AC261)</f>
        <v>258</v>
      </c>
      <c r="AD261" s="18" t="str">
        <f ca="1">IF(ValuesEntered4,IF(הפחתה8[[#This Row],[מס'']]&lt;=תקופת_ההלוואה4,IF(ROW()-ROW(הפחתה8[[#Headers],[תאריך]])=1,LoanStart4,IF(AJ260&gt;0,EDATE(AD260,1),"")),""),"")</f>
        <v/>
      </c>
      <c r="AE261" s="19">
        <f ca="1">IF(ROW()-ROW(הפחתה8[[#Headers],[יתרת פתיחה]])=1,סכום_הלוואה4,IF(הפחתה8[[#This Row],[תאריך]]="",0,INDEX(הפחתה8[], ROW()-4,8)))</f>
        <v>0</v>
      </c>
      <c r="AF261" s="19">
        <f ca="1">IF(ValuesEntered4,IF(ROW()-ROW(הפחתה8[[#Headers],[ריבית]])=1,-IPMT(שיעור_ריבית4/12,1,תקופת_ההלוואה4-ROWS($C$4:AD261)+1,הפחתה8[[#This Row],[יתרת פתיחה]]),IFERROR(-IPMT(שיעור_ריבית4/12,1,הפחתה8[[#This Row],[תשלומים
שנותרו]],AE262),0)),0)</f>
        <v>0</v>
      </c>
      <c r="AG261" s="19" t="str">
        <f ca="1">IFERROR(IF(AND(ValuesEntered4,הפחתה8[[#This Row],[תאריך]]&lt;&gt;""),-PPMT(שיעור_ריבית4/12,1,תקופת_ההלוואה4-ROWS($C$4:AD261)+1,הפחתה8[[#This Row],[יתרת פתיחה]]),""),0)</f>
        <v/>
      </c>
      <c r="AH261" s="19">
        <f ca="1">(הפחתה8[[#This Row],[יתרת פתיחה]])*(מדד4/12)</f>
        <v>0</v>
      </c>
      <c r="AI261" s="19">
        <f ca="1">IF(הפחתה8[[#This Row],[תאריך]]="",0,הפחתה8[[#This Row],[ריבית]]+הפחתה8[[#This Row],[קרן]]+הפחתה8[[#This Row],[מדד]])</f>
        <v>0</v>
      </c>
      <c r="AJ261" s="19">
        <f ca="1">IF(הפחתה8[[#This Row],[תאריך]]="",0,הפחתה8[[#This Row],[יתרת פתיחה]]-הפחתה8[[#This Row],[קרן]])</f>
        <v>0</v>
      </c>
      <c r="AK261" s="20">
        <f ca="1">IF(הפחתה8[[#This Row],[יתרת
סגירה]]&gt;0,LastRow4-ROW(),0)</f>
        <v>0</v>
      </c>
    </row>
    <row r="262" spans="1:37" ht="15" customHeight="1" x14ac:dyDescent="0.25">
      <c r="A262" s="8"/>
      <c r="B262" s="11">
        <f>ROWS($B$4:B262)</f>
        <v>259</v>
      </c>
      <c r="C262" s="12">
        <f>IF(ValuesEntered,IF(הפחתה[[#This Row],[מס'']]&lt;=תקופת_ההלוואה,IF(ROW()-ROW(הפחתה[[#Headers],[תאריך]])=1,LoanStart,IF(I261&gt;0,EDATE(C261,1),"")),""),"")</f>
        <v>53236</v>
      </c>
      <c r="D262" s="13">
        <f>IF(ROW()-ROW(הפחתה[[#Headers],[יתרת פתיחה]])=1,סכום_הלוואה,IF(הפחתה[[#This Row],[תאריך]]="",0,INDEX(הפחתה[], ROW()-4,8)))</f>
        <v>273127.98880164098</v>
      </c>
      <c r="E262" s="13">
        <f>IF(ValuesEntered,IF(ROW()-ROW(הפחתה[[#Headers],[ריבית]])=1,-IPMT(שיעור_ריבית/12,1,תקופת_ההלוואה-ROWS($C$4:C262)+1,הפחתה[[#This Row],[יתרת פתיחה]]),IFERROR(-IPMT(שיעור_ריבית/12,1,הפחתה[[#This Row],[תשלומים
שנותרו]],D263),0)),0)</f>
        <v>1196.927603089156</v>
      </c>
      <c r="F262" s="13">
        <f>IFERROR(IF(AND(ValuesEntered,הפחתה[[#This Row],[תאריך]]&lt;&gt;""),-PPMT(שיעור_ריבית/12,1,תקופת_ההלוואה-ROWS($C$4:C262)+1,הפחתה[[#This Row],[יתרת פתיחה]]),""),0)</f>
        <v>2125.5126305113035</v>
      </c>
      <c r="G262" s="13">
        <f>(הפחתה[[#This Row],[יתרת פתיחה]])*(מדד/12)</f>
        <v>0</v>
      </c>
      <c r="H262" s="13">
        <f>IF(הפחתה[[#This Row],[תאריך]]="",0,הפחתה[[#This Row],[ריבית]]+הפחתה[[#This Row],[קרן]]+הפחתה[[#This Row],[מדד]])</f>
        <v>3322.4402336004596</v>
      </c>
      <c r="I262" s="13">
        <f>IF(הפחתה[[#This Row],[תאריך]]="",0,הפחתה[[#This Row],[יתרת פתיחה]]-הפחתה[[#This Row],[קרן]]+הפחתה[[#This Row],[מדד]])</f>
        <v>271002.47617112967</v>
      </c>
      <c r="J262" s="11">
        <f>IF(הפחתה[[#This Row],[יתרת
סגירה]]&gt;0,LastRow-ROW(),0)</f>
        <v>101</v>
      </c>
      <c r="K262" s="11">
        <f>ROWS($K$4:K262)</f>
        <v>259</v>
      </c>
      <c r="L262" s="12">
        <f>IF(ValuesEntered2,IF(הפחתה5[[#This Row],[מס'']]&lt;=תקופת_ההלוואה2,IF(ROW()-ROW(הפחתה5[[#Headers],[תאריך]])=1,LoanStart2,IF(R261&gt;0,EDATE(L261,1),"")),""),"")</f>
        <v>53236</v>
      </c>
      <c r="M262" s="13">
        <f>IF(ROW()-ROW(הפחתה5[[#Headers],[יתרת פתיחה]])=1,סכום_הלוואה2,IF(הפחתה5[[#This Row],[תאריך]]="",0,INDEX(הפחתה5[], ROW()-4,8)))</f>
        <v>65785.324712321104</v>
      </c>
      <c r="N262" s="13">
        <f>IF(ValuesEntered2,IF(ROW()-ROW(הפחתה5[[#Headers],[ריבית]])=1,-IPMT(שיעור_ריבית2/12,1,תקופת_ההלוואה2-ROWS($L$4:L262)+1,הפחתה5[[#This Row],[יתרת פתיחה]]),IFERROR(-IPMT(שיעור_ריבית2/12,1,הפחתה5[[#This Row],[תשלומים
שנותרו]],M263),0)),0)</f>
        <v>252.00322165524273</v>
      </c>
      <c r="O262" s="13">
        <f>IFERROR(IF(AND(ValuesEntered2,הפחתה5[[#This Row],[תאריך]]&lt;&gt;""),-PPMT(שיעור_ריבית2/12,1,תקופת_ההלוואה2-ROWS($L$4:L262)+1,הפחתה5[[#This Row],[יתרת פתיחה]]),""),0)</f>
        <v>1444.0766301314679</v>
      </c>
      <c r="P262" s="13">
        <f>(הפחתה5[[#This Row],[יתרת פתיחה]])*(מדד2/12)</f>
        <v>0</v>
      </c>
      <c r="Q262" s="13">
        <f>IF(הפחתה5[[#This Row],[תאריך]]="",0,הפחתה5[[#This Row],[ריבית]]+הפחתה5[[#This Row],[קרן]]+הפחתה5[[#This Row],[מדד]])</f>
        <v>1696.0798517867106</v>
      </c>
      <c r="R262" s="13">
        <f>IF(הפחתה5[[#This Row],[תאריך]]="",0,הפחתה5[[#This Row],[יתרת פתיחה]]-הפחתה5[[#This Row],[קרן]]+הפחתה5[[#This Row],[מדד]])</f>
        <v>64341.248082189639</v>
      </c>
      <c r="S262" s="11">
        <f>IF(הפחתה5[[#This Row],[יתרת
סגירה]]&gt;0,LastRow2-ROW(),0)</f>
        <v>41</v>
      </c>
      <c r="T262" s="11">
        <f>ROWS($T$4:T262)</f>
        <v>259</v>
      </c>
      <c r="U262" s="12">
        <f ca="1">IF(ValuesEntered3,IF(הפחתה7[[#This Row],[מס'']]&lt;=תקופת_ההלוואה3,IF(ROW()-ROW(הפחתה7[[#Headers],[תאריך]])=1,LoanStart3,IF(AA261&gt;0,EDATE(U261,1),"")),""),"")</f>
        <v>53472</v>
      </c>
      <c r="V262" s="13">
        <f ca="1">IF(ROW()-ROW(הפחתה7[[#Headers],[יתרת פתיחה]])=1,סכום_הלוואה3,IF(הפחתה7[[#This Row],[תאריך]]="",0,INDEX(הפחתה7[], ROW()-4,8)))</f>
        <v>27253.097154058443</v>
      </c>
      <c r="W262" s="13">
        <f ca="1">IF(ValuesEntered3,IF(ROW()-ROW(הפחתה7[[#Headers],[ריבית]])=1,-IPMT(שיעור_ריבית3/12,1,תקופת_ההלוואה3-ROWS($C$4:U262)+1,הפחתה7[[#This Row],[יתרת פתיחה]]),IFERROR(-IPMT(שיעור_ריבית3/12,1,הפחתה7[[#This Row],[תשלומים
שנותרו]],V263),0)),0)</f>
        <v>51.126664701015684</v>
      </c>
      <c r="X262" s="13">
        <f ca="1">IFERROR(IF(AND(ValuesEntered3,הפחתה7[[#This Row],[תאריך]]&lt;&gt;""),-PPMT(שיעור_ריבית3/12,1,תקופת_ההלוואה3-ROWS($C$4:U262)+1,הפחתה7[[#This Row],[יתרת פתיחה]]),""),0)</f>
        <v>623.73739950991705</v>
      </c>
      <c r="Y262" s="13">
        <f ca="1">(הפחתה7[[#This Row],[יתרת פתיחה]])*(מדד3/12)</f>
        <v>45.421828590097405</v>
      </c>
      <c r="Z262" s="13">
        <f ca="1">IF(הפחתה7[[#This Row],[תאריך]]="",0,הפחתה7[[#This Row],[ריבית]]+הפחתה7[[#This Row],[קרן]]+הפחתה7[[#This Row],[מדד]])</f>
        <v>720.28589280103017</v>
      </c>
      <c r="AA262" s="13">
        <f ca="1">IF(הפחתה7[[#This Row],[תאריך]]="",0,הפחתה7[[#This Row],[יתרת פתיחה]]-הפחתה7[[#This Row],[קרן]]+הפחתה7[[#This Row],[מדד]])</f>
        <v>26674.781583138621</v>
      </c>
      <c r="AB262" s="11">
        <f ca="1">IF(הפחתה7[[#This Row],[יתרת
סגירה]]&gt;0,LastRow3-ROW(),0)</f>
        <v>41</v>
      </c>
      <c r="AC262" s="17">
        <f>ROWS($AC$4:AC262)</f>
        <v>259</v>
      </c>
      <c r="AD262" s="18" t="str">
        <f ca="1">IF(ValuesEntered4,IF(הפחתה8[[#This Row],[מס'']]&lt;=תקופת_ההלוואה4,IF(ROW()-ROW(הפחתה8[[#Headers],[תאריך]])=1,LoanStart4,IF(AJ261&gt;0,EDATE(AD261,1),"")),""),"")</f>
        <v/>
      </c>
      <c r="AE262" s="19">
        <f ca="1">IF(ROW()-ROW(הפחתה8[[#Headers],[יתרת פתיחה]])=1,סכום_הלוואה4,IF(הפחתה8[[#This Row],[תאריך]]="",0,INDEX(הפחתה8[], ROW()-4,8)))</f>
        <v>0</v>
      </c>
      <c r="AF262" s="19">
        <f ca="1">IF(ValuesEntered4,IF(ROW()-ROW(הפחתה8[[#Headers],[ריבית]])=1,-IPMT(שיעור_ריבית4/12,1,תקופת_ההלוואה4-ROWS($C$4:AD262)+1,הפחתה8[[#This Row],[יתרת פתיחה]]),IFERROR(-IPMT(שיעור_ריבית4/12,1,הפחתה8[[#This Row],[תשלומים
שנותרו]],AE263),0)),0)</f>
        <v>0</v>
      </c>
      <c r="AG262" s="19" t="str">
        <f ca="1">IFERROR(IF(AND(ValuesEntered4,הפחתה8[[#This Row],[תאריך]]&lt;&gt;""),-PPMT(שיעור_ריבית4/12,1,תקופת_ההלוואה4-ROWS($C$4:AD262)+1,הפחתה8[[#This Row],[יתרת פתיחה]]),""),0)</f>
        <v/>
      </c>
      <c r="AH262" s="19">
        <f ca="1">(הפחתה8[[#This Row],[יתרת פתיחה]])*(מדד4/12)</f>
        <v>0</v>
      </c>
      <c r="AI262" s="19">
        <f ca="1">IF(הפחתה8[[#This Row],[תאריך]]="",0,הפחתה8[[#This Row],[ריבית]]+הפחתה8[[#This Row],[קרן]]+הפחתה8[[#This Row],[מדד]])</f>
        <v>0</v>
      </c>
      <c r="AJ262" s="19">
        <f ca="1">IF(הפחתה8[[#This Row],[תאריך]]="",0,הפחתה8[[#This Row],[יתרת פתיחה]]-הפחתה8[[#This Row],[קרן]])</f>
        <v>0</v>
      </c>
      <c r="AK262" s="20">
        <f ca="1">IF(הפחתה8[[#This Row],[יתרת
סגירה]]&gt;0,LastRow4-ROW(),0)</f>
        <v>0</v>
      </c>
    </row>
    <row r="263" spans="1:37" ht="15" customHeight="1" x14ac:dyDescent="0.25">
      <c r="A263" s="8"/>
      <c r="B263" s="11">
        <f>ROWS($B$4:B263)</f>
        <v>260</v>
      </c>
      <c r="C263" s="12">
        <f>IF(ValuesEntered,IF(הפחתה[[#This Row],[מס'']]&lt;=תקופת_ההלוואה,IF(ROW()-ROW(הפחתה[[#Headers],[תאריך]])=1,LoanStart,IF(I262&gt;0,EDATE(C262,1),"")),""),"")</f>
        <v>53267</v>
      </c>
      <c r="D263" s="13">
        <f>IF(ROW()-ROW(הפחתה[[#Headers],[יתרת פתיחה]])=1,סכום_הלוואה,IF(הפחתה[[#This Row],[תאריך]]="",0,INDEX(הפחתה[], ROW()-4,8)))</f>
        <v>271002.47617112967</v>
      </c>
      <c r="E263" s="13">
        <f>IF(ValuesEntered,IF(ROW()-ROW(הפחתה[[#Headers],[ריבית]])=1,-IPMT(שיעור_ריבית/12,1,תקופת_ההלוואה-ROWS($C$4:C263)+1,הפחתה[[#This Row],[יתרת פתיחה]]),IFERROR(-IPMT(שיעור_ריבית/12,1,הפחתה[[#This Row],[תשלומים
שנותרו]],D264),0)),0)</f>
        <v>1187.4984600475987</v>
      </c>
      <c r="F263" s="13">
        <f>IFERROR(IF(AND(ValuesEntered,הפחתה[[#This Row],[תאריך]]&lt;&gt;""),-PPMT(שיעור_ריבית/12,1,תקופת_ההלוואה-ROWS($C$4:C263)+1,הפחתה[[#This Row],[יתרת פתיחה]]),""),0)</f>
        <v>2134.9003112960613</v>
      </c>
      <c r="G263" s="13">
        <f>(הפחתה[[#This Row],[יתרת פתיחה]])*(מדד/12)</f>
        <v>0</v>
      </c>
      <c r="H263" s="13">
        <f>IF(הפחתה[[#This Row],[תאריך]]="",0,הפחתה[[#This Row],[ריבית]]+הפחתה[[#This Row],[קרן]]+הפחתה[[#This Row],[מדד]])</f>
        <v>3322.39877134366</v>
      </c>
      <c r="I263" s="13">
        <f>IF(הפחתה[[#This Row],[תאריך]]="",0,הפחתה[[#This Row],[יתרת פתיחה]]-הפחתה[[#This Row],[קרן]]+הפחתה[[#This Row],[מדד]])</f>
        <v>268867.57585983363</v>
      </c>
      <c r="J263" s="11">
        <f>IF(הפחתה[[#This Row],[יתרת
סגירה]]&gt;0,LastRow-ROW(),0)</f>
        <v>100</v>
      </c>
      <c r="K263" s="11">
        <f>ROWS($K$4:K263)</f>
        <v>260</v>
      </c>
      <c r="L263" s="12">
        <f>IF(ValuesEntered2,IF(הפחתה5[[#This Row],[מס'']]&lt;=תקופת_ההלוואה2,IF(ROW()-ROW(הפחתה5[[#Headers],[תאריך]])=1,LoanStart2,IF(R262&gt;0,EDATE(L262,1),"")),""),"")</f>
        <v>53267</v>
      </c>
      <c r="M263" s="13">
        <f>IF(ROW()-ROW(הפחתה5[[#Headers],[יתרת פתיחה]])=1,סכום_הלוואה2,IF(הפחתה5[[#This Row],[תאריך]]="",0,INDEX(הפחתה5[], ROW()-4,8)))</f>
        <v>64341.248082189639</v>
      </c>
      <c r="N263" s="13">
        <f>IF(ValuesEntered2,IF(ROW()-ROW(הפחתה5[[#Headers],[ריבית]])=1,-IPMT(שיעור_ריבית2/12,1,תקופת_ההלוואה2-ROWS($L$4:L263)+1,הפחתה5[[#This Row],[יתרת פתיחה]]),IFERROR(-IPMT(שיעור_ריבית2/12,1,הפחתה5[[#This Row],[תשלומים
שנותרו]],M264),0)),0)</f>
        <v>246.3251023172559</v>
      </c>
      <c r="O263" s="13">
        <f>IFERROR(IF(AND(ValuesEntered2,הפחתה5[[#This Row],[תאריך]]&lt;&gt;""),-PPMT(שיעור_ריבית2/12,1,תקופת_ההלוואה2-ROWS($L$4:L263)+1,הפחתה5[[#This Row],[יתרת פתיחה]]),""),0)</f>
        <v>1449.732596932816</v>
      </c>
      <c r="P263" s="13">
        <f>(הפחתה5[[#This Row],[יתרת פתיחה]])*(מדד2/12)</f>
        <v>0</v>
      </c>
      <c r="Q263" s="13">
        <f>IF(הפחתה5[[#This Row],[תאריך]]="",0,הפחתה5[[#This Row],[ריבית]]+הפחתה5[[#This Row],[קרן]]+הפחתה5[[#This Row],[מדד]])</f>
        <v>1696.0576992500719</v>
      </c>
      <c r="R263" s="13">
        <f>IF(הפחתה5[[#This Row],[תאריך]]="",0,הפחתה5[[#This Row],[יתרת פתיחה]]-הפחתה5[[#This Row],[קרן]]+הפחתה5[[#This Row],[מדד]])</f>
        <v>62891.515485256823</v>
      </c>
      <c r="S263" s="11">
        <f>IF(הפחתה5[[#This Row],[יתרת
סגירה]]&gt;0,LastRow2-ROW(),0)</f>
        <v>40</v>
      </c>
      <c r="T263" s="11">
        <f>ROWS($T$4:T263)</f>
        <v>260</v>
      </c>
      <c r="U263" s="12">
        <f ca="1">IF(ValuesEntered3,IF(הפחתה7[[#This Row],[מס'']]&lt;=תקופת_ההלוואה3,IF(ROW()-ROW(הפחתה7[[#Headers],[תאריך]])=1,LoanStart3,IF(AA262&gt;0,EDATE(U262,1),"")),""),"")</f>
        <v>53503</v>
      </c>
      <c r="V263" s="13">
        <f ca="1">IF(ROW()-ROW(הפחתה7[[#Headers],[יתרת פתיחה]])=1,סכום_הלוואה3,IF(הפחתה7[[#This Row],[תאריך]]="",0,INDEX(הפחתה7[], ROW()-4,8)))</f>
        <v>26674.781583138621</v>
      </c>
      <c r="W263" s="13">
        <f ca="1">IF(ValuesEntered3,IF(ROW()-ROW(הפחתה7[[#Headers],[ריבית]])=1,-IPMT(שיעור_ריבית3/12,1,תקופת_ההלוואה3-ROWS($C$4:U263)+1,הפחתה7[[#This Row],[יתרת פתיחה]]),IFERROR(-IPMT(שיעור_ריבית3/12,1,הפחתה7[[#This Row],[תשלומים
שנותרו]],V264),0)),0)</f>
        <v>50.012044684904843</v>
      </c>
      <c r="X263" s="13">
        <f ca="1">IFERROR(IF(AND(ValuesEntered3,הפחתה7[[#This Row],[תאריך]]&lt;&gt;""),-PPMT(שיעור_ריבית3/12,1,תקופת_ההלוואה3-ROWS($C$4:U263)+1,הפחתה7[[#This Row],[יתרת פתיחה]]),""),0)</f>
        <v>625.99884727610731</v>
      </c>
      <c r="Y263" s="13">
        <f ca="1">(הפחתה7[[#This Row],[יתרת פתיחה]])*(מדד3/12)</f>
        <v>44.457969305231039</v>
      </c>
      <c r="Z263" s="13">
        <f ca="1">IF(הפחתה7[[#This Row],[תאריך]]="",0,הפחתה7[[#This Row],[ריבית]]+הפחתה7[[#This Row],[קרן]]+הפחתה7[[#This Row],[מדד]])</f>
        <v>720.46886126624315</v>
      </c>
      <c r="AA263" s="13">
        <f ca="1">IF(הפחתה7[[#This Row],[תאריך]]="",0,הפחתה7[[#This Row],[יתרת פתיחה]]-הפחתה7[[#This Row],[קרן]]+הפחתה7[[#This Row],[מדד]])</f>
        <v>26093.240705167747</v>
      </c>
      <c r="AB263" s="11">
        <f ca="1">IF(הפחתה7[[#This Row],[יתרת
סגירה]]&gt;0,LastRow3-ROW(),0)</f>
        <v>40</v>
      </c>
      <c r="AC263" s="17">
        <f>ROWS($AC$4:AC263)</f>
        <v>260</v>
      </c>
      <c r="AD263" s="18" t="str">
        <f ca="1">IF(ValuesEntered4,IF(הפחתה8[[#This Row],[מס'']]&lt;=תקופת_ההלוואה4,IF(ROW()-ROW(הפחתה8[[#Headers],[תאריך]])=1,LoanStart4,IF(AJ262&gt;0,EDATE(AD262,1),"")),""),"")</f>
        <v/>
      </c>
      <c r="AE263" s="19">
        <f ca="1">IF(ROW()-ROW(הפחתה8[[#Headers],[יתרת פתיחה]])=1,סכום_הלוואה4,IF(הפחתה8[[#This Row],[תאריך]]="",0,INDEX(הפחתה8[], ROW()-4,8)))</f>
        <v>0</v>
      </c>
      <c r="AF263" s="19">
        <f ca="1">IF(ValuesEntered4,IF(ROW()-ROW(הפחתה8[[#Headers],[ריבית]])=1,-IPMT(שיעור_ריבית4/12,1,תקופת_ההלוואה4-ROWS($C$4:AD263)+1,הפחתה8[[#This Row],[יתרת פתיחה]]),IFERROR(-IPMT(שיעור_ריבית4/12,1,הפחתה8[[#This Row],[תשלומים
שנותרו]],AE264),0)),0)</f>
        <v>0</v>
      </c>
      <c r="AG263" s="19" t="str">
        <f ca="1">IFERROR(IF(AND(ValuesEntered4,הפחתה8[[#This Row],[תאריך]]&lt;&gt;""),-PPMT(שיעור_ריבית4/12,1,תקופת_ההלוואה4-ROWS($C$4:AD263)+1,הפחתה8[[#This Row],[יתרת פתיחה]]),""),0)</f>
        <v/>
      </c>
      <c r="AH263" s="19">
        <f ca="1">(הפחתה8[[#This Row],[יתרת פתיחה]])*(מדד4/12)</f>
        <v>0</v>
      </c>
      <c r="AI263" s="19">
        <f ca="1">IF(הפחתה8[[#This Row],[תאריך]]="",0,הפחתה8[[#This Row],[ריבית]]+הפחתה8[[#This Row],[קרן]]+הפחתה8[[#This Row],[מדד]])</f>
        <v>0</v>
      </c>
      <c r="AJ263" s="19">
        <f ca="1">IF(הפחתה8[[#This Row],[תאריך]]="",0,הפחתה8[[#This Row],[יתרת פתיחה]]-הפחתה8[[#This Row],[קרן]])</f>
        <v>0</v>
      </c>
      <c r="AK263" s="20">
        <f ca="1">IF(הפחתה8[[#This Row],[יתרת
סגירה]]&gt;0,LastRow4-ROW(),0)</f>
        <v>0</v>
      </c>
    </row>
    <row r="264" spans="1:37" ht="15" customHeight="1" x14ac:dyDescent="0.25">
      <c r="A264" s="8"/>
      <c r="B264" s="11">
        <f>ROWS($B$4:B264)</f>
        <v>261</v>
      </c>
      <c r="C264" s="12">
        <f>IF(ValuesEntered,IF(הפחתה[[#This Row],[מס'']]&lt;=תקופת_ההלוואה,IF(ROW()-ROW(הפחתה[[#Headers],[תאריך]])=1,LoanStart,IF(I263&gt;0,EDATE(C263,1),"")),""),"")</f>
        <v>53297</v>
      </c>
      <c r="D264" s="13">
        <f>IF(ROW()-ROW(הפחתה[[#Headers],[יתרת פתיחה]])=1,סכום_הלוואה,IF(הפחתה[[#This Row],[תאריך]]="",0,INDEX(הפחתה[], ROW()-4,8)))</f>
        <v>268867.57585983363</v>
      </c>
      <c r="E264" s="13">
        <f>IF(ValuesEntered,IF(ROW()-ROW(הפחתה[[#Headers],[ריבית]])=1,-IPMT(שיעור_ריבית/12,1,תקופת_ההלוואה-ROWS($C$4:C264)+1,הפחתה[[#This Row],[יתרת פתיחה]]),IFERROR(-IPMT(שיעור_ריבית/12,1,הפחתה[[#This Row],[תשלומים
שנותרו]],D265),0)),0)</f>
        <v>1178.0276716242743</v>
      </c>
      <c r="F264" s="13">
        <f>IFERROR(IF(AND(ValuesEntered,הפחתה[[#This Row],[תאריך]]&lt;&gt;""),-PPMT(שיעור_ריבית/12,1,תקופת_ההלוואה-ROWS($C$4:C264)+1,הפחתה[[#This Row],[יתרת פתיחה]]),""),0)</f>
        <v>2144.3294543376192</v>
      </c>
      <c r="G264" s="13">
        <f>(הפחתה[[#This Row],[יתרת פתיחה]])*(מדד/12)</f>
        <v>0</v>
      </c>
      <c r="H264" s="13">
        <f>IF(הפחתה[[#This Row],[תאריך]]="",0,הפחתה[[#This Row],[ריבית]]+הפחתה[[#This Row],[קרן]]+הפחתה[[#This Row],[מדד]])</f>
        <v>3322.3571259618934</v>
      </c>
      <c r="I264" s="13">
        <f>IF(הפחתה[[#This Row],[תאריך]]="",0,הפחתה[[#This Row],[יתרת פתיחה]]-הפחתה[[#This Row],[קרן]]+הפחתה[[#This Row],[מדד]])</f>
        <v>266723.24640549603</v>
      </c>
      <c r="J264" s="11">
        <f>IF(הפחתה[[#This Row],[יתרת
סגירה]]&gt;0,LastRow-ROW(),0)</f>
        <v>99</v>
      </c>
      <c r="K264" s="11">
        <f>ROWS($K$4:K264)</f>
        <v>261</v>
      </c>
      <c r="L264" s="12">
        <f>IF(ValuesEntered2,IF(הפחתה5[[#This Row],[מס'']]&lt;=תקופת_ההלוואה2,IF(ROW()-ROW(הפחתה5[[#Headers],[תאריך]])=1,LoanStart2,IF(R263&gt;0,EDATE(L263,1),"")),""),"")</f>
        <v>53297</v>
      </c>
      <c r="M264" s="13">
        <f>IF(ROW()-ROW(הפחתה5[[#Headers],[יתרת פתיחה]])=1,סכום_הלוואה2,IF(הפחתה5[[#This Row],[תאריך]]="",0,INDEX(הפחתה5[], ROW()-4,8)))</f>
        <v>62891.515485256823</v>
      </c>
      <c r="N264" s="13">
        <f>IF(ValuesEntered2,IF(ROW()-ROW(הפחתה5[[#Headers],[ריבית]])=1,-IPMT(שיעור_ריבית2/12,1,תקופת_ההלוואה2-ROWS($L$4:L264)+1,הפחתה5[[#This Row],[יתרת פתיחה]]),IFERROR(-IPMT(שיעור_ריבית2/12,1,הפחתה5[[#This Row],[תשלומים
שנותרו]],M265),0)),0)</f>
        <v>240.62474367852857</v>
      </c>
      <c r="O264" s="13">
        <f>IFERROR(IF(AND(ValuesEntered2,הפחתה5[[#This Row],[תאריך]]&lt;&gt;""),-PPMT(שיעור_ריבית2/12,1,תקופת_ההלוואה2-ROWS($L$4:L264)+1,הפחתה5[[#This Row],[יתרת פתיחה]]),""),0)</f>
        <v>1455.4107162708033</v>
      </c>
      <c r="P264" s="13">
        <f>(הפחתה5[[#This Row],[יתרת פתיחה]])*(מדד2/12)</f>
        <v>0</v>
      </c>
      <c r="Q264" s="13">
        <f>IF(הפחתה5[[#This Row],[תאריך]]="",0,הפחתה5[[#This Row],[ריבית]]+הפחתה5[[#This Row],[קרן]]+הפחתה5[[#This Row],[מדד]])</f>
        <v>1696.0354599493319</v>
      </c>
      <c r="R264" s="13">
        <f>IF(הפחתה5[[#This Row],[תאריך]]="",0,הפחתה5[[#This Row],[יתרת פתיחה]]-הפחתה5[[#This Row],[קרן]]+הפחתה5[[#This Row],[מדד]])</f>
        <v>61436.104768986021</v>
      </c>
      <c r="S264" s="11">
        <f>IF(הפחתה5[[#This Row],[יתרת
סגירה]]&gt;0,LastRow2-ROW(),0)</f>
        <v>39</v>
      </c>
      <c r="T264" s="11">
        <f>ROWS($T$4:T264)</f>
        <v>261</v>
      </c>
      <c r="U264" s="12">
        <f ca="1">IF(ValuesEntered3,IF(הפחתה7[[#This Row],[מס'']]&lt;=תקופת_ההלוואה3,IF(ROW()-ROW(הפחתה7[[#Headers],[תאריך]])=1,LoanStart3,IF(AA263&gt;0,EDATE(U263,1),"")),""),"")</f>
        <v>53533</v>
      </c>
      <c r="V264" s="13">
        <f ca="1">IF(ROW()-ROW(הפחתה7[[#Headers],[יתרת פתיחה]])=1,סכום_הלוואה3,IF(הפחתה7[[#This Row],[תאריך]]="",0,INDEX(הפחתה7[], ROW()-4,8)))</f>
        <v>26093.240705167747</v>
      </c>
      <c r="W264" s="13">
        <f ca="1">IF(ValuesEntered3,IF(ROW()-ROW(הפחתה7[[#Headers],[ריבית]])=1,-IPMT(שיעור_ריבית3/12,1,תקופת_ההלוואה3-ROWS($C$4:U264)+1,הפחתה7[[#This Row],[יתרת פתיחה]]),IFERROR(-IPMT(שיעור_ריבית3/12,1,הפחתה7[[#This Row],[תשלומים
שנותרו]],V265),0)),0)</f>
        <v>48.891215592189809</v>
      </c>
      <c r="X264" s="13">
        <f ca="1">IFERROR(IF(AND(ValuesEntered3,הפחתה7[[#This Row],[תאריך]]&lt;&gt;""),-PPMT(שיעור_ריבית3/12,1,תקופת_ההלוואה3-ROWS($C$4:U264)+1,הפחתה7[[#This Row],[יתרת פתיחה]]),""),0)</f>
        <v>628.26913070776141</v>
      </c>
      <c r="Y264" s="13">
        <f ca="1">(הפחתה7[[#This Row],[יתרת פתיחה]])*(מדד3/12)</f>
        <v>43.488734508612914</v>
      </c>
      <c r="Z264" s="13">
        <f ca="1">IF(הפחתה7[[#This Row],[תאריך]]="",0,הפחתה7[[#This Row],[ריבית]]+הפחתה7[[#This Row],[קרן]]+הפחתה7[[#This Row],[מדד]])</f>
        <v>720.64908080856412</v>
      </c>
      <c r="AA264" s="13">
        <f ca="1">IF(הפחתה7[[#This Row],[תאריך]]="",0,הפחתה7[[#This Row],[יתרת פתיחה]]-הפחתה7[[#This Row],[קרן]]+הפחתה7[[#This Row],[מדד]])</f>
        <v>25508.460308968599</v>
      </c>
      <c r="AB264" s="11">
        <f ca="1">IF(הפחתה7[[#This Row],[יתרת
סגירה]]&gt;0,LastRow3-ROW(),0)</f>
        <v>39</v>
      </c>
      <c r="AC264" s="17">
        <f>ROWS($AC$4:AC264)</f>
        <v>261</v>
      </c>
      <c r="AD264" s="18" t="str">
        <f ca="1">IF(ValuesEntered4,IF(הפחתה8[[#This Row],[מס'']]&lt;=תקופת_ההלוואה4,IF(ROW()-ROW(הפחתה8[[#Headers],[תאריך]])=1,LoanStart4,IF(AJ263&gt;0,EDATE(AD263,1),"")),""),"")</f>
        <v/>
      </c>
      <c r="AE264" s="19">
        <f ca="1">IF(ROW()-ROW(הפחתה8[[#Headers],[יתרת פתיחה]])=1,סכום_הלוואה4,IF(הפחתה8[[#This Row],[תאריך]]="",0,INDEX(הפחתה8[], ROW()-4,8)))</f>
        <v>0</v>
      </c>
      <c r="AF264" s="19">
        <f ca="1">IF(ValuesEntered4,IF(ROW()-ROW(הפחתה8[[#Headers],[ריבית]])=1,-IPMT(שיעור_ריבית4/12,1,תקופת_ההלוואה4-ROWS($C$4:AD264)+1,הפחתה8[[#This Row],[יתרת פתיחה]]),IFERROR(-IPMT(שיעור_ריבית4/12,1,הפחתה8[[#This Row],[תשלומים
שנותרו]],AE265),0)),0)</f>
        <v>0</v>
      </c>
      <c r="AG264" s="19" t="str">
        <f ca="1">IFERROR(IF(AND(ValuesEntered4,הפחתה8[[#This Row],[תאריך]]&lt;&gt;""),-PPMT(שיעור_ריבית4/12,1,תקופת_ההלוואה4-ROWS($C$4:AD264)+1,הפחתה8[[#This Row],[יתרת פתיחה]]),""),0)</f>
        <v/>
      </c>
      <c r="AH264" s="19">
        <f ca="1">(הפחתה8[[#This Row],[יתרת פתיחה]])*(מדד4/12)</f>
        <v>0</v>
      </c>
      <c r="AI264" s="19">
        <f ca="1">IF(הפחתה8[[#This Row],[תאריך]]="",0,הפחתה8[[#This Row],[ריבית]]+הפחתה8[[#This Row],[קרן]]+הפחתה8[[#This Row],[מדד]])</f>
        <v>0</v>
      </c>
      <c r="AJ264" s="19">
        <f ca="1">IF(הפחתה8[[#This Row],[תאריך]]="",0,הפחתה8[[#This Row],[יתרת פתיחה]]-הפחתה8[[#This Row],[קרן]])</f>
        <v>0</v>
      </c>
      <c r="AK264" s="20">
        <f ca="1">IF(הפחתה8[[#This Row],[יתרת
סגירה]]&gt;0,LastRow4-ROW(),0)</f>
        <v>0</v>
      </c>
    </row>
    <row r="265" spans="1:37" ht="15" customHeight="1" x14ac:dyDescent="0.25">
      <c r="A265" s="8"/>
      <c r="B265" s="11">
        <f>ROWS($B$4:B265)</f>
        <v>262</v>
      </c>
      <c r="C265" s="12">
        <f>IF(ValuesEntered,IF(הפחתה[[#This Row],[מס'']]&lt;=תקופת_ההלוואה,IF(ROW()-ROW(הפחתה[[#Headers],[תאריך]])=1,LoanStart,IF(I264&gt;0,EDATE(C264,1),"")),""),"")</f>
        <v>53328</v>
      </c>
      <c r="D265" s="13">
        <f>IF(ROW()-ROW(הפחתה[[#Headers],[יתרת פתיחה]])=1,סכום_הלוואה,IF(הפחתה[[#This Row],[תאריך]]="",0,INDEX(הפחתה[], ROW()-4,8)))</f>
        <v>266723.24640549603</v>
      </c>
      <c r="E265" s="13">
        <f>IF(ValuesEntered,IF(ROW()-ROW(הפחתה[[#Headers],[ריבית]])=1,-IPMT(שיעור_ריבית/12,1,תקופת_ההלוואה-ROWS($C$4:C265)+1,הפחתה[[#This Row],[יתרת פתיחה]]),IFERROR(-IPMT(שיעור_ריבית/12,1,הפחתה[[#This Row],[תשלומים
שנותרו]],D266),0)),0)</f>
        <v>1168.5150538854134</v>
      </c>
      <c r="F265" s="13">
        <f>IFERROR(IF(AND(ValuesEntered,הפחתה[[#This Row],[תאריך]]&lt;&gt;""),-PPMT(שיעור_ריבית/12,1,תקופת_ההלוואה-ROWS($C$4:C265)+1,הפחתה[[#This Row],[יתרת פתיחה]]),""),0)</f>
        <v>2153.800242760944</v>
      </c>
      <c r="G265" s="13">
        <f>(הפחתה[[#This Row],[יתרת פתיחה]])*(מדד/12)</f>
        <v>0</v>
      </c>
      <c r="H265" s="13">
        <f>IF(הפחתה[[#This Row],[תאריך]]="",0,הפחתה[[#This Row],[ריבית]]+הפחתה[[#This Row],[קרן]]+הפחתה[[#This Row],[מדד]])</f>
        <v>3322.3152966463576</v>
      </c>
      <c r="I265" s="13">
        <f>IF(הפחתה[[#This Row],[תאריך]]="",0,הפחתה[[#This Row],[יתרת פתיחה]]-הפחתה[[#This Row],[קרן]]+הפחתה[[#This Row],[מדד]])</f>
        <v>264569.44616273511</v>
      </c>
      <c r="J265" s="11">
        <f>IF(הפחתה[[#This Row],[יתרת
סגירה]]&gt;0,LastRow-ROW(),0)</f>
        <v>98</v>
      </c>
      <c r="K265" s="11">
        <f>ROWS($K$4:K265)</f>
        <v>262</v>
      </c>
      <c r="L265" s="12">
        <f>IF(ValuesEntered2,IF(הפחתה5[[#This Row],[מס'']]&lt;=תקופת_ההלוואה2,IF(ROW()-ROW(הפחתה5[[#Headers],[תאריך]])=1,LoanStart2,IF(R264&gt;0,EDATE(L264,1),"")),""),"")</f>
        <v>53328</v>
      </c>
      <c r="M265" s="13">
        <f>IF(ROW()-ROW(הפחתה5[[#Headers],[יתרת פתיחה]])=1,סכום_הלוואה2,IF(הפחתה5[[#This Row],[תאריך]]="",0,INDEX(הפחתה5[], ROW()-4,8)))</f>
        <v>61436.104768986021</v>
      </c>
      <c r="N265" s="13">
        <f>IF(ValuesEntered2,IF(ROW()-ROW(הפחתה5[[#Headers],[ריבית]])=1,-IPMT(שיעור_ריבית2/12,1,תקופת_ההלוואה2-ROWS($L$4:L265)+1,הפחתה5[[#This Row],[יתרת פתיחה]]),IFERROR(-IPMT(שיעור_ריבית2/12,1,הפחתה5[[#This Row],[תשלומים
שנותרו]],M266),0)),0)</f>
        <v>234.9020586351329</v>
      </c>
      <c r="O265" s="13">
        <f>IFERROR(IF(AND(ValuesEntered2,הפחתה5[[#This Row],[תאריך]]&lt;&gt;""),-PPMT(שיעור_ריבית2/12,1,תקופת_ההלוואה2-ROWS($L$4:L265)+1,הפחתה5[[#This Row],[יתרת פתיחה]]),""),0)</f>
        <v>1461.1110749095303</v>
      </c>
      <c r="P265" s="13">
        <f>(הפחתה5[[#This Row],[יתרת פתיחה]])*(מדד2/12)</f>
        <v>0</v>
      </c>
      <c r="Q265" s="13">
        <f>IF(הפחתה5[[#This Row],[תאריך]]="",0,הפחתה5[[#This Row],[ריבית]]+הפחתה5[[#This Row],[קרן]]+הפחתה5[[#This Row],[מדד]])</f>
        <v>1696.0131335446631</v>
      </c>
      <c r="R265" s="13">
        <f>IF(הפחתה5[[#This Row],[תאריך]]="",0,הפחתה5[[#This Row],[יתרת פתיחה]]-הפחתה5[[#This Row],[קרן]]+הפחתה5[[#This Row],[מדד]])</f>
        <v>59974.993694076489</v>
      </c>
      <c r="S265" s="11">
        <f>IF(הפחתה5[[#This Row],[יתרת
סגירה]]&gt;0,LastRow2-ROW(),0)</f>
        <v>38</v>
      </c>
      <c r="T265" s="11">
        <f>ROWS($T$4:T265)</f>
        <v>262</v>
      </c>
      <c r="U265" s="12">
        <f ca="1">IF(ValuesEntered3,IF(הפחתה7[[#This Row],[מס'']]&lt;=תקופת_ההלוואה3,IF(ROW()-ROW(הפחתה7[[#Headers],[תאריך]])=1,LoanStart3,IF(AA264&gt;0,EDATE(U264,1),"")),""),"")</f>
        <v>53564</v>
      </c>
      <c r="V265" s="13">
        <f ca="1">IF(ROW()-ROW(הפחתה7[[#Headers],[יתרת פתיחה]])=1,סכום_הלוואה3,IF(הפחתה7[[#This Row],[תאריך]]="",0,INDEX(הפחתה7[], ROW()-4,8)))</f>
        <v>25508.460308968599</v>
      </c>
      <c r="W265" s="13">
        <f ca="1">IF(ValuesEntered3,IF(ROW()-ROW(הפחתה7[[#Headers],[ריבית]])=1,-IPMT(שיעור_ריבית3/12,1,תקופת_ההלוואה3-ROWS($C$4:U265)+1,הפחתה7[[#This Row],[יתרת פתיחה]]),IFERROR(-IPMT(שיעור_ריבית3/12,1,הפחתה7[[#This Row],[תשלומים
שנותרו]],V266),0)),0)</f>
        <v>47.76415000631831</v>
      </c>
      <c r="X265" s="13">
        <f ca="1">IFERROR(IF(AND(ValuesEntered3,הפחתה7[[#This Row],[תאריך]]&lt;&gt;""),-PPMT(שיעור_ריבית3/12,1,תקופת_ההלוואה3-ROWS($C$4:U265)+1,הפחתה7[[#This Row],[יתרת פתיחה]]),""),0)</f>
        <v>630.54831923051108</v>
      </c>
      <c r="Y265" s="13">
        <f ca="1">(הפחתה7[[#This Row],[יתרת פתיחה]])*(מדד3/12)</f>
        <v>42.514100514947664</v>
      </c>
      <c r="Z265" s="13">
        <f ca="1">IF(הפחתה7[[#This Row],[תאריך]]="",0,הפחתה7[[#This Row],[ריבית]]+הפחתה7[[#This Row],[קרן]]+הפחתה7[[#This Row],[מדד]])</f>
        <v>720.82656975177713</v>
      </c>
      <c r="AA265" s="13">
        <f ca="1">IF(הפחתה7[[#This Row],[תאריך]]="",0,הפחתה7[[#This Row],[יתרת פתיחה]]-הפחתה7[[#This Row],[קרן]]+הפחתה7[[#This Row],[מדד]])</f>
        <v>24920.426090253037</v>
      </c>
      <c r="AB265" s="11">
        <f ca="1">IF(הפחתה7[[#This Row],[יתרת
סגירה]]&gt;0,LastRow3-ROW(),0)</f>
        <v>38</v>
      </c>
      <c r="AC265" s="17">
        <f>ROWS($AC$4:AC265)</f>
        <v>262</v>
      </c>
      <c r="AD265" s="18" t="str">
        <f ca="1">IF(ValuesEntered4,IF(הפחתה8[[#This Row],[מס'']]&lt;=תקופת_ההלוואה4,IF(ROW()-ROW(הפחתה8[[#Headers],[תאריך]])=1,LoanStart4,IF(AJ264&gt;0,EDATE(AD264,1),"")),""),"")</f>
        <v/>
      </c>
      <c r="AE265" s="19">
        <f ca="1">IF(ROW()-ROW(הפחתה8[[#Headers],[יתרת פתיחה]])=1,סכום_הלוואה4,IF(הפחתה8[[#This Row],[תאריך]]="",0,INDEX(הפחתה8[], ROW()-4,8)))</f>
        <v>0</v>
      </c>
      <c r="AF265" s="19">
        <f ca="1">IF(ValuesEntered4,IF(ROW()-ROW(הפחתה8[[#Headers],[ריבית]])=1,-IPMT(שיעור_ריבית4/12,1,תקופת_ההלוואה4-ROWS($C$4:AD265)+1,הפחתה8[[#This Row],[יתרת פתיחה]]),IFERROR(-IPMT(שיעור_ריבית4/12,1,הפחתה8[[#This Row],[תשלומים
שנותרו]],AE266),0)),0)</f>
        <v>0</v>
      </c>
      <c r="AG265" s="19" t="str">
        <f ca="1">IFERROR(IF(AND(ValuesEntered4,הפחתה8[[#This Row],[תאריך]]&lt;&gt;""),-PPMT(שיעור_ריבית4/12,1,תקופת_ההלוואה4-ROWS($C$4:AD265)+1,הפחתה8[[#This Row],[יתרת פתיחה]]),""),0)</f>
        <v/>
      </c>
      <c r="AH265" s="19">
        <f ca="1">(הפחתה8[[#This Row],[יתרת פתיחה]])*(מדד4/12)</f>
        <v>0</v>
      </c>
      <c r="AI265" s="19">
        <f ca="1">IF(הפחתה8[[#This Row],[תאריך]]="",0,הפחתה8[[#This Row],[ריבית]]+הפחתה8[[#This Row],[קרן]]+הפחתה8[[#This Row],[מדד]])</f>
        <v>0</v>
      </c>
      <c r="AJ265" s="19">
        <f ca="1">IF(הפחתה8[[#This Row],[תאריך]]="",0,הפחתה8[[#This Row],[יתרת פתיחה]]-הפחתה8[[#This Row],[קרן]])</f>
        <v>0</v>
      </c>
      <c r="AK265" s="20">
        <f ca="1">IF(הפחתה8[[#This Row],[יתרת
סגירה]]&gt;0,LastRow4-ROW(),0)</f>
        <v>0</v>
      </c>
    </row>
    <row r="266" spans="1:37" ht="15" customHeight="1" x14ac:dyDescent="0.25">
      <c r="A266" s="8"/>
      <c r="B266" s="11">
        <f>ROWS($B$4:B266)</f>
        <v>263</v>
      </c>
      <c r="C266" s="12">
        <f>IF(ValuesEntered,IF(הפחתה[[#This Row],[מס'']]&lt;=תקופת_ההלוואה,IF(ROW()-ROW(הפחתה[[#Headers],[תאריך]])=1,LoanStart,IF(I265&gt;0,EDATE(C265,1),"")),""),"")</f>
        <v>53359</v>
      </c>
      <c r="D266" s="13">
        <f>IF(ROW()-ROW(הפחתה[[#Headers],[יתרת פתיחה]])=1,סכום_הלוואה,IF(הפחתה[[#This Row],[תאריך]]="",0,INDEX(הפחתה[], ROW()-4,8)))</f>
        <v>264569.44616273511</v>
      </c>
      <c r="E266" s="13">
        <f>IF(ValuesEntered,IF(ROW()-ROW(הפחתה[[#Headers],[ריבית]])=1,-IPMT(שיעור_ריבית/12,1,תקופת_ההלוואה-ROWS($C$4:C266)+1,הפחתה[[#This Row],[יתרת פתיחה]]),IFERROR(-IPMT(שיעור_ריבית/12,1,הפחתה[[#This Row],[תשלומים
שנותרו]],D267),0)),0)</f>
        <v>1158.9604220848728</v>
      </c>
      <c r="F266" s="13">
        <f>IFERROR(IF(AND(ValuesEntered,הפחתה[[#This Row],[תאריך]]&lt;&gt;""),-PPMT(שיעור_ריבית/12,1,תקופת_ההלוואה-ROWS($C$4:C266)+1,הפחתה[[#This Row],[יתרת פתיחה]]),""),0)</f>
        <v>2163.3128604998051</v>
      </c>
      <c r="G266" s="13">
        <f>(הפחתה[[#This Row],[יתרת פתיחה]])*(מדד/12)</f>
        <v>0</v>
      </c>
      <c r="H266" s="13">
        <f>IF(הפחתה[[#This Row],[תאריך]]="",0,הפחתה[[#This Row],[ריבית]]+הפחתה[[#This Row],[קרן]]+הפחתה[[#This Row],[מדד]])</f>
        <v>3322.2732825846779</v>
      </c>
      <c r="I266" s="13">
        <f>IF(הפחתה[[#This Row],[תאריך]]="",0,הפחתה[[#This Row],[יתרת פתיחה]]-הפחתה[[#This Row],[קרן]]+הפחתה[[#This Row],[מדד]])</f>
        <v>262406.13330223534</v>
      </c>
      <c r="J266" s="11">
        <f>IF(הפחתה[[#This Row],[יתרת
סגירה]]&gt;0,LastRow-ROW(),0)</f>
        <v>97</v>
      </c>
      <c r="K266" s="11">
        <f>ROWS($K$4:K266)</f>
        <v>263</v>
      </c>
      <c r="L266" s="12">
        <f>IF(ValuesEntered2,IF(הפחתה5[[#This Row],[מס'']]&lt;=תקופת_ההלוואה2,IF(ROW()-ROW(הפחתה5[[#Headers],[תאריך]])=1,LoanStart2,IF(R265&gt;0,EDATE(L265,1),"")),""),"")</f>
        <v>53359</v>
      </c>
      <c r="M266" s="13">
        <f>IF(ROW()-ROW(הפחתה5[[#Headers],[יתרת פתיחה]])=1,סכום_הלוואה2,IF(הפחתה5[[#This Row],[תאריך]]="",0,INDEX(הפחתה5[], ROW()-4,8)))</f>
        <v>59974.993694076489</v>
      </c>
      <c r="N266" s="13">
        <f>IF(ValuesEntered2,IF(ROW()-ROW(הפחתה5[[#Headers],[ריבית]])=1,-IPMT(שיעור_ריבית2/12,1,תקופת_ההלוואה2-ROWS($L$4:L266)+1,הפחתה5[[#This Row],[יתרת פתיחה]]),IFERROR(-IPMT(שיעור_ריבית2/12,1,הפחתה5[[#This Row],[תשלומים
שנותרו]],M267),0)),0)</f>
        <v>229.15695974198394</v>
      </c>
      <c r="O266" s="13">
        <f>IFERROR(IF(AND(ValuesEntered2,הפחתה5[[#This Row],[תאריך]]&lt;&gt;""),-PPMT(שיעור_ריבית2/12,1,תקופת_ההלוואה2-ROWS($L$4:L266)+1,הפחתה5[[#This Row],[יתרת פתיחה]]),""),0)</f>
        <v>1466.8337599529264</v>
      </c>
      <c r="P266" s="13">
        <f>(הפחתה5[[#This Row],[יתרת פתיחה]])*(מדד2/12)</f>
        <v>0</v>
      </c>
      <c r="Q266" s="13">
        <f>IF(הפחתה5[[#This Row],[תאריך]]="",0,הפחתה5[[#This Row],[ריבית]]+הפחתה5[[#This Row],[קרן]]+הפחתה5[[#This Row],[מדד]])</f>
        <v>1695.9907196949102</v>
      </c>
      <c r="R266" s="13">
        <f>IF(הפחתה5[[#This Row],[תאריך]]="",0,הפחתה5[[#This Row],[יתרת פתיחה]]-הפחתה5[[#This Row],[קרן]]+הפחתה5[[#This Row],[מדד]])</f>
        <v>58508.159934123563</v>
      </c>
      <c r="S266" s="11">
        <f>IF(הפחתה5[[#This Row],[יתרת
סגירה]]&gt;0,LastRow2-ROW(),0)</f>
        <v>37</v>
      </c>
      <c r="T266" s="11">
        <f>ROWS($T$4:T266)</f>
        <v>263</v>
      </c>
      <c r="U266" s="12">
        <f ca="1">IF(ValuesEntered3,IF(הפחתה7[[#This Row],[מס'']]&lt;=תקופת_ההלוואה3,IF(ROW()-ROW(הפחתה7[[#Headers],[תאריך]])=1,LoanStart3,IF(AA265&gt;0,EDATE(U265,1),"")),""),"")</f>
        <v>53595</v>
      </c>
      <c r="V266" s="13">
        <f ca="1">IF(ROW()-ROW(הפחתה7[[#Headers],[יתרת פתיחה]])=1,סכום_הלוואה3,IF(הפחתה7[[#This Row],[תאריך]]="",0,INDEX(הפחתה7[], ROW()-4,8)))</f>
        <v>24920.426090253037</v>
      </c>
      <c r="W266" s="13">
        <f ca="1">IF(ValuesEntered3,IF(ROW()-ROW(הפחתה7[[#Headers],[ריבית]])=1,-IPMT(שיעור_ריבית3/12,1,תקופת_ההלוואה3-ROWS($C$4:U266)+1,הפחתה7[[#This Row],[יתרת פתיחה]]),IFERROR(-IPMT(שיעור_ריבית3/12,1,הפחתה7[[#This Row],[תשלומים
שנותרו]],V267),0)),0)</f>
        <v>46.630820325782636</v>
      </c>
      <c r="X266" s="13">
        <f ca="1">IFERROR(IF(AND(ValuesEntered3,הפחתה7[[#This Row],[תאריך]]&lt;&gt;""),-PPMT(שיעור_ריבית3/12,1,תקופת_ההלוואה3-ROWS($C$4:U266)+1,הפחתה7[[#This Row],[יתרת פתיחה]]),""),0)</f>
        <v>632.83648550237251</v>
      </c>
      <c r="Y266" s="13">
        <f ca="1">(הפחתה7[[#This Row],[יתרת פתיחה]])*(מדד3/12)</f>
        <v>41.534043483755063</v>
      </c>
      <c r="Z266" s="13">
        <f ca="1">IF(הפחתה7[[#This Row],[תאריך]]="",0,הפחתה7[[#This Row],[ריבית]]+הפחתה7[[#This Row],[קרן]]+הפחתה7[[#This Row],[מדד]])</f>
        <v>721.0013493119103</v>
      </c>
      <c r="AA266" s="13">
        <f ca="1">IF(הפחתה7[[#This Row],[תאריך]]="",0,הפחתה7[[#This Row],[יתרת פתיחה]]-הפחתה7[[#This Row],[קרן]]+הפחתה7[[#This Row],[מדד]])</f>
        <v>24329.123648234421</v>
      </c>
      <c r="AB266" s="11">
        <f ca="1">IF(הפחתה7[[#This Row],[יתרת
סגירה]]&gt;0,LastRow3-ROW(),0)</f>
        <v>37</v>
      </c>
      <c r="AC266" s="17">
        <f>ROWS($AC$4:AC266)</f>
        <v>263</v>
      </c>
      <c r="AD266" s="18" t="str">
        <f ca="1">IF(ValuesEntered4,IF(הפחתה8[[#This Row],[מס'']]&lt;=תקופת_ההלוואה4,IF(ROW()-ROW(הפחתה8[[#Headers],[תאריך]])=1,LoanStart4,IF(AJ265&gt;0,EDATE(AD265,1),"")),""),"")</f>
        <v/>
      </c>
      <c r="AE266" s="19">
        <f ca="1">IF(ROW()-ROW(הפחתה8[[#Headers],[יתרת פתיחה]])=1,סכום_הלוואה4,IF(הפחתה8[[#This Row],[תאריך]]="",0,INDEX(הפחתה8[], ROW()-4,8)))</f>
        <v>0</v>
      </c>
      <c r="AF266" s="19">
        <f ca="1">IF(ValuesEntered4,IF(ROW()-ROW(הפחתה8[[#Headers],[ריבית]])=1,-IPMT(שיעור_ריבית4/12,1,תקופת_ההלוואה4-ROWS($C$4:AD266)+1,הפחתה8[[#This Row],[יתרת פתיחה]]),IFERROR(-IPMT(שיעור_ריבית4/12,1,הפחתה8[[#This Row],[תשלומים
שנותרו]],AE267),0)),0)</f>
        <v>0</v>
      </c>
      <c r="AG266" s="19" t="str">
        <f ca="1">IFERROR(IF(AND(ValuesEntered4,הפחתה8[[#This Row],[תאריך]]&lt;&gt;""),-PPMT(שיעור_ריבית4/12,1,תקופת_ההלוואה4-ROWS($C$4:AD266)+1,הפחתה8[[#This Row],[יתרת פתיחה]]),""),0)</f>
        <v/>
      </c>
      <c r="AH266" s="19">
        <f ca="1">(הפחתה8[[#This Row],[יתרת פתיחה]])*(מדד4/12)</f>
        <v>0</v>
      </c>
      <c r="AI266" s="19">
        <f ca="1">IF(הפחתה8[[#This Row],[תאריך]]="",0,הפחתה8[[#This Row],[ריבית]]+הפחתה8[[#This Row],[קרן]]+הפחתה8[[#This Row],[מדד]])</f>
        <v>0</v>
      </c>
      <c r="AJ266" s="19">
        <f ca="1">IF(הפחתה8[[#This Row],[תאריך]]="",0,הפחתה8[[#This Row],[יתרת פתיחה]]-הפחתה8[[#This Row],[קרן]])</f>
        <v>0</v>
      </c>
      <c r="AK266" s="20">
        <f ca="1">IF(הפחתה8[[#This Row],[יתרת
סגירה]]&gt;0,LastRow4-ROW(),0)</f>
        <v>0</v>
      </c>
    </row>
    <row r="267" spans="1:37" ht="15" customHeight="1" x14ac:dyDescent="0.25">
      <c r="A267" s="8"/>
      <c r="B267" s="11">
        <f>ROWS($B$4:B267)</f>
        <v>264</v>
      </c>
      <c r="C267" s="12">
        <f>IF(ValuesEntered,IF(הפחתה[[#This Row],[מס'']]&lt;=תקופת_ההלוואה,IF(ROW()-ROW(הפחתה[[#Headers],[תאריך]])=1,LoanStart,IF(I266&gt;0,EDATE(C266,1),"")),""),"")</f>
        <v>53387</v>
      </c>
      <c r="D267" s="13">
        <f>IF(ROW()-ROW(הפחתה[[#Headers],[יתרת פתיחה]])=1,סכום_הלוואה,IF(הפחתה[[#This Row],[תאריך]]="",0,INDEX(הפחתה[], ROW()-4,8)))</f>
        <v>262406.13330223534</v>
      </c>
      <c r="E267" s="13">
        <f>IF(ValuesEntered,IF(ROW()-ROW(הפחתה[[#Headers],[ריבית]])=1,-IPMT(שיעור_ריבית/12,1,תקופת_ההלוואה-ROWS($C$4:C267)+1,הפחתה[[#This Row],[יתרת פתיחה]]),IFERROR(-IPMT(שיעור_ריבית/12,1,הפחתה[[#This Row],[תשלומים
שנותרו]],D268),0)),0)</f>
        <v>1149.3635906605464</v>
      </c>
      <c r="F267" s="13">
        <f>IFERROR(IF(AND(ValuesEntered,הפחתה[[#This Row],[תאריך]]&lt;&gt;""),-PPMT(שיעור_ריבית/12,1,תקופת_ההלוואה-ROWS($C$4:C267)+1,הפחתה[[#This Row],[יתרת פתיחה]]),""),0)</f>
        <v>2172.8674923003459</v>
      </c>
      <c r="G267" s="13">
        <f>(הפחתה[[#This Row],[יתרת פתיחה]])*(מדד/12)</f>
        <v>0</v>
      </c>
      <c r="H267" s="13">
        <f>IF(הפחתה[[#This Row],[תאריך]]="",0,הפחתה[[#This Row],[ריבית]]+הפחתה[[#This Row],[קרן]]+הפחתה[[#This Row],[מדד]])</f>
        <v>3322.2310829608923</v>
      </c>
      <c r="I267" s="13">
        <f>IF(הפחתה[[#This Row],[תאריך]]="",0,הפחתה[[#This Row],[יתרת פתיחה]]-הפחתה[[#This Row],[קרן]]+הפחתה[[#This Row],[מדד]])</f>
        <v>260233.26580993499</v>
      </c>
      <c r="J267" s="11">
        <f>IF(הפחתה[[#This Row],[יתרת
סגירה]]&gt;0,LastRow-ROW(),0)</f>
        <v>96</v>
      </c>
      <c r="K267" s="11">
        <f>ROWS($K$4:K267)</f>
        <v>264</v>
      </c>
      <c r="L267" s="12">
        <f>IF(ValuesEntered2,IF(הפחתה5[[#This Row],[מס'']]&lt;=תקופת_ההלוואה2,IF(ROW()-ROW(הפחתה5[[#Headers],[תאריך]])=1,LoanStart2,IF(R266&gt;0,EDATE(L266,1),"")),""),"")</f>
        <v>53387</v>
      </c>
      <c r="M267" s="13">
        <f>IF(ROW()-ROW(הפחתה5[[#Headers],[יתרת פתיחה]])=1,סכום_הלוואה2,IF(הפחתה5[[#This Row],[תאריך]]="",0,INDEX(הפחתה5[], ROW()-4,8)))</f>
        <v>58508.159934123563</v>
      </c>
      <c r="N267" s="13">
        <f>IF(ValuesEntered2,IF(ROW()-ROW(הפחתה5[[#Headers],[ריבית]])=1,-IPMT(שיעור_ריבית2/12,1,תקופת_ההלוואה2-ROWS($L$4:L267)+1,הפחתה5[[#This Row],[יתרת פתיחה]]),IFERROR(-IPMT(שיעור_ריבית2/12,1,הפחתה5[[#This Row],[תשלומים
שנותרו]],M268),0)),0)</f>
        <v>223.38935921150346</v>
      </c>
      <c r="O267" s="13">
        <f>IFERROR(IF(AND(ValuesEntered2,הפחתה5[[#This Row],[תאריך]]&lt;&gt;""),-PPMT(שיעור_ריבית2/12,1,תקופת_ההלוואה2-ROWS($L$4:L267)+1,הפחתה5[[#This Row],[יתרת פתיחה]]),""),0)</f>
        <v>1472.578858846075</v>
      </c>
      <c r="P267" s="13">
        <f>(הפחתה5[[#This Row],[יתרת פתיחה]])*(מדד2/12)</f>
        <v>0</v>
      </c>
      <c r="Q267" s="13">
        <f>IF(הפחתה5[[#This Row],[תאריך]]="",0,הפחתה5[[#This Row],[ריבית]]+הפחתה5[[#This Row],[קרן]]+הפחתה5[[#This Row],[מדד]])</f>
        <v>1695.9682180575785</v>
      </c>
      <c r="R267" s="13">
        <f>IF(הפחתה5[[#This Row],[תאריך]]="",0,הפחתה5[[#This Row],[יתרת פתיחה]]-הפחתה5[[#This Row],[קרן]]+הפחתה5[[#This Row],[מדד]])</f>
        <v>57035.581075277485</v>
      </c>
      <c r="S267" s="11">
        <f>IF(הפחתה5[[#This Row],[יתרת
סגירה]]&gt;0,LastRow2-ROW(),0)</f>
        <v>36</v>
      </c>
      <c r="T267" s="11">
        <f>ROWS($T$4:T267)</f>
        <v>264</v>
      </c>
      <c r="U267" s="12">
        <f ca="1">IF(ValuesEntered3,IF(הפחתה7[[#This Row],[מס'']]&lt;=תקופת_ההלוואה3,IF(ROW()-ROW(הפחתה7[[#Headers],[תאריך]])=1,LoanStart3,IF(AA266&gt;0,EDATE(U266,1),"")),""),"")</f>
        <v>53625</v>
      </c>
      <c r="V267" s="13">
        <f ca="1">IF(ROW()-ROW(הפחתה7[[#Headers],[יתרת פתיחה]])=1,סכום_הלוואה3,IF(הפחתה7[[#This Row],[תאריך]]="",0,INDEX(הפחתה7[], ROW()-4,8)))</f>
        <v>24329.123648234421</v>
      </c>
      <c r="W267" s="13">
        <f ca="1">IF(ValuesEntered3,IF(ROW()-ROW(הפחתה7[[#Headers],[ריבית]])=1,-IPMT(שיעור_ריבית3/12,1,תקופת_ההלוואה3-ROWS($C$4:U267)+1,הפחתה7[[#This Row],[יתרת פתיחה]]),IFERROR(-IPMT(שיעור_ריבית3/12,1,הפחתה7[[#This Row],[תשלומים
שנותרו]],V268),0)),0)</f>
        <v>45.491198756975237</v>
      </c>
      <c r="X267" s="13">
        <f ca="1">IFERROR(IF(AND(ValuesEntered3,הפחתה7[[#This Row],[תאריך]]&lt;&gt;""),-PPMT(שיעור_ריבית3/12,1,תקופת_ההלוואה3-ROWS($C$4:U267)+1,הפחתה7[[#This Row],[יתרת פתיחה]]),""),0)</f>
        <v>635.1337057480207</v>
      </c>
      <c r="Y267" s="13">
        <f ca="1">(הפחתה7[[#This Row],[יתרת פתיחה]])*(מדד3/12)</f>
        <v>40.548539413724036</v>
      </c>
      <c r="Z267" s="13">
        <f ca="1">IF(הפחתה7[[#This Row],[תאריך]]="",0,הפחתה7[[#This Row],[ריבית]]+הפחתה7[[#This Row],[קרן]]+הפחתה7[[#This Row],[מדד]])</f>
        <v>721.17344391871995</v>
      </c>
      <c r="AA267" s="13">
        <f ca="1">IF(הפחתה7[[#This Row],[תאריך]]="",0,הפחתה7[[#This Row],[יתרת פתיחה]]-הפחתה7[[#This Row],[קרן]]+הפחתה7[[#This Row],[מדד]])</f>
        <v>23734.538481900126</v>
      </c>
      <c r="AB267" s="11">
        <f ca="1">IF(הפחתה7[[#This Row],[יתרת
סגירה]]&gt;0,LastRow3-ROW(),0)</f>
        <v>36</v>
      </c>
      <c r="AC267" s="17">
        <f>ROWS($AC$4:AC267)</f>
        <v>264</v>
      </c>
      <c r="AD267" s="18" t="str">
        <f ca="1">IF(ValuesEntered4,IF(הפחתה8[[#This Row],[מס'']]&lt;=תקופת_ההלוואה4,IF(ROW()-ROW(הפחתה8[[#Headers],[תאריך]])=1,LoanStart4,IF(AJ266&gt;0,EDATE(AD266,1),"")),""),"")</f>
        <v/>
      </c>
      <c r="AE267" s="19">
        <f ca="1">IF(ROW()-ROW(הפחתה8[[#Headers],[יתרת פתיחה]])=1,סכום_הלוואה4,IF(הפחתה8[[#This Row],[תאריך]]="",0,INDEX(הפחתה8[], ROW()-4,8)))</f>
        <v>0</v>
      </c>
      <c r="AF267" s="19">
        <f ca="1">IF(ValuesEntered4,IF(ROW()-ROW(הפחתה8[[#Headers],[ריבית]])=1,-IPMT(שיעור_ריבית4/12,1,תקופת_ההלוואה4-ROWS($C$4:AD267)+1,הפחתה8[[#This Row],[יתרת פתיחה]]),IFERROR(-IPMT(שיעור_ריבית4/12,1,הפחתה8[[#This Row],[תשלומים
שנותרו]],AE268),0)),0)</f>
        <v>0</v>
      </c>
      <c r="AG267" s="19" t="str">
        <f ca="1">IFERROR(IF(AND(ValuesEntered4,הפחתה8[[#This Row],[תאריך]]&lt;&gt;""),-PPMT(שיעור_ריבית4/12,1,תקופת_ההלוואה4-ROWS($C$4:AD267)+1,הפחתה8[[#This Row],[יתרת פתיחה]]),""),0)</f>
        <v/>
      </c>
      <c r="AH267" s="19">
        <f ca="1">(הפחתה8[[#This Row],[יתרת פתיחה]])*(מדד4/12)</f>
        <v>0</v>
      </c>
      <c r="AI267" s="19">
        <f ca="1">IF(הפחתה8[[#This Row],[תאריך]]="",0,הפחתה8[[#This Row],[ריבית]]+הפחתה8[[#This Row],[קרן]]+הפחתה8[[#This Row],[מדד]])</f>
        <v>0</v>
      </c>
      <c r="AJ267" s="19">
        <f ca="1">IF(הפחתה8[[#This Row],[תאריך]]="",0,הפחתה8[[#This Row],[יתרת פתיחה]]-הפחתה8[[#This Row],[קרן]])</f>
        <v>0</v>
      </c>
      <c r="AK267" s="20">
        <f ca="1">IF(הפחתה8[[#This Row],[יתרת
סגירה]]&gt;0,LastRow4-ROW(),0)</f>
        <v>0</v>
      </c>
    </row>
    <row r="268" spans="1:37" ht="15" customHeight="1" x14ac:dyDescent="0.25">
      <c r="A268" s="8"/>
      <c r="B268" s="11">
        <f>ROWS($B$4:B268)</f>
        <v>265</v>
      </c>
      <c r="C268" s="12">
        <f>IF(ValuesEntered,IF(הפחתה[[#This Row],[מס'']]&lt;=תקופת_ההלוואה,IF(ROW()-ROW(הפחתה[[#Headers],[תאריך]])=1,LoanStart,IF(I267&gt;0,EDATE(C267,1),"")),""),"")</f>
        <v>53418</v>
      </c>
      <c r="D268" s="13">
        <f>IF(ROW()-ROW(הפחתה[[#Headers],[יתרת פתיחה]])=1,סכום_הלוואה,IF(הפחתה[[#This Row],[תאריך]]="",0,INDEX(הפחתה[], ROW()-4,8)))</f>
        <v>260233.26580993499</v>
      </c>
      <c r="E268" s="13">
        <f>IF(ValuesEntered,IF(ROW()-ROW(הפחתה[[#Headers],[ריבית]])=1,-IPMT(שיעור_ריבית/12,1,תקופת_ההלוואה-ROWS($C$4:C268)+1,הפחתה[[#This Row],[יתרת פתיחה]]),IFERROR(-IPMT(שיעור_ריבית/12,1,הפחתה[[#This Row],[תשלומים
שנותרו]],D269),0)),0)</f>
        <v>1139.7243732307622</v>
      </c>
      <c r="F268" s="13">
        <f>IFERROR(IF(AND(ValuesEntered,הפחתה[[#This Row],[תאריך]]&lt;&gt;""),-PPMT(שיעור_ריבית/12,1,תקופת_ההלוואה-ROWS($C$4:C268)+1,הפחתה[[#This Row],[יתרת פתיחה]]),""),0)</f>
        <v>2182.4643237246723</v>
      </c>
      <c r="G268" s="13">
        <f>(הפחתה[[#This Row],[יתרת פתיחה]])*(מדד/12)</f>
        <v>0</v>
      </c>
      <c r="H268" s="13">
        <f>IF(הפחתה[[#This Row],[תאריך]]="",0,הפחתה[[#This Row],[ריבית]]+הפחתה[[#This Row],[קרן]]+הפחתה[[#This Row],[מדד]])</f>
        <v>3322.1886969554344</v>
      </c>
      <c r="I268" s="13">
        <f>IF(הפחתה[[#This Row],[תאריך]]="",0,הפחתה[[#This Row],[יתרת פתיחה]]-הפחתה[[#This Row],[קרן]]+הפחתה[[#This Row],[מדד]])</f>
        <v>258050.80148621032</v>
      </c>
      <c r="J268" s="11">
        <f>IF(הפחתה[[#This Row],[יתרת
סגירה]]&gt;0,LastRow-ROW(),0)</f>
        <v>95</v>
      </c>
      <c r="K268" s="11">
        <f>ROWS($K$4:K268)</f>
        <v>265</v>
      </c>
      <c r="L268" s="12">
        <f>IF(ValuesEntered2,IF(הפחתה5[[#This Row],[מס'']]&lt;=תקופת_ההלוואה2,IF(ROW()-ROW(הפחתה5[[#Headers],[תאריך]])=1,LoanStart2,IF(R267&gt;0,EDATE(L267,1),"")),""),"")</f>
        <v>53418</v>
      </c>
      <c r="M268" s="13">
        <f>IF(ROW()-ROW(הפחתה5[[#Headers],[יתרת פתיחה]])=1,סכום_הלוואה2,IF(הפחתה5[[#This Row],[תאריך]]="",0,INDEX(הפחתה5[], ROW()-4,8)))</f>
        <v>57035.581075277485</v>
      </c>
      <c r="N268" s="13">
        <f>IF(ValuesEntered2,IF(ROW()-ROW(הפחתה5[[#Headers],[ריבית]])=1,-IPMT(שיעור_ריבית2/12,1,תקופת_ההלוואה2-ROWS($L$4:L268)+1,הפחתה5[[#This Row],[יתרת פתיחה]]),IFERROR(-IPMT(שיעור_ריבית2/12,1,הפחתה5[[#This Row],[תשלומים
שנותרו]],M269),0)),0)</f>
        <v>217.59916891227863</v>
      </c>
      <c r="O268" s="13">
        <f>IFERROR(IF(AND(ValuesEntered2,הפחתה5[[#This Row],[תאריך]]&lt;&gt;""),-PPMT(שיעור_ריבית2/12,1,תקופת_ההלוואה2-ROWS($L$4:L268)+1,הפחתה5[[#This Row],[יתרת פתיחה]]),""),0)</f>
        <v>1478.3464593765555</v>
      </c>
      <c r="P268" s="13">
        <f>(הפחתה5[[#This Row],[יתרת פתיחה]])*(מדד2/12)</f>
        <v>0</v>
      </c>
      <c r="Q268" s="13">
        <f>IF(הפחתה5[[#This Row],[תאריך]]="",0,הפחתה5[[#This Row],[ריבית]]+הפחתה5[[#This Row],[קרן]]+הפחתה5[[#This Row],[מדד]])</f>
        <v>1695.9456282888341</v>
      </c>
      <c r="R268" s="13">
        <f>IF(הפחתה5[[#This Row],[תאריך]]="",0,הפחתה5[[#This Row],[יתרת פתיחה]]-הפחתה5[[#This Row],[קרן]]+הפחתה5[[#This Row],[מדד]])</f>
        <v>55557.234615900932</v>
      </c>
      <c r="S268" s="11">
        <f>IF(הפחתה5[[#This Row],[יתרת
סגירה]]&gt;0,LastRow2-ROW(),0)</f>
        <v>35</v>
      </c>
      <c r="T268" s="11">
        <f>ROWS($T$4:T268)</f>
        <v>265</v>
      </c>
      <c r="U268" s="12">
        <f ca="1">IF(ValuesEntered3,IF(הפחתה7[[#This Row],[מס'']]&lt;=תקופת_ההלוואה3,IF(ROW()-ROW(הפחתה7[[#Headers],[תאריך]])=1,LoanStart3,IF(AA267&gt;0,EDATE(U267,1),"")),""),"")</f>
        <v>53656</v>
      </c>
      <c r="V268" s="13">
        <f ca="1">IF(ROW()-ROW(הפחתה7[[#Headers],[יתרת פתיחה]])=1,סכום_הלוואה3,IF(הפחתה7[[#This Row],[תאריך]]="",0,INDEX(הפחתה7[], ROW()-4,8)))</f>
        <v>23734.538481900126</v>
      </c>
      <c r="W268" s="13">
        <f ca="1">IF(ValuesEntered3,IF(ROW()-ROW(הפחתה7[[#Headers],[ריבית]])=1,-IPMT(שיעור_ריבית3/12,1,תקופת_ההלוואה3-ROWS($C$4:U268)+1,הפחתה7[[#This Row],[יתרת פתיחה]]),IFERROR(-IPMT(שיעור_ריבית3/12,1,הפחתה7[[#This Row],[תשלומים
שנותרו]],V269),0)),0)</f>
        <v>44.345257306303601</v>
      </c>
      <c r="X268" s="13">
        <f ca="1">IFERROR(IF(AND(ValuesEntered3,הפחתה7[[#This Row],[תאריך]]&lt;&gt;""),-PPMT(שיעור_ריבית3/12,1,תקופת_ההלוואה3-ROWS($C$4:U268)+1,הפחתה7[[#This Row],[יתרת פתיחה]]),""),0)</f>
        <v>637.44006013909586</v>
      </c>
      <c r="Y268" s="13">
        <f ca="1">(הפחתה7[[#This Row],[יתרת פתיחה]])*(מדד3/12)</f>
        <v>39.557564136500211</v>
      </c>
      <c r="Z268" s="13">
        <f ca="1">IF(הפחתה7[[#This Row],[תאריך]]="",0,הפחתה7[[#This Row],[ריבית]]+הפחתה7[[#This Row],[קרן]]+הפחתה7[[#This Row],[מדד]])</f>
        <v>721.34288158189963</v>
      </c>
      <c r="AA268" s="13">
        <f ca="1">IF(הפחתה7[[#This Row],[תאריך]]="",0,הפחתה7[[#This Row],[יתרת פתיחה]]-הפחתה7[[#This Row],[קרן]]+הפחתה7[[#This Row],[מדד]])</f>
        <v>23136.655985897531</v>
      </c>
      <c r="AB268" s="11">
        <f ca="1">IF(הפחתה7[[#This Row],[יתרת
סגירה]]&gt;0,LastRow3-ROW(),0)</f>
        <v>35</v>
      </c>
      <c r="AC268" s="17">
        <f>ROWS($AC$4:AC268)</f>
        <v>265</v>
      </c>
      <c r="AD268" s="18" t="str">
        <f ca="1">IF(ValuesEntered4,IF(הפחתה8[[#This Row],[מס'']]&lt;=תקופת_ההלוואה4,IF(ROW()-ROW(הפחתה8[[#Headers],[תאריך]])=1,LoanStart4,IF(AJ267&gt;0,EDATE(AD267,1),"")),""),"")</f>
        <v/>
      </c>
      <c r="AE268" s="19">
        <f ca="1">IF(ROW()-ROW(הפחתה8[[#Headers],[יתרת פתיחה]])=1,סכום_הלוואה4,IF(הפחתה8[[#This Row],[תאריך]]="",0,INDEX(הפחתה8[], ROW()-4,8)))</f>
        <v>0</v>
      </c>
      <c r="AF268" s="19">
        <f ca="1">IF(ValuesEntered4,IF(ROW()-ROW(הפחתה8[[#Headers],[ריבית]])=1,-IPMT(שיעור_ריבית4/12,1,תקופת_ההלוואה4-ROWS($C$4:AD268)+1,הפחתה8[[#This Row],[יתרת פתיחה]]),IFERROR(-IPMT(שיעור_ריבית4/12,1,הפחתה8[[#This Row],[תשלומים
שנותרו]],AE269),0)),0)</f>
        <v>0</v>
      </c>
      <c r="AG268" s="19" t="str">
        <f ca="1">IFERROR(IF(AND(ValuesEntered4,הפחתה8[[#This Row],[תאריך]]&lt;&gt;""),-PPMT(שיעור_ריבית4/12,1,תקופת_ההלוואה4-ROWS($C$4:AD268)+1,הפחתה8[[#This Row],[יתרת פתיחה]]),""),0)</f>
        <v/>
      </c>
      <c r="AH268" s="19">
        <f ca="1">(הפחתה8[[#This Row],[יתרת פתיחה]])*(מדד4/12)</f>
        <v>0</v>
      </c>
      <c r="AI268" s="19">
        <f ca="1">IF(הפחתה8[[#This Row],[תאריך]]="",0,הפחתה8[[#This Row],[ריבית]]+הפחתה8[[#This Row],[קרן]]+הפחתה8[[#This Row],[מדד]])</f>
        <v>0</v>
      </c>
      <c r="AJ268" s="19">
        <f ca="1">IF(הפחתה8[[#This Row],[תאריך]]="",0,הפחתה8[[#This Row],[יתרת פתיחה]]-הפחתה8[[#This Row],[קרן]])</f>
        <v>0</v>
      </c>
      <c r="AK268" s="20">
        <f ca="1">IF(הפחתה8[[#This Row],[יתרת
סגירה]]&gt;0,LastRow4-ROW(),0)</f>
        <v>0</v>
      </c>
    </row>
    <row r="269" spans="1:37" ht="15" customHeight="1" x14ac:dyDescent="0.25">
      <c r="A269" s="8"/>
      <c r="B269" s="11">
        <f>ROWS($B$4:B269)</f>
        <v>266</v>
      </c>
      <c r="C269" s="12">
        <f>IF(ValuesEntered,IF(הפחתה[[#This Row],[מס'']]&lt;=תקופת_ההלוואה,IF(ROW()-ROW(הפחתה[[#Headers],[תאריך]])=1,LoanStart,IF(I268&gt;0,EDATE(C268,1),"")),""),"")</f>
        <v>53448</v>
      </c>
      <c r="D269" s="13">
        <f>IF(ROW()-ROW(הפחתה[[#Headers],[יתרת פתיחה]])=1,סכום_הלוואה,IF(הפחתה[[#This Row],[תאריך]]="",0,INDEX(הפחתה[], ROW()-4,8)))</f>
        <v>258050.80148621032</v>
      </c>
      <c r="E269" s="13">
        <f>IF(ValuesEntered,IF(ROW()-ROW(הפחתה[[#Headers],[ריבית]])=1,-IPMT(שיעור_ריבית/12,1,תקופת_ההלוואה-ROWS($C$4:C269)+1,הפחתה[[#This Row],[יתרת פתיחה]]),IFERROR(-IPMT(שיעור_ריבית/12,1,הפחתה[[#This Row],[תשלומים
שנותרו]],D270),0)),0)</f>
        <v>1130.0425825906636</v>
      </c>
      <c r="F269" s="13">
        <f>IFERROR(IF(AND(ValuesEntered,הפחתה[[#This Row],[תאריך]]&lt;&gt;""),-PPMT(שיעור_ריבית/12,1,תקופת_ההלוואה-ROWS($C$4:C269)+1,הפחתה[[#This Row],[יתרת פתיחה]]),""),0)</f>
        <v>2192.1035411544567</v>
      </c>
      <c r="G269" s="13">
        <f>(הפחתה[[#This Row],[יתרת פתיחה]])*(מדד/12)</f>
        <v>0</v>
      </c>
      <c r="H269" s="13">
        <f>IF(הפחתה[[#This Row],[תאריך]]="",0,הפחתה[[#This Row],[ריבית]]+הפחתה[[#This Row],[קרן]]+הפחתה[[#This Row],[מדד]])</f>
        <v>3322.1461237451203</v>
      </c>
      <c r="I269" s="13">
        <f>IF(הפחתה[[#This Row],[תאריך]]="",0,הפחתה[[#This Row],[יתרת פתיחה]]-הפחתה[[#This Row],[קרן]]+הפחתה[[#This Row],[מדד]])</f>
        <v>255858.69794505587</v>
      </c>
      <c r="J269" s="11">
        <f>IF(הפחתה[[#This Row],[יתרת
סגירה]]&gt;0,LastRow-ROW(),0)</f>
        <v>94</v>
      </c>
      <c r="K269" s="11">
        <f>ROWS($K$4:K269)</f>
        <v>266</v>
      </c>
      <c r="L269" s="12">
        <f>IF(ValuesEntered2,IF(הפחתה5[[#This Row],[מס'']]&lt;=תקופת_ההלוואה2,IF(ROW()-ROW(הפחתה5[[#Headers],[תאריך]])=1,LoanStart2,IF(R268&gt;0,EDATE(L268,1),"")),""),"")</f>
        <v>53448</v>
      </c>
      <c r="M269" s="13">
        <f>IF(ROW()-ROW(הפחתה5[[#Headers],[יתרת פתיחה]])=1,סכום_הלוואה2,IF(הפחתה5[[#This Row],[תאריך]]="",0,INDEX(הפחתה5[], ROW()-4,8)))</f>
        <v>55557.234615900932</v>
      </c>
      <c r="N269" s="13">
        <f>IF(ValuesEntered2,IF(ROW()-ROW(הפחתה5[[#Headers],[ריבית]])=1,-IPMT(שיעור_ריבית2/12,1,תקופת_ההלוואה2-ROWS($L$4:L269)+1,הפחתה5[[#This Row],[יתרת פתיחה]]),IFERROR(-IPMT(שיעור_ריבית2/12,1,הפחתה5[[#This Row],[תשלומים
שנותרו]],M270),0)),0)</f>
        <v>211.78630036771514</v>
      </c>
      <c r="O269" s="13">
        <f>IFERROR(IF(AND(ValuesEntered2,הפחתה5[[#This Row],[תאריך]]&lt;&gt;""),-PPMT(שיעור_ריבית2/12,1,תקופת_ההלוואה2-ROWS($L$4:L269)+1,הפחתה5[[#This Row],[יתרת פתיחה]]),""),0)</f>
        <v>1484.1366496757805</v>
      </c>
      <c r="P269" s="13">
        <f>(הפחתה5[[#This Row],[יתרת פתיחה]])*(מדד2/12)</f>
        <v>0</v>
      </c>
      <c r="Q269" s="13">
        <f>IF(הפחתה5[[#This Row],[תאריך]]="",0,הפחתה5[[#This Row],[ריבית]]+הפחתה5[[#This Row],[קרן]]+הפחתה5[[#This Row],[מדד]])</f>
        <v>1695.9229500434956</v>
      </c>
      <c r="R269" s="13">
        <f>IF(הפחתה5[[#This Row],[תאריך]]="",0,הפחתה5[[#This Row],[יתרת פתיחה]]-הפחתה5[[#This Row],[קרן]]+הפחתה5[[#This Row],[מדד]])</f>
        <v>54073.097966225148</v>
      </c>
      <c r="S269" s="11">
        <f>IF(הפחתה5[[#This Row],[יתרת
סגירה]]&gt;0,LastRow2-ROW(),0)</f>
        <v>34</v>
      </c>
      <c r="T269" s="11">
        <f>ROWS($T$4:T269)</f>
        <v>266</v>
      </c>
      <c r="U269" s="12">
        <f ca="1">IF(ValuesEntered3,IF(הפחתה7[[#This Row],[מס'']]&lt;=תקופת_ההלוואה3,IF(ROW()-ROW(הפחתה7[[#Headers],[תאריך]])=1,LoanStart3,IF(AA268&gt;0,EDATE(U268,1),"")),""),"")</f>
        <v>53686</v>
      </c>
      <c r="V269" s="13">
        <f ca="1">IF(ROW()-ROW(הפחתה7[[#Headers],[יתרת פתיחה]])=1,סכום_הלוואה3,IF(הפחתה7[[#This Row],[תאריך]]="",0,INDEX(הפחתה7[], ROW()-4,8)))</f>
        <v>23136.655985897531</v>
      </c>
      <c r="W269" s="13">
        <f ca="1">IF(ValuesEntered3,IF(ROW()-ROW(הפחתה7[[#Headers],[ריבית]])=1,-IPMT(שיעור_ריבית3/12,1,תקופת_ההלוואה3-ROWS($C$4:U269)+1,הפחתה7[[#This Row],[יתרת פתיחה]]),IFERROR(-IPMT(שיעור_ריבית3/12,1,הפחתה7[[#This Row],[תשלומים
שנותרו]],V270),0)),0)</f>
        <v>43.192967771459678</v>
      </c>
      <c r="X269" s="13">
        <f ca="1">IFERROR(IF(AND(ValuesEntered3,הפחתה7[[#This Row],[תאריך]]&lt;&gt;""),-PPMT(שיעור_ריבית3/12,1,תקופת_ההלוואה3-ROWS($C$4:U269)+1,הפחתה7[[#This Row],[יתרת פתיחה]]),""),0)</f>
        <v>639.75563322839582</v>
      </c>
      <c r="Y269" s="13">
        <f ca="1">(הפחתה7[[#This Row],[יתרת פתיחה]])*(מדד3/12)</f>
        <v>38.561093309829218</v>
      </c>
      <c r="Z269" s="13">
        <f ca="1">IF(הפחתה7[[#This Row],[תאריך]]="",0,הפחתה7[[#This Row],[ריבית]]+הפחתה7[[#This Row],[קרן]]+הפחתה7[[#This Row],[מדד]])</f>
        <v>721.50969430968462</v>
      </c>
      <c r="AA269" s="13">
        <f ca="1">IF(הפחתה7[[#This Row],[תאריך]]="",0,הפחתה7[[#This Row],[יתרת פתיחה]]-הפחתה7[[#This Row],[קרן]]+הפחתה7[[#This Row],[מדד]])</f>
        <v>22535.461445978963</v>
      </c>
      <c r="AB269" s="11">
        <f ca="1">IF(הפחתה7[[#This Row],[יתרת
סגירה]]&gt;0,LastRow3-ROW(),0)</f>
        <v>34</v>
      </c>
      <c r="AC269" s="17">
        <f>ROWS($AC$4:AC269)</f>
        <v>266</v>
      </c>
      <c r="AD269" s="18" t="str">
        <f ca="1">IF(ValuesEntered4,IF(הפחתה8[[#This Row],[מס'']]&lt;=תקופת_ההלוואה4,IF(ROW()-ROW(הפחתה8[[#Headers],[תאריך]])=1,LoanStart4,IF(AJ268&gt;0,EDATE(AD268,1),"")),""),"")</f>
        <v/>
      </c>
      <c r="AE269" s="19">
        <f ca="1">IF(ROW()-ROW(הפחתה8[[#Headers],[יתרת פתיחה]])=1,סכום_הלוואה4,IF(הפחתה8[[#This Row],[תאריך]]="",0,INDEX(הפחתה8[], ROW()-4,8)))</f>
        <v>0</v>
      </c>
      <c r="AF269" s="19">
        <f ca="1">IF(ValuesEntered4,IF(ROW()-ROW(הפחתה8[[#Headers],[ריבית]])=1,-IPMT(שיעור_ריבית4/12,1,תקופת_ההלוואה4-ROWS($C$4:AD269)+1,הפחתה8[[#This Row],[יתרת פתיחה]]),IFERROR(-IPMT(שיעור_ריבית4/12,1,הפחתה8[[#This Row],[תשלומים
שנותרו]],AE270),0)),0)</f>
        <v>0</v>
      </c>
      <c r="AG269" s="19" t="str">
        <f ca="1">IFERROR(IF(AND(ValuesEntered4,הפחתה8[[#This Row],[תאריך]]&lt;&gt;""),-PPMT(שיעור_ריבית4/12,1,תקופת_ההלוואה4-ROWS($C$4:AD269)+1,הפחתה8[[#This Row],[יתרת פתיחה]]),""),0)</f>
        <v/>
      </c>
      <c r="AH269" s="19">
        <f ca="1">(הפחתה8[[#This Row],[יתרת פתיחה]])*(מדד4/12)</f>
        <v>0</v>
      </c>
      <c r="AI269" s="19">
        <f ca="1">IF(הפחתה8[[#This Row],[תאריך]]="",0,הפחתה8[[#This Row],[ריבית]]+הפחתה8[[#This Row],[קרן]]+הפחתה8[[#This Row],[מדד]])</f>
        <v>0</v>
      </c>
      <c r="AJ269" s="19">
        <f ca="1">IF(הפחתה8[[#This Row],[תאריך]]="",0,הפחתה8[[#This Row],[יתרת פתיחה]]-הפחתה8[[#This Row],[קרן]])</f>
        <v>0</v>
      </c>
      <c r="AK269" s="20">
        <f ca="1">IF(הפחתה8[[#This Row],[יתרת
סגירה]]&gt;0,LastRow4-ROW(),0)</f>
        <v>0</v>
      </c>
    </row>
    <row r="270" spans="1:37" ht="15" customHeight="1" x14ac:dyDescent="0.25">
      <c r="A270" s="8"/>
      <c r="B270" s="11">
        <f>ROWS($B$4:B270)</f>
        <v>267</v>
      </c>
      <c r="C270" s="12">
        <f>IF(ValuesEntered,IF(הפחתה[[#This Row],[מס'']]&lt;=תקופת_ההלוואה,IF(ROW()-ROW(הפחתה[[#Headers],[תאריך]])=1,LoanStart,IF(I269&gt;0,EDATE(C269,1),"")),""),"")</f>
        <v>53479</v>
      </c>
      <c r="D270" s="13">
        <f>IF(ROW()-ROW(הפחתה[[#Headers],[יתרת פתיחה]])=1,סכום_הלוואה,IF(הפחתה[[#This Row],[תאריך]]="",0,INDEX(הפחתה[], ROW()-4,8)))</f>
        <v>255858.69794505587</v>
      </c>
      <c r="E270" s="13">
        <f>IF(ValuesEntered,IF(ROW()-ROW(הפחתה[[#Headers],[ריבית]])=1,-IPMT(שיעור_ריבית/12,1,תקופת_ההלוואה-ROWS($C$4:C270)+1,הפחתה[[#This Row],[יתרת פתיחה]]),IFERROR(-IPMT(שיעור_ריבית/12,1,הפחתה[[#This Row],[תשלומים
שנותרו]],D271),0)),0)</f>
        <v>1120.3180307085711</v>
      </c>
      <c r="F270" s="13">
        <f>IFERROR(IF(AND(ValuesEntered,הפחתה[[#This Row],[תאריך]]&lt;&gt;""),-PPMT(שיעור_ריבית/12,1,תקופת_ההלוואה-ROWS($C$4:C270)+1,הפחתה[[#This Row],[יתרת פתיחה]]),""),0)</f>
        <v>2201.785331794556</v>
      </c>
      <c r="G270" s="13">
        <f>(הפחתה[[#This Row],[יתרת פתיחה]])*(מדד/12)</f>
        <v>0</v>
      </c>
      <c r="H270" s="13">
        <f>IF(הפחתה[[#This Row],[תאריך]]="",0,הפחתה[[#This Row],[ריבית]]+הפחתה[[#This Row],[קרן]]+הפחתה[[#This Row],[מדד]])</f>
        <v>3322.1033625031268</v>
      </c>
      <c r="I270" s="13">
        <f>IF(הפחתה[[#This Row],[תאריך]]="",0,הפחתה[[#This Row],[יתרת פתיחה]]-הפחתה[[#This Row],[קרן]]+הפחתה[[#This Row],[מדד]])</f>
        <v>253656.91261326132</v>
      </c>
      <c r="J270" s="11">
        <f>IF(הפחתה[[#This Row],[יתרת
סגירה]]&gt;0,LastRow-ROW(),0)</f>
        <v>93</v>
      </c>
      <c r="K270" s="11">
        <f>ROWS($K$4:K270)</f>
        <v>267</v>
      </c>
      <c r="L270" s="12">
        <f>IF(ValuesEntered2,IF(הפחתה5[[#This Row],[מס'']]&lt;=תקופת_ההלוואה2,IF(ROW()-ROW(הפחתה5[[#Headers],[תאריך]])=1,LoanStart2,IF(R269&gt;0,EDATE(L269,1),"")),""),"")</f>
        <v>53479</v>
      </c>
      <c r="M270" s="13">
        <f>IF(ROW()-ROW(הפחתה5[[#Headers],[יתרת פתיחה]])=1,סכום_הלוואה2,IF(הפחתה5[[#This Row],[תאריך]]="",0,INDEX(הפחתה5[], ROW()-4,8)))</f>
        <v>54073.097966225148</v>
      </c>
      <c r="N270" s="13">
        <f>IF(ValuesEntered2,IF(ROW()-ROW(הפחתה5[[#Headers],[ריבית]])=1,-IPMT(שיעור_ריבית2/12,1,תקופת_ההלוואה2-ROWS($L$4:L270)+1,הפחתה5[[#This Row],[יתרת פתיחה]]),IFERROR(-IPMT(שיעור_ריבית2/12,1,הפחתה5[[#This Row],[תשלומים
שנותרו]],M271),0)),0)</f>
        <v>205.95066475468545</v>
      </c>
      <c r="O270" s="13">
        <f>IFERROR(IF(AND(ValuesEntered2,הפחתה5[[#This Row],[תאריך]]&lt;&gt;""),-PPMT(שיעור_ריבית2/12,1,תקופת_ההלוואה2-ROWS($L$4:L270)+1,הפחתה5[[#This Row],[יתרת פתיחה]]),""),0)</f>
        <v>1489.9495182203436</v>
      </c>
      <c r="P270" s="13">
        <f>(הפחתה5[[#This Row],[יתרת פתיחה]])*(מדד2/12)</f>
        <v>0</v>
      </c>
      <c r="Q270" s="13">
        <f>IF(הפחתה5[[#This Row],[תאריך]]="",0,הפחתה5[[#This Row],[ריבית]]+הפחתה5[[#This Row],[קרן]]+הפחתה5[[#This Row],[מדד]])</f>
        <v>1695.9001829750291</v>
      </c>
      <c r="R270" s="13">
        <f>IF(הפחתה5[[#This Row],[תאריך]]="",0,הפחתה5[[#This Row],[יתרת פתיחה]]-הפחתה5[[#This Row],[קרן]]+הפחתה5[[#This Row],[מדד]])</f>
        <v>52583.148448004802</v>
      </c>
      <c r="S270" s="11">
        <f>IF(הפחתה5[[#This Row],[יתרת
סגירה]]&gt;0,LastRow2-ROW(),0)</f>
        <v>33</v>
      </c>
      <c r="T270" s="11">
        <f>ROWS($T$4:T270)</f>
        <v>267</v>
      </c>
      <c r="U270" s="12">
        <f ca="1">IF(ValuesEntered3,IF(הפחתה7[[#This Row],[מס'']]&lt;=תקופת_ההלוואה3,IF(ROW()-ROW(הפחתה7[[#Headers],[תאריך]])=1,LoanStart3,IF(AA269&gt;0,EDATE(U269,1),"")),""),"")</f>
        <v>53717</v>
      </c>
      <c r="V270" s="13">
        <f ca="1">IF(ROW()-ROW(הפחתה7[[#Headers],[יתרת פתיחה]])=1,סכום_הלוואה3,IF(הפחתה7[[#This Row],[תאריך]]="",0,INDEX(הפחתה7[], ROW()-4,8)))</f>
        <v>22535.461445978963</v>
      </c>
      <c r="W270" s="13">
        <f ca="1">IF(ValuesEntered3,IF(ROW()-ROW(הפחתה7[[#Headers],[ריבית]])=1,-IPMT(שיעור_ריבית3/12,1,תקופת_ההלוואה3-ROWS($C$4:U270)+1,הפחתה7[[#This Row],[יתרת פתיחה]]),IFERROR(-IPMT(שיעור_ריבית3/12,1,הפחתה7[[#This Row],[תשלומים
שנותרו]],V271),0)),0)</f>
        <v>42.034301731721236</v>
      </c>
      <c r="X270" s="13">
        <f ca="1">IFERROR(IF(AND(ValuesEntered3,הפחתה7[[#This Row],[תאריך]]&lt;&gt;""),-PPMT(שיעור_ריבית3/12,1,תקופת_ההלוואה3-ROWS($C$4:U270)+1,הפחתה7[[#This Row],[יתרת פתיחה]]),""),0)</f>
        <v>642.08051444741443</v>
      </c>
      <c r="Y270" s="13">
        <f ca="1">(הפחתה7[[#This Row],[יתרת פתיחה]])*(מדד3/12)</f>
        <v>37.559102409964943</v>
      </c>
      <c r="Z270" s="13">
        <f ca="1">IF(הפחתה7[[#This Row],[תאריך]]="",0,הפחתה7[[#This Row],[ריבית]]+הפחתה7[[#This Row],[קרן]]+הפחתה7[[#This Row],[מדד]])</f>
        <v>721.67391858910059</v>
      </c>
      <c r="AA270" s="13">
        <f ca="1">IF(הפחתה7[[#This Row],[תאריך]]="",0,הפחתה7[[#This Row],[יתרת פתיחה]]-הפחתה7[[#This Row],[קרן]]+הפחתה7[[#This Row],[מדד]])</f>
        <v>21930.940033941515</v>
      </c>
      <c r="AB270" s="11">
        <f ca="1">IF(הפחתה7[[#This Row],[יתרת
סגירה]]&gt;0,LastRow3-ROW(),0)</f>
        <v>33</v>
      </c>
      <c r="AC270" s="17">
        <f>ROWS($AC$4:AC270)</f>
        <v>267</v>
      </c>
      <c r="AD270" s="18" t="str">
        <f ca="1">IF(ValuesEntered4,IF(הפחתה8[[#This Row],[מס'']]&lt;=תקופת_ההלוואה4,IF(ROW()-ROW(הפחתה8[[#Headers],[תאריך]])=1,LoanStart4,IF(AJ269&gt;0,EDATE(AD269,1),"")),""),"")</f>
        <v/>
      </c>
      <c r="AE270" s="19">
        <f ca="1">IF(ROW()-ROW(הפחתה8[[#Headers],[יתרת פתיחה]])=1,סכום_הלוואה4,IF(הפחתה8[[#This Row],[תאריך]]="",0,INDEX(הפחתה8[], ROW()-4,8)))</f>
        <v>0</v>
      </c>
      <c r="AF270" s="19">
        <f ca="1">IF(ValuesEntered4,IF(ROW()-ROW(הפחתה8[[#Headers],[ריבית]])=1,-IPMT(שיעור_ריבית4/12,1,תקופת_ההלוואה4-ROWS($C$4:AD270)+1,הפחתה8[[#This Row],[יתרת פתיחה]]),IFERROR(-IPMT(שיעור_ריבית4/12,1,הפחתה8[[#This Row],[תשלומים
שנותרו]],AE271),0)),0)</f>
        <v>0</v>
      </c>
      <c r="AG270" s="19" t="str">
        <f ca="1">IFERROR(IF(AND(ValuesEntered4,הפחתה8[[#This Row],[תאריך]]&lt;&gt;""),-PPMT(שיעור_ריבית4/12,1,תקופת_ההלוואה4-ROWS($C$4:AD270)+1,הפחתה8[[#This Row],[יתרת פתיחה]]),""),0)</f>
        <v/>
      </c>
      <c r="AH270" s="19">
        <f ca="1">(הפחתה8[[#This Row],[יתרת פתיחה]])*(מדד4/12)</f>
        <v>0</v>
      </c>
      <c r="AI270" s="19">
        <f ca="1">IF(הפחתה8[[#This Row],[תאריך]]="",0,הפחתה8[[#This Row],[ריבית]]+הפחתה8[[#This Row],[קרן]]+הפחתה8[[#This Row],[מדד]])</f>
        <v>0</v>
      </c>
      <c r="AJ270" s="19">
        <f ca="1">IF(הפחתה8[[#This Row],[תאריך]]="",0,הפחתה8[[#This Row],[יתרת פתיחה]]-הפחתה8[[#This Row],[קרן]])</f>
        <v>0</v>
      </c>
      <c r="AK270" s="20">
        <f ca="1">IF(הפחתה8[[#This Row],[יתרת
סגירה]]&gt;0,LastRow4-ROW(),0)</f>
        <v>0</v>
      </c>
    </row>
    <row r="271" spans="1:37" ht="15" customHeight="1" x14ac:dyDescent="0.25">
      <c r="A271" s="8"/>
      <c r="B271" s="11">
        <f>ROWS($B$4:B271)</f>
        <v>268</v>
      </c>
      <c r="C271" s="12">
        <f>IF(ValuesEntered,IF(הפחתה[[#This Row],[מס'']]&lt;=תקופת_ההלוואה,IF(ROW()-ROW(הפחתה[[#Headers],[תאריך]])=1,LoanStart,IF(I270&gt;0,EDATE(C270,1),"")),""),"")</f>
        <v>53509</v>
      </c>
      <c r="D271" s="13">
        <f>IF(ROW()-ROW(הפחתה[[#Headers],[יתרת פתיחה]])=1,סכום_הלוואה,IF(הפחתה[[#This Row],[תאריך]]="",0,INDEX(הפחתה[], ROW()-4,8)))</f>
        <v>253656.91261326132</v>
      </c>
      <c r="E271" s="13">
        <f>IF(ValuesEntered,IF(ROW()-ROW(הפחתה[[#Headers],[ריבית]])=1,-IPMT(שיעור_ריבית/12,1,תקופת_ההלוואה-ROWS($C$4:C271)+1,הפחתה[[#This Row],[יתרת פתיחה]]),IFERROR(-IPMT(שיעור_ריבית/12,1,הפחתה[[#This Row],[תשלומים
שנותרו]],D272),0)),0)</f>
        <v>1110.5505287223323</v>
      </c>
      <c r="F271" s="13">
        <f>IFERROR(IF(AND(ValuesEntered,הפחתה[[#This Row],[תאריך]]&lt;&gt;""),-PPMT(שיעור_ריבית/12,1,תקופת_ההלוואה-ROWS($C$4:C271)+1,הפחתה[[#This Row],[יתרת פתיחה]]),""),0)</f>
        <v>2211.5098836766488</v>
      </c>
      <c r="G271" s="13">
        <f>(הפחתה[[#This Row],[יתרת פתיחה]])*(מדד/12)</f>
        <v>0</v>
      </c>
      <c r="H271" s="13">
        <f>IF(הפחתה[[#This Row],[תאריך]]="",0,הפחתה[[#This Row],[ריבית]]+הפחתה[[#This Row],[קרן]]+הפחתה[[#This Row],[מדד]])</f>
        <v>3322.060412398981</v>
      </c>
      <c r="I271" s="13">
        <f>IF(הפחתה[[#This Row],[תאריך]]="",0,הפחתה[[#This Row],[יתרת פתיחה]]-הפחתה[[#This Row],[קרן]]+הפחתה[[#This Row],[מדד]])</f>
        <v>251445.40272958466</v>
      </c>
      <c r="J271" s="11">
        <f>IF(הפחתה[[#This Row],[יתרת
סגירה]]&gt;0,LastRow-ROW(),0)</f>
        <v>92</v>
      </c>
      <c r="K271" s="11">
        <f>ROWS($K$4:K271)</f>
        <v>268</v>
      </c>
      <c r="L271" s="12">
        <f>IF(ValuesEntered2,IF(הפחתה5[[#This Row],[מס'']]&lt;=תקופת_ההלוואה2,IF(ROW()-ROW(הפחתה5[[#Headers],[תאריך]])=1,LoanStart2,IF(R270&gt;0,EDATE(L270,1),"")),""),"")</f>
        <v>53509</v>
      </c>
      <c r="M271" s="13">
        <f>IF(ROW()-ROW(הפחתה5[[#Headers],[יתרת פתיחה]])=1,סכום_הלוואה2,IF(הפחתה5[[#This Row],[תאריך]]="",0,INDEX(הפחתה5[], ROW()-4,8)))</f>
        <v>52583.148448004802</v>
      </c>
      <c r="N271" s="13">
        <f>IF(ValuesEntered2,IF(ROW()-ROW(הפחתה5[[#Headers],[ריבית]])=1,-IPMT(שיעור_ריבית2/12,1,תקופת_ההלוואה2-ROWS($L$4:L271)+1,הפחתה5[[#This Row],[יתרת פתיחה]]),IFERROR(-IPMT(שיעור_ריבית2/12,1,הפחתה5[[#This Row],[תשלומים
שנותרו]],M272),0)),0)</f>
        <v>200.09217290217143</v>
      </c>
      <c r="O271" s="13">
        <f>IFERROR(IF(AND(ValuesEntered2,הפחתה5[[#This Row],[תאריך]]&lt;&gt;""),-PPMT(שיעור_ריבית2/12,1,תקופת_ההלוואה2-ROWS($L$4:L271)+1,הפחתה5[[#This Row],[יתרת פתיחה]]),""),0)</f>
        <v>1495.7851538333734</v>
      </c>
      <c r="P271" s="13">
        <f>(הפחתה5[[#This Row],[יתרת פתיחה]])*(מדד2/12)</f>
        <v>0</v>
      </c>
      <c r="Q271" s="13">
        <f>IF(הפחתה5[[#This Row],[תאריך]]="",0,הפחתה5[[#This Row],[ריבית]]+הפחתה5[[#This Row],[קרן]]+הפחתה5[[#This Row],[מדד]])</f>
        <v>1695.8773267355448</v>
      </c>
      <c r="R271" s="13">
        <f>IF(הפחתה5[[#This Row],[תאריך]]="",0,הפחתה5[[#This Row],[יתרת פתיחה]]-הפחתה5[[#This Row],[קרן]]+הפחתה5[[#This Row],[מדד]])</f>
        <v>51087.363294171431</v>
      </c>
      <c r="S271" s="11">
        <f>IF(הפחתה5[[#This Row],[יתרת
סגירה]]&gt;0,LastRow2-ROW(),0)</f>
        <v>32</v>
      </c>
      <c r="T271" s="11">
        <f>ROWS($T$4:T271)</f>
        <v>268</v>
      </c>
      <c r="U271" s="12">
        <f ca="1">IF(ValuesEntered3,IF(הפחתה7[[#This Row],[מס'']]&lt;=תקופת_ההלוואה3,IF(ROW()-ROW(הפחתה7[[#Headers],[תאריך]])=1,LoanStart3,IF(AA270&gt;0,EDATE(U270,1),"")),""),"")</f>
        <v>53748</v>
      </c>
      <c r="V271" s="13">
        <f ca="1">IF(ROW()-ROW(הפחתה7[[#Headers],[יתרת פתיחה]])=1,סכום_הלוואה3,IF(הפחתה7[[#This Row],[תאריך]]="",0,INDEX(הפחתה7[], ROW()-4,8)))</f>
        <v>21930.940033941515</v>
      </c>
      <c r="W271" s="13">
        <f ca="1">IF(ValuesEntered3,IF(ROW()-ROW(הפחתה7[[#Headers],[ריבית]])=1,-IPMT(שיעור_ריבית3/12,1,תקופת_ההלוואה3-ROWS($C$4:U271)+1,הפחתה7[[#This Row],[יתרת פתיחה]]),IFERROR(-IPMT(שיעור_ריבית3/12,1,הפחתה7[[#This Row],[תשלומים
שנותרו]],V272),0)),0)</f>
        <v>40.869230537139934</v>
      </c>
      <c r="X271" s="13">
        <f ca="1">IFERROR(IF(AND(ValuesEntered3,הפחתה7[[#This Row],[תאריך]]&lt;&gt;""),-PPMT(שיעור_ריבית3/12,1,תקופת_ההלוואה3-ROWS($C$4:U271)+1,הפחתה7[[#This Row],[יתרת פתיחה]]),""),0)</f>
        <v>644.41479867869589</v>
      </c>
      <c r="Y271" s="13">
        <f ca="1">(הפחתה7[[#This Row],[יתרת פתיחה]])*(מדד3/12)</f>
        <v>36.551566723235858</v>
      </c>
      <c r="Z271" s="13">
        <f ca="1">IF(הפחתה7[[#This Row],[תאריך]]="",0,הפחתה7[[#This Row],[ריבית]]+הפחתה7[[#This Row],[קרן]]+הפחתה7[[#This Row],[מדד]])</f>
        <v>721.83559593907171</v>
      </c>
      <c r="AA271" s="13">
        <f ca="1">IF(הפחתה7[[#This Row],[תאריך]]="",0,הפחתה7[[#This Row],[יתרת פתיחה]]-הפחתה7[[#This Row],[קרן]]+הפחתה7[[#This Row],[מדד]])</f>
        <v>21323.076801986055</v>
      </c>
      <c r="AB271" s="11">
        <f ca="1">IF(הפחתה7[[#This Row],[יתרת
סגירה]]&gt;0,LastRow3-ROW(),0)</f>
        <v>32</v>
      </c>
      <c r="AC271" s="17">
        <f>ROWS($AC$4:AC271)</f>
        <v>268</v>
      </c>
      <c r="AD271" s="18" t="str">
        <f ca="1">IF(ValuesEntered4,IF(הפחתה8[[#This Row],[מס'']]&lt;=תקופת_ההלוואה4,IF(ROW()-ROW(הפחתה8[[#Headers],[תאריך]])=1,LoanStart4,IF(AJ270&gt;0,EDATE(AD270,1),"")),""),"")</f>
        <v/>
      </c>
      <c r="AE271" s="19">
        <f ca="1">IF(ROW()-ROW(הפחתה8[[#Headers],[יתרת פתיחה]])=1,סכום_הלוואה4,IF(הפחתה8[[#This Row],[תאריך]]="",0,INDEX(הפחתה8[], ROW()-4,8)))</f>
        <v>0</v>
      </c>
      <c r="AF271" s="19">
        <f ca="1">IF(ValuesEntered4,IF(ROW()-ROW(הפחתה8[[#Headers],[ריבית]])=1,-IPMT(שיעור_ריבית4/12,1,תקופת_ההלוואה4-ROWS($C$4:AD271)+1,הפחתה8[[#This Row],[יתרת פתיחה]]),IFERROR(-IPMT(שיעור_ריבית4/12,1,הפחתה8[[#This Row],[תשלומים
שנותרו]],AE272),0)),0)</f>
        <v>0</v>
      </c>
      <c r="AG271" s="19" t="str">
        <f ca="1">IFERROR(IF(AND(ValuesEntered4,הפחתה8[[#This Row],[תאריך]]&lt;&gt;""),-PPMT(שיעור_ריבית4/12,1,תקופת_ההלוואה4-ROWS($C$4:AD271)+1,הפחתה8[[#This Row],[יתרת פתיחה]]),""),0)</f>
        <v/>
      </c>
      <c r="AH271" s="19">
        <f ca="1">(הפחתה8[[#This Row],[יתרת פתיחה]])*(מדד4/12)</f>
        <v>0</v>
      </c>
      <c r="AI271" s="19">
        <f ca="1">IF(הפחתה8[[#This Row],[תאריך]]="",0,הפחתה8[[#This Row],[ריבית]]+הפחתה8[[#This Row],[קרן]]+הפחתה8[[#This Row],[מדד]])</f>
        <v>0</v>
      </c>
      <c r="AJ271" s="19">
        <f ca="1">IF(הפחתה8[[#This Row],[תאריך]]="",0,הפחתה8[[#This Row],[יתרת פתיחה]]-הפחתה8[[#This Row],[קרן]])</f>
        <v>0</v>
      </c>
      <c r="AK271" s="20">
        <f ca="1">IF(הפחתה8[[#This Row],[יתרת
סגירה]]&gt;0,LastRow4-ROW(),0)</f>
        <v>0</v>
      </c>
    </row>
    <row r="272" spans="1:37" ht="15" customHeight="1" x14ac:dyDescent="0.25">
      <c r="A272" s="8"/>
      <c r="B272" s="11">
        <f>ROWS($B$4:B272)</f>
        <v>269</v>
      </c>
      <c r="C272" s="12">
        <f>IF(ValuesEntered,IF(הפחתה[[#This Row],[מס'']]&lt;=תקופת_ההלוואה,IF(ROW()-ROW(הפחתה[[#Headers],[תאריך]])=1,LoanStart,IF(I271&gt;0,EDATE(C271,1),"")),""),"")</f>
        <v>53540</v>
      </c>
      <c r="D272" s="13">
        <f>IF(ROW()-ROW(הפחתה[[#Headers],[יתרת פתיחה]])=1,סכום_הלוואה,IF(הפחתה[[#This Row],[תאריך]]="",0,INDEX(הפחתה[], ROW()-4,8)))</f>
        <v>251445.40272958466</v>
      </c>
      <c r="E272" s="13">
        <f>IF(ValuesEntered,IF(ROW()-ROW(הפחתה[[#Headers],[ריבית]])=1,-IPMT(שיעור_ריבית/12,1,תקופת_ההלוואה-ROWS($C$4:C272)+1,הפחתה[[#This Row],[יתרת פתיחה]]),IFERROR(-IPMT(שיעור_ריבית/12,1,הפחתה[[#This Row],[תשלומים
שנותרו]],D273),0)),0)</f>
        <v>1100.7398869356546</v>
      </c>
      <c r="F272" s="13">
        <f>IFERROR(IF(AND(ValuesEntered,הפחתה[[#This Row],[תאריך]]&lt;&gt;""),-PPMT(שיעור_ריבית/12,1,תקופת_ההלוואה-ROWS($C$4:C272)+1,הפחתה[[#This Row],[יתרת פתיחה]]),""),0)</f>
        <v>2221.2773856628869</v>
      </c>
      <c r="G272" s="13">
        <f>(הפחתה[[#This Row],[יתרת פתיחה]])*(מדד/12)</f>
        <v>0</v>
      </c>
      <c r="H272" s="13">
        <f>IF(הפחתה[[#This Row],[תאריך]]="",0,הפחתה[[#This Row],[ריבית]]+הפחתה[[#This Row],[קרן]]+הפחתה[[#This Row],[מדד]])</f>
        <v>3322.0172725985412</v>
      </c>
      <c r="I272" s="13">
        <f>IF(הפחתה[[#This Row],[תאריך]]="",0,הפחתה[[#This Row],[יתרת פתיחה]]-הפחתה[[#This Row],[קרן]]+הפחתה[[#This Row],[מדד]])</f>
        <v>249224.12534392177</v>
      </c>
      <c r="J272" s="11">
        <f>IF(הפחתה[[#This Row],[יתרת
סגירה]]&gt;0,LastRow-ROW(),0)</f>
        <v>91</v>
      </c>
      <c r="K272" s="11">
        <f>ROWS($K$4:K272)</f>
        <v>269</v>
      </c>
      <c r="L272" s="12">
        <f>IF(ValuesEntered2,IF(הפחתה5[[#This Row],[מס'']]&lt;=תקופת_ההלוואה2,IF(ROW()-ROW(הפחתה5[[#Headers],[תאריך]])=1,LoanStart2,IF(R271&gt;0,EDATE(L271,1),"")),""),"")</f>
        <v>53540</v>
      </c>
      <c r="M272" s="13">
        <f>IF(ROW()-ROW(הפחתה5[[#Headers],[יתרת פתיחה]])=1,סכום_הלוואה2,IF(הפחתה5[[#This Row],[תאריך]]="",0,INDEX(הפחתה5[], ROW()-4,8)))</f>
        <v>51087.363294171431</v>
      </c>
      <c r="N272" s="13">
        <f>IF(ValuesEntered2,IF(ROW()-ROW(הפחתה5[[#Headers],[ריבית]])=1,-IPMT(שיעור_ריבית2/12,1,תקופת_ההלוואה2-ROWS($L$4:L272)+1,הפחתה5[[#This Row],[יתרת פתיחה]]),IFERROR(-IPMT(שיעור_ריבית2/12,1,הפחתה5[[#This Row],[תשלומים
שנותרו]],M273),0)),0)</f>
        <v>194.21073528990169</v>
      </c>
      <c r="O272" s="13">
        <f>IFERROR(IF(AND(ValuesEntered2,הפחתה5[[#This Row],[תאריך]]&lt;&gt;""),-PPMT(שיעור_ריבית2/12,1,תקופת_ההלוואה2-ROWS($L$4:L272)+1,הפחתה5[[#This Row],[יתרת פתיחה]]),""),0)</f>
        <v>1501.6436456858873</v>
      </c>
      <c r="P272" s="13">
        <f>(הפחתה5[[#This Row],[יתרת פתיחה]])*(מדד2/12)</f>
        <v>0</v>
      </c>
      <c r="Q272" s="13">
        <f>IF(הפחתה5[[#This Row],[תאריך]]="",0,הפחתה5[[#This Row],[ריבית]]+הפחתה5[[#This Row],[קרן]]+הפחתה5[[#This Row],[מדד]])</f>
        <v>1695.8543809757891</v>
      </c>
      <c r="R272" s="13">
        <f>IF(הפחתה5[[#This Row],[תאריך]]="",0,הפחתה5[[#This Row],[יתרת פתיחה]]-הפחתה5[[#This Row],[קרן]]+הפחתה5[[#This Row],[מדד]])</f>
        <v>49585.719648485545</v>
      </c>
      <c r="S272" s="11">
        <f>IF(הפחתה5[[#This Row],[יתרת
סגירה]]&gt;0,LastRow2-ROW(),0)</f>
        <v>31</v>
      </c>
      <c r="T272" s="11">
        <f>ROWS($T$4:T272)</f>
        <v>269</v>
      </c>
      <c r="U272" s="12">
        <f ca="1">IF(ValuesEntered3,IF(הפחתה7[[#This Row],[מס'']]&lt;=תקופת_ההלוואה3,IF(ROW()-ROW(הפחתה7[[#Headers],[תאריך]])=1,LoanStart3,IF(AA271&gt;0,EDATE(U271,1),"")),""),"")</f>
        <v>53776</v>
      </c>
      <c r="V272" s="13">
        <f ca="1">IF(ROW()-ROW(הפחתה7[[#Headers],[יתרת פתיחה]])=1,סכום_הלוואה3,IF(הפחתה7[[#This Row],[תאריך]]="",0,INDEX(הפחתה7[], ROW()-4,8)))</f>
        <v>21323.076801986055</v>
      </c>
      <c r="W272" s="13">
        <f ca="1">IF(ValuesEntered3,IF(ROW()-ROW(הפחתה7[[#Headers],[ריבית]])=1,-IPMT(שיעור_ריבית3/12,1,תקופת_ההלוואה3-ROWS($C$4:U272)+1,הפחתה7[[#This Row],[יתרת פתיחה]]),IFERROR(-IPMT(שיעור_ריבית3/12,1,הפחתה7[[#This Row],[תשלומים
שנותרו]],V273),0)),0)</f>
        <v>39.697725296444318</v>
      </c>
      <c r="X272" s="13">
        <f ca="1">IFERROR(IF(AND(ValuesEntered3,הפחתה7[[#This Row],[תאריך]]&lt;&gt;""),-PPMT(שיעור_ריבית3/12,1,תקופת_ההלוואה3-ROWS($C$4:U272)+1,הפחתה7[[#This Row],[יתרת פתיחה]]),""),0)</f>
        <v>646.75858691696806</v>
      </c>
      <c r="Y272" s="13">
        <f ca="1">(הפחתה7[[#This Row],[יתרת פתיחה]])*(מדד3/12)</f>
        <v>35.538461336643429</v>
      </c>
      <c r="Z272" s="13">
        <f ca="1">IF(הפחתה7[[#This Row],[תאריך]]="",0,הפחתה7[[#This Row],[ריבית]]+הפחתה7[[#This Row],[קרן]]+הפחתה7[[#This Row],[מדד]])</f>
        <v>721.99477355005581</v>
      </c>
      <c r="AA272" s="13">
        <f ca="1">IF(הפחתה7[[#This Row],[תאריך]]="",0,הפחתה7[[#This Row],[יתרת פתיחה]]-הפחתה7[[#This Row],[קרן]]+הפחתה7[[#This Row],[מדד]])</f>
        <v>20711.856676405732</v>
      </c>
      <c r="AB272" s="11">
        <f ca="1">IF(הפחתה7[[#This Row],[יתרת
סגירה]]&gt;0,LastRow3-ROW(),0)</f>
        <v>31</v>
      </c>
      <c r="AC272" s="17">
        <f>ROWS($AC$4:AC272)</f>
        <v>269</v>
      </c>
      <c r="AD272" s="18" t="str">
        <f ca="1">IF(ValuesEntered4,IF(הפחתה8[[#This Row],[מס'']]&lt;=תקופת_ההלוואה4,IF(ROW()-ROW(הפחתה8[[#Headers],[תאריך]])=1,LoanStart4,IF(AJ271&gt;0,EDATE(AD271,1),"")),""),"")</f>
        <v/>
      </c>
      <c r="AE272" s="19">
        <f ca="1">IF(ROW()-ROW(הפחתה8[[#Headers],[יתרת פתיחה]])=1,סכום_הלוואה4,IF(הפחתה8[[#This Row],[תאריך]]="",0,INDEX(הפחתה8[], ROW()-4,8)))</f>
        <v>0</v>
      </c>
      <c r="AF272" s="19">
        <f ca="1">IF(ValuesEntered4,IF(ROW()-ROW(הפחתה8[[#Headers],[ריבית]])=1,-IPMT(שיעור_ריבית4/12,1,תקופת_ההלוואה4-ROWS($C$4:AD272)+1,הפחתה8[[#This Row],[יתרת פתיחה]]),IFERROR(-IPMT(שיעור_ריבית4/12,1,הפחתה8[[#This Row],[תשלומים
שנותרו]],AE273),0)),0)</f>
        <v>0</v>
      </c>
      <c r="AG272" s="19" t="str">
        <f ca="1">IFERROR(IF(AND(ValuesEntered4,הפחתה8[[#This Row],[תאריך]]&lt;&gt;""),-PPMT(שיעור_ריבית4/12,1,תקופת_ההלוואה4-ROWS($C$4:AD272)+1,הפחתה8[[#This Row],[יתרת פתיחה]]),""),0)</f>
        <v/>
      </c>
      <c r="AH272" s="19">
        <f ca="1">(הפחתה8[[#This Row],[יתרת פתיחה]])*(מדד4/12)</f>
        <v>0</v>
      </c>
      <c r="AI272" s="19">
        <f ca="1">IF(הפחתה8[[#This Row],[תאריך]]="",0,הפחתה8[[#This Row],[ריבית]]+הפחתה8[[#This Row],[קרן]]+הפחתה8[[#This Row],[מדד]])</f>
        <v>0</v>
      </c>
      <c r="AJ272" s="19">
        <f ca="1">IF(הפחתה8[[#This Row],[תאריך]]="",0,הפחתה8[[#This Row],[יתרת פתיחה]]-הפחתה8[[#This Row],[קרן]])</f>
        <v>0</v>
      </c>
      <c r="AK272" s="20">
        <f ca="1">IF(הפחתה8[[#This Row],[יתרת
סגירה]]&gt;0,LastRow4-ROW(),0)</f>
        <v>0</v>
      </c>
    </row>
    <row r="273" spans="1:37" ht="15" customHeight="1" x14ac:dyDescent="0.25">
      <c r="A273" s="8"/>
      <c r="B273" s="11">
        <f>ROWS($B$4:B273)</f>
        <v>270</v>
      </c>
      <c r="C273" s="12">
        <f>IF(ValuesEntered,IF(הפחתה[[#This Row],[מס'']]&lt;=תקופת_ההלוואה,IF(ROW()-ROW(הפחתה[[#Headers],[תאריך]])=1,LoanStart,IF(I272&gt;0,EDATE(C272,1),"")),""),"")</f>
        <v>53571</v>
      </c>
      <c r="D273" s="13">
        <f>IF(ROW()-ROW(הפחתה[[#Headers],[יתרת פתיחה]])=1,סכום_הלוואה,IF(הפחתה[[#This Row],[תאריך]]="",0,INDEX(הפחתה[], ROW()-4,8)))</f>
        <v>249224.12534392177</v>
      </c>
      <c r="E273" s="13">
        <f>IF(ValuesEntered,IF(ROW()-ROW(הפחתה[[#Headers],[ריבית]])=1,-IPMT(שיעור_ריבית/12,1,תקופת_ההלוואה-ROWS($C$4:C273)+1,הפחתה[[#This Row],[יתרת פתיחה]]),IFERROR(-IPMT(שיעור_ריבית/12,1,הפחתה[[#This Row],[תשלומים
שנותרו]],D274),0)),0)</f>
        <v>1090.885914814419</v>
      </c>
      <c r="F273" s="13">
        <f>IFERROR(IF(AND(ValuesEntered,הפחתה[[#This Row],[תאריך]]&lt;&gt;""),-PPMT(שיעור_ריבית/12,1,תקופת_ההלוואה-ROWS($C$4:C273)+1,הפחתה[[#This Row],[יתרת פתיחה]]),""),0)</f>
        <v>2231.0880274495648</v>
      </c>
      <c r="G273" s="13">
        <f>(הפחתה[[#This Row],[יתרת פתיחה]])*(מדד/12)</f>
        <v>0</v>
      </c>
      <c r="H273" s="13">
        <f>IF(הפחתה[[#This Row],[תאריך]]="",0,הפחתה[[#This Row],[ריבית]]+הפחתה[[#This Row],[קרן]]+הפחתה[[#This Row],[מדד]])</f>
        <v>3321.9739422639841</v>
      </c>
      <c r="I273" s="13">
        <f>IF(הפחתה[[#This Row],[תאריך]]="",0,הפחתה[[#This Row],[יתרת פתיחה]]-הפחתה[[#This Row],[קרן]]+הפחתה[[#This Row],[מדד]])</f>
        <v>246993.03731647221</v>
      </c>
      <c r="J273" s="11">
        <f>IF(הפחתה[[#This Row],[יתרת
סגירה]]&gt;0,LastRow-ROW(),0)</f>
        <v>90</v>
      </c>
      <c r="K273" s="11">
        <f>ROWS($K$4:K273)</f>
        <v>270</v>
      </c>
      <c r="L273" s="12">
        <f>IF(ValuesEntered2,IF(הפחתה5[[#This Row],[מס'']]&lt;=תקופת_ההלוואה2,IF(ROW()-ROW(הפחתה5[[#Headers],[תאריך]])=1,LoanStart2,IF(R272&gt;0,EDATE(L272,1),"")),""),"")</f>
        <v>53571</v>
      </c>
      <c r="M273" s="13">
        <f>IF(ROW()-ROW(הפחתה5[[#Headers],[יתרת פתיחה]])=1,סכום_הלוואה2,IF(הפחתה5[[#This Row],[תאריך]]="",0,INDEX(הפחתה5[], ROW()-4,8)))</f>
        <v>49585.719648485545</v>
      </c>
      <c r="N273" s="13">
        <f>IF(ValuesEntered2,IF(ROW()-ROW(הפחתה5[[#Headers],[ריבית]])=1,-IPMT(שיעור_ריבית2/12,1,תקופת_ההלוואה2-ROWS($L$4:L273)+1,הפחתה5[[#This Row],[יתרת פתיחה]]),IFERROR(-IPMT(שיעור_ריבית2/12,1,הפחתה5[[#This Row],[תשלומים
שנותרו]],M274),0)),0)</f>
        <v>188.30626204698393</v>
      </c>
      <c r="O273" s="13">
        <f>IFERROR(IF(AND(ValuesEntered2,הפחתה5[[#This Row],[תאריך]]&lt;&gt;""),-PPMT(שיעור_ריבית2/12,1,תקופת_ההלוואה2-ROWS($L$4:L273)+1,הפחתה5[[#This Row],[יתרת פתיחה]]),""),0)</f>
        <v>1507.5250832981574</v>
      </c>
      <c r="P273" s="13">
        <f>(הפחתה5[[#This Row],[יתרת פתיחה]])*(מדד2/12)</f>
        <v>0</v>
      </c>
      <c r="Q273" s="13">
        <f>IF(הפחתה5[[#This Row],[תאריך]]="",0,הפחתה5[[#This Row],[ריבית]]+הפחתה5[[#This Row],[קרן]]+הפחתה5[[#This Row],[מדד]])</f>
        <v>1695.8313453451412</v>
      </c>
      <c r="R273" s="13">
        <f>IF(הפחתה5[[#This Row],[תאריך]]="",0,הפחתה5[[#This Row],[יתרת פתיחה]]-הפחתה5[[#This Row],[קרן]]+הפחתה5[[#This Row],[מדד]])</f>
        <v>48078.19456518739</v>
      </c>
      <c r="S273" s="11">
        <f>IF(הפחתה5[[#This Row],[יתרת
סגירה]]&gt;0,LastRow2-ROW(),0)</f>
        <v>30</v>
      </c>
      <c r="T273" s="11">
        <f>ROWS($T$4:T273)</f>
        <v>270</v>
      </c>
      <c r="U273" s="12">
        <f ca="1">IF(ValuesEntered3,IF(הפחתה7[[#This Row],[מס'']]&lt;=תקופת_ההלוואה3,IF(ROW()-ROW(הפחתה7[[#Headers],[תאריך]])=1,LoanStart3,IF(AA272&gt;0,EDATE(U272,1),"")),""),"")</f>
        <v>53807</v>
      </c>
      <c r="V273" s="13">
        <f ca="1">IF(ROW()-ROW(הפחתה7[[#Headers],[יתרת פתיחה]])=1,סכום_הלוואה3,IF(הפחתה7[[#This Row],[תאריך]]="",0,INDEX(הפחתה7[], ROW()-4,8)))</f>
        <v>20711.856676405732</v>
      </c>
      <c r="W273" s="13">
        <f ca="1">IF(ValuesEntered3,IF(ROW()-ROW(הפחתה7[[#Headers],[ריבית]])=1,-IPMT(שיעור_ריבית3/12,1,תקופת_ההלוואה3-ROWS($C$4:U273)+1,הפחתה7[[#This Row],[יתרת פתיחה]]),IFERROR(-IPMT(שיעור_ריבית3/12,1,הפחתה7[[#This Row],[תשלומים
שנותרו]],V274),0)),0)</f>
        <v>38.519756863452415</v>
      </c>
      <c r="X273" s="13">
        <f ca="1">IFERROR(IF(AND(ValuesEntered3,הפחתה7[[#This Row],[תאריך]]&lt;&gt;""),-PPMT(שיעור_ריבית3/12,1,תקופת_ההלוואה3-ROWS($C$4:U273)+1,הפחתה7[[#This Row],[יתרת פתיחה]]),""),0)</f>
        <v>649.11198703616196</v>
      </c>
      <c r="Y273" s="13">
        <f ca="1">(הפחתה7[[#This Row],[יתרת פתיחה]])*(מדד3/12)</f>
        <v>34.519761127342889</v>
      </c>
      <c r="Z273" s="13">
        <f ca="1">IF(הפחתה7[[#This Row],[תאריך]]="",0,הפחתה7[[#This Row],[ריבית]]+הפחתה7[[#This Row],[קרן]]+הפחתה7[[#This Row],[מדד]])</f>
        <v>722.15150502695724</v>
      </c>
      <c r="AA273" s="13">
        <f ca="1">IF(הפחתה7[[#This Row],[תאריך]]="",0,הפחתה7[[#This Row],[יתרת פתיחה]]-הפחתה7[[#This Row],[קרן]]+הפחתה7[[#This Row],[מדד]])</f>
        <v>20097.264450496914</v>
      </c>
      <c r="AB273" s="11">
        <f ca="1">IF(הפחתה7[[#This Row],[יתרת
סגירה]]&gt;0,LastRow3-ROW(),0)</f>
        <v>30</v>
      </c>
      <c r="AC273" s="17">
        <f>ROWS($AC$4:AC273)</f>
        <v>270</v>
      </c>
      <c r="AD273" s="18" t="str">
        <f ca="1">IF(ValuesEntered4,IF(הפחתה8[[#This Row],[מס'']]&lt;=תקופת_ההלוואה4,IF(ROW()-ROW(הפחתה8[[#Headers],[תאריך]])=1,LoanStart4,IF(AJ272&gt;0,EDATE(AD272,1),"")),""),"")</f>
        <v/>
      </c>
      <c r="AE273" s="19">
        <f ca="1">IF(ROW()-ROW(הפחתה8[[#Headers],[יתרת פתיחה]])=1,סכום_הלוואה4,IF(הפחתה8[[#This Row],[תאריך]]="",0,INDEX(הפחתה8[], ROW()-4,8)))</f>
        <v>0</v>
      </c>
      <c r="AF273" s="19">
        <f ca="1">IF(ValuesEntered4,IF(ROW()-ROW(הפחתה8[[#Headers],[ריבית]])=1,-IPMT(שיעור_ריבית4/12,1,תקופת_ההלוואה4-ROWS($C$4:AD273)+1,הפחתה8[[#This Row],[יתרת פתיחה]]),IFERROR(-IPMT(שיעור_ריבית4/12,1,הפחתה8[[#This Row],[תשלומים
שנותרו]],AE274),0)),0)</f>
        <v>0</v>
      </c>
      <c r="AG273" s="19" t="str">
        <f ca="1">IFERROR(IF(AND(ValuesEntered4,הפחתה8[[#This Row],[תאריך]]&lt;&gt;""),-PPMT(שיעור_ריבית4/12,1,תקופת_ההלוואה4-ROWS($C$4:AD273)+1,הפחתה8[[#This Row],[יתרת פתיחה]]),""),0)</f>
        <v/>
      </c>
      <c r="AH273" s="19">
        <f ca="1">(הפחתה8[[#This Row],[יתרת פתיחה]])*(מדד4/12)</f>
        <v>0</v>
      </c>
      <c r="AI273" s="19">
        <f ca="1">IF(הפחתה8[[#This Row],[תאריך]]="",0,הפחתה8[[#This Row],[ריבית]]+הפחתה8[[#This Row],[קרן]]+הפחתה8[[#This Row],[מדד]])</f>
        <v>0</v>
      </c>
      <c r="AJ273" s="19">
        <f ca="1">IF(הפחתה8[[#This Row],[תאריך]]="",0,הפחתה8[[#This Row],[יתרת פתיחה]]-הפחתה8[[#This Row],[קרן]])</f>
        <v>0</v>
      </c>
      <c r="AK273" s="20">
        <f ca="1">IF(הפחתה8[[#This Row],[יתרת
סגירה]]&gt;0,LastRow4-ROW(),0)</f>
        <v>0</v>
      </c>
    </row>
    <row r="274" spans="1:37" ht="15" customHeight="1" x14ac:dyDescent="0.25">
      <c r="A274" s="8"/>
      <c r="B274" s="11">
        <f>ROWS($B$4:B274)</f>
        <v>271</v>
      </c>
      <c r="C274" s="12">
        <f>IF(ValuesEntered,IF(הפחתה[[#This Row],[מס'']]&lt;=תקופת_ההלוואה,IF(ROW()-ROW(הפחתה[[#Headers],[תאריך]])=1,LoanStart,IF(I273&gt;0,EDATE(C273,1),"")),""),"")</f>
        <v>53601</v>
      </c>
      <c r="D274" s="13">
        <f>IF(ROW()-ROW(הפחתה[[#Headers],[יתרת פתיחה]])=1,סכום_הלוואה,IF(הפחתה[[#This Row],[תאריך]]="",0,INDEX(הפחתה[], ROW()-4,8)))</f>
        <v>246993.03731647221</v>
      </c>
      <c r="E274" s="13">
        <f>IF(ValuesEntered,IF(ROW()-ROW(הפחתה[[#Headers],[ריבית]])=1,-IPMT(שיעור_ריבית/12,1,תקופת_ההלוואה-ROWS($C$4:C274)+1,הפחתה[[#This Row],[יתרת פתיחה]]),IFERROR(-IPMT(שיעור_ריבית/12,1,הפחתה[[#This Row],[תשלומים
שנותרו]],D275),0)),0)</f>
        <v>1080.9884209829811</v>
      </c>
      <c r="F274" s="13">
        <f>IFERROR(IF(AND(ValuesEntered,הפחתה[[#This Row],[תאריך]]&lt;&gt;""),-PPMT(שיעור_ריבית/12,1,תקופת_ההלוואה-ROWS($C$4:C274)+1,הפחתה[[#This Row],[יתרת פתיחה]]),""),0)</f>
        <v>2240.9419995707999</v>
      </c>
      <c r="G274" s="13">
        <f>(הפחתה[[#This Row],[יתרת פתיחה]])*(מדד/12)</f>
        <v>0</v>
      </c>
      <c r="H274" s="13">
        <f>IF(הפחתה[[#This Row],[תאריך]]="",0,הפחתה[[#This Row],[ריבית]]+הפחתה[[#This Row],[קרן]]+הפחתה[[#This Row],[מדד]])</f>
        <v>3321.930420553781</v>
      </c>
      <c r="I274" s="13">
        <f>IF(הפחתה[[#This Row],[תאריך]]="",0,הפחתה[[#This Row],[יתרת פתיחה]]-הפחתה[[#This Row],[קרן]]+הפחתה[[#This Row],[מדד]])</f>
        <v>244752.09531690142</v>
      </c>
      <c r="J274" s="11">
        <f>IF(הפחתה[[#This Row],[יתרת
סגירה]]&gt;0,LastRow-ROW(),0)</f>
        <v>89</v>
      </c>
      <c r="K274" s="11">
        <f>ROWS($K$4:K274)</f>
        <v>271</v>
      </c>
      <c r="L274" s="12">
        <f>IF(ValuesEntered2,IF(הפחתה5[[#This Row],[מס'']]&lt;=תקופת_ההלוואה2,IF(ROW()-ROW(הפחתה5[[#Headers],[תאריך]])=1,LoanStart2,IF(R273&gt;0,EDATE(L273,1),"")),""),"")</f>
        <v>53601</v>
      </c>
      <c r="M274" s="13">
        <f>IF(ROW()-ROW(הפחתה5[[#Headers],[יתרת פתיחה]])=1,סכום_הלוואה2,IF(הפחתה5[[#This Row],[תאריך]]="",0,INDEX(הפחתה5[], ROW()-4,8)))</f>
        <v>48078.19456518739</v>
      </c>
      <c r="N274" s="13">
        <f>IF(ValuesEntered2,IF(ROW()-ROW(הפחתה5[[#Headers],[ריבית]])=1,-IPMT(שיעור_ריבית2/12,1,תקופת_ההלוואה2-ROWS($L$4:L274)+1,הפחתה5[[#This Row],[יתרת פתיחה]]),IFERROR(-IPMT(שיעור_ריבית2/12,1,הפחתה5[[#This Row],[תשלומים
שנותרו]],M275),0)),0)</f>
        <v>182.37866295053141</v>
      </c>
      <c r="O274" s="13">
        <f>IFERROR(IF(AND(ValuesEntered2,הפחתה5[[#This Row],[תאריך]]&lt;&gt;""),-PPMT(שיעור_ריבית2/12,1,תקופת_ההלוואה2-ROWS($L$4:L274)+1,הפחתה5[[#This Row],[יתרת פתיחה]]),""),0)</f>
        <v>1513.429556541075</v>
      </c>
      <c r="P274" s="13">
        <f>(הפחתה5[[#This Row],[יתרת פתיחה]])*(מדד2/12)</f>
        <v>0</v>
      </c>
      <c r="Q274" s="13">
        <f>IF(הפחתה5[[#This Row],[תאריך]]="",0,הפחתה5[[#This Row],[ריבית]]+הפחתה5[[#This Row],[קרן]]+הפחתה5[[#This Row],[מדד]])</f>
        <v>1695.8082194916065</v>
      </c>
      <c r="R274" s="13">
        <f>IF(הפחתה5[[#This Row],[תאריך]]="",0,הפחתה5[[#This Row],[יתרת פתיחה]]-הפחתה5[[#This Row],[קרן]]+הפחתה5[[#This Row],[מדד]])</f>
        <v>46564.765008646318</v>
      </c>
      <c r="S274" s="11">
        <f>IF(הפחתה5[[#This Row],[יתרת
סגירה]]&gt;0,LastRow2-ROW(),0)</f>
        <v>29</v>
      </c>
      <c r="T274" s="11">
        <f>ROWS($T$4:T274)</f>
        <v>271</v>
      </c>
      <c r="U274" s="12">
        <f ca="1">IF(ValuesEntered3,IF(הפחתה7[[#This Row],[מס'']]&lt;=תקופת_ההלוואה3,IF(ROW()-ROW(הפחתה7[[#Headers],[תאריך]])=1,LoanStart3,IF(AA273&gt;0,EDATE(U273,1),"")),""),"")</f>
        <v>53837</v>
      </c>
      <c r="V274" s="13">
        <f ca="1">IF(ROW()-ROW(הפחתה7[[#Headers],[יתרת פתיחה]])=1,סכום_הלוואה3,IF(הפחתה7[[#This Row],[תאריך]]="",0,INDEX(הפחתה7[], ROW()-4,8)))</f>
        <v>20097.264450496914</v>
      </c>
      <c r="W274" s="13">
        <f ca="1">IF(ValuesEntered3,IF(ROW()-ROW(הפחתה7[[#Headers],[ריבית]])=1,-IPMT(שיעור_ריבית3/12,1,תקופת_ההלוואה3-ROWS($C$4:U274)+1,הפחתה7[[#This Row],[יתרת פתיחה]]),IFERROR(-IPMT(שיעור_ריבית3/12,1,הפחתה7[[#This Row],[תשלומים
שנותרו]],V275),0)),0)</f>
        <v>37.335295821748289</v>
      </c>
      <c r="X274" s="13">
        <f ca="1">IFERROR(IF(AND(ValuesEntered3,הפחתה7[[#This Row],[תאריך]]&lt;&gt;""),-PPMT(שיעור_ריבית3/12,1,תקופת_ההלוואה3-ROWS($C$4:U274)+1,הפחתה7[[#This Row],[יתרת פתיחה]]),""),0)</f>
        <v>651.47511468341213</v>
      </c>
      <c r="Y274" s="13">
        <f ca="1">(הפחתה7[[#This Row],[יתרת פתיחה]])*(מדד3/12)</f>
        <v>33.495440750828195</v>
      </c>
      <c r="Z274" s="13">
        <f ca="1">IF(הפחתה7[[#This Row],[תאריך]]="",0,הפחתה7[[#This Row],[ריבית]]+הפחתה7[[#This Row],[קרן]]+הפחתה7[[#This Row],[מדד]])</f>
        <v>722.30585125598861</v>
      </c>
      <c r="AA274" s="13">
        <f ca="1">IF(הפחתה7[[#This Row],[תאריך]]="",0,הפחתה7[[#This Row],[יתרת פתיחה]]-הפחתה7[[#This Row],[קרן]]+הפחתה7[[#This Row],[מדד]])</f>
        <v>19479.284776564327</v>
      </c>
      <c r="AB274" s="11">
        <f ca="1">IF(הפחתה7[[#This Row],[יתרת
סגירה]]&gt;0,LastRow3-ROW(),0)</f>
        <v>29</v>
      </c>
      <c r="AC274" s="17">
        <f>ROWS($AC$4:AC274)</f>
        <v>271</v>
      </c>
      <c r="AD274" s="18" t="str">
        <f ca="1">IF(ValuesEntered4,IF(הפחתה8[[#This Row],[מס'']]&lt;=תקופת_ההלוואה4,IF(ROW()-ROW(הפחתה8[[#Headers],[תאריך]])=1,LoanStart4,IF(AJ273&gt;0,EDATE(AD273,1),"")),""),"")</f>
        <v/>
      </c>
      <c r="AE274" s="19">
        <f ca="1">IF(ROW()-ROW(הפחתה8[[#Headers],[יתרת פתיחה]])=1,סכום_הלוואה4,IF(הפחתה8[[#This Row],[תאריך]]="",0,INDEX(הפחתה8[], ROW()-4,8)))</f>
        <v>0</v>
      </c>
      <c r="AF274" s="19">
        <f ca="1">IF(ValuesEntered4,IF(ROW()-ROW(הפחתה8[[#Headers],[ריבית]])=1,-IPMT(שיעור_ריבית4/12,1,תקופת_ההלוואה4-ROWS($C$4:AD274)+1,הפחתה8[[#This Row],[יתרת פתיחה]]),IFERROR(-IPMT(שיעור_ריבית4/12,1,הפחתה8[[#This Row],[תשלומים
שנותרו]],AE275),0)),0)</f>
        <v>0</v>
      </c>
      <c r="AG274" s="19" t="str">
        <f ca="1">IFERROR(IF(AND(ValuesEntered4,הפחתה8[[#This Row],[תאריך]]&lt;&gt;""),-PPMT(שיעור_ריבית4/12,1,תקופת_ההלוואה4-ROWS($C$4:AD274)+1,הפחתה8[[#This Row],[יתרת פתיחה]]),""),0)</f>
        <v/>
      </c>
      <c r="AH274" s="19">
        <f ca="1">(הפחתה8[[#This Row],[יתרת פתיחה]])*(מדד4/12)</f>
        <v>0</v>
      </c>
      <c r="AI274" s="19">
        <f ca="1">IF(הפחתה8[[#This Row],[תאריך]]="",0,הפחתה8[[#This Row],[ריבית]]+הפחתה8[[#This Row],[קרן]]+הפחתה8[[#This Row],[מדד]])</f>
        <v>0</v>
      </c>
      <c r="AJ274" s="19">
        <f ca="1">IF(הפחתה8[[#This Row],[תאריך]]="",0,הפחתה8[[#This Row],[יתרת פתיחה]]-הפחתה8[[#This Row],[קרן]])</f>
        <v>0</v>
      </c>
      <c r="AK274" s="20">
        <f ca="1">IF(הפחתה8[[#This Row],[יתרת
סגירה]]&gt;0,LastRow4-ROW(),0)</f>
        <v>0</v>
      </c>
    </row>
    <row r="275" spans="1:37" ht="15" customHeight="1" x14ac:dyDescent="0.25">
      <c r="A275" s="8"/>
      <c r="B275" s="11">
        <f>ROWS($B$4:B275)</f>
        <v>272</v>
      </c>
      <c r="C275" s="12">
        <f>IF(ValuesEntered,IF(הפחתה[[#This Row],[מס'']]&lt;=תקופת_ההלוואה,IF(ROW()-ROW(הפחתה[[#Headers],[תאריך]])=1,LoanStart,IF(I274&gt;0,EDATE(C274,1),"")),""),"")</f>
        <v>53632</v>
      </c>
      <c r="D275" s="13">
        <f>IF(ROW()-ROW(הפחתה[[#Headers],[יתרת פתיחה]])=1,סכום_הלוואה,IF(הפחתה[[#This Row],[תאריך]]="",0,INDEX(הפחתה[], ROW()-4,8)))</f>
        <v>244752.09531690142</v>
      </c>
      <c r="E275" s="13">
        <f>IF(ValuesEntered,IF(ROW()-ROW(הפחתה[[#Headers],[ריבית]])=1,-IPMT(שיעור_ריבית/12,1,תקופת_ההלוואה-ROWS($C$4:C275)+1,הפחתה[[#This Row],[יתרת פתיחה]]),IFERROR(-IPMT(שיעור_ריבית/12,1,הפחתה[[#This Row],[תשלומים
שנותרו]],D276),0)),0)</f>
        <v>1071.0472132204548</v>
      </c>
      <c r="F275" s="13">
        <f>IFERROR(IF(AND(ValuesEntered,הפחתה[[#This Row],[תאריך]]&lt;&gt;""),-PPMT(שיעור_ריבית/12,1,תקופת_ההלוואה-ROWS($C$4:C275)+1,הפחתה[[#This Row],[יתרת פתיחה]]),""),0)</f>
        <v>2250.8394934022372</v>
      </c>
      <c r="G275" s="13">
        <f>(הפחתה[[#This Row],[יתרת פתיחה]])*(מדד/12)</f>
        <v>0</v>
      </c>
      <c r="H275" s="13">
        <f>IF(הפחתה[[#This Row],[תאריך]]="",0,הפחתה[[#This Row],[ריבית]]+הפחתה[[#This Row],[קרן]]+הפחתה[[#This Row],[מדד]])</f>
        <v>3321.8867066226921</v>
      </c>
      <c r="I275" s="13">
        <f>IF(הפחתה[[#This Row],[תאריך]]="",0,הפחתה[[#This Row],[יתרת פתיחה]]-הפחתה[[#This Row],[קרן]]+הפחתה[[#This Row],[מדד]])</f>
        <v>242501.25582349917</v>
      </c>
      <c r="J275" s="11">
        <f>IF(הפחתה[[#This Row],[יתרת
סגירה]]&gt;0,LastRow-ROW(),0)</f>
        <v>88</v>
      </c>
      <c r="K275" s="11">
        <f>ROWS($K$4:K275)</f>
        <v>272</v>
      </c>
      <c r="L275" s="12">
        <f>IF(ValuesEntered2,IF(הפחתה5[[#This Row],[מס'']]&lt;=תקופת_ההלוואה2,IF(ROW()-ROW(הפחתה5[[#Headers],[תאריך]])=1,LoanStart2,IF(R274&gt;0,EDATE(L274,1),"")),""),"")</f>
        <v>53632</v>
      </c>
      <c r="M275" s="13">
        <f>IF(ROW()-ROW(הפחתה5[[#Headers],[יתרת פתיחה]])=1,סכום_הלוואה2,IF(הפחתה5[[#This Row],[תאריך]]="",0,INDEX(הפחתה5[], ROW()-4,8)))</f>
        <v>46564.765008646318</v>
      </c>
      <c r="N275" s="13">
        <f>IF(ValuesEntered2,IF(ROW()-ROW(הפחתה5[[#Headers],[ריבית]])=1,-IPMT(שיעור_ריבית2/12,1,תקופת_ההלוואה2-ROWS($L$4:L275)+1,הפחתה5[[#This Row],[יתרת פתיחה]]),IFERROR(-IPMT(שיעור_ריבית2/12,1,הפחתה5[[#This Row],[תשלומים
שנותרו]],M276),0)),0)</f>
        <v>176.42784742428444</v>
      </c>
      <c r="O275" s="13">
        <f>IFERROR(IF(AND(ValuesEntered2,הפחתה5[[#This Row],[תאריך]]&lt;&gt;""),-PPMT(שיעור_ריבית2/12,1,תקופת_ההלוואה2-ROWS($L$4:L275)+1,הפחתה5[[#This Row],[יתרת פתיחה]]),""),0)</f>
        <v>1519.357155637528</v>
      </c>
      <c r="P275" s="13">
        <f>(הפחתה5[[#This Row],[יתרת פתיחה]])*(מדד2/12)</f>
        <v>0</v>
      </c>
      <c r="Q275" s="13">
        <f>IF(הפחתה5[[#This Row],[תאריך]]="",0,הפחתה5[[#This Row],[ריבית]]+הפחתה5[[#This Row],[קרן]]+הפחתה5[[#This Row],[מדד]])</f>
        <v>1695.7850030618124</v>
      </c>
      <c r="R275" s="13">
        <f>IF(הפחתה5[[#This Row],[תאריך]]="",0,הפחתה5[[#This Row],[יתרת פתיחה]]-הפחתה5[[#This Row],[קרן]]+הפחתה5[[#This Row],[מדד]])</f>
        <v>45045.407853008794</v>
      </c>
      <c r="S275" s="11">
        <f>IF(הפחתה5[[#This Row],[יתרת
סגירה]]&gt;0,LastRow2-ROW(),0)</f>
        <v>28</v>
      </c>
      <c r="T275" s="11">
        <f>ROWS($T$4:T275)</f>
        <v>272</v>
      </c>
      <c r="U275" s="12">
        <f ca="1">IF(ValuesEntered3,IF(הפחתה7[[#This Row],[מס'']]&lt;=תקופת_ההלוואה3,IF(ROW()-ROW(הפחתה7[[#Headers],[תאריך]])=1,LoanStart3,IF(AA274&gt;0,EDATE(U274,1),"")),""),"")</f>
        <v>53868</v>
      </c>
      <c r="V275" s="13">
        <f ca="1">IF(ROW()-ROW(הפחתה7[[#Headers],[יתרת פתיחה]])=1,סכום_הלוואה3,IF(הפחתה7[[#This Row],[תאריך]]="",0,INDEX(הפחתה7[], ROW()-4,8)))</f>
        <v>19479.284776564327</v>
      </c>
      <c r="W275" s="13">
        <f ca="1">IF(ValuesEntered3,IF(ROW()-ROW(הפחתה7[[#Headers],[ריבית]])=1,-IPMT(שיעור_ריבית3/12,1,תקופת_ההלוואה3-ROWS($C$4:U275)+1,הפחתה7[[#This Row],[יתרת פתיחה]]),IFERROR(-IPMT(שיעור_ריבית3/12,1,הפחתה7[[#This Row],[תשלומים
שנותרו]],V276),0)),0)</f>
        <v>36.144312467325996</v>
      </c>
      <c r="X275" s="13">
        <f ca="1">IFERROR(IF(AND(ValuesEntered3,הפחתה7[[#This Row],[תאריך]]&lt;&gt;""),-PPMT(שיעור_ריבית3/12,1,תקופת_ההלוואה3-ROWS($C$4:U275)+1,הפחתה7[[#This Row],[יתרת פתיחה]]),""),0)</f>
        <v>653.84809432619488</v>
      </c>
      <c r="Y275" s="13">
        <f ca="1">(הפחתה7[[#This Row],[יתרת פתיחה]])*(מדד3/12)</f>
        <v>32.465474627607215</v>
      </c>
      <c r="Z275" s="13">
        <f ca="1">IF(הפחתה7[[#This Row],[תאריך]]="",0,הפחתה7[[#This Row],[ריבית]]+הפחתה7[[#This Row],[קרן]]+הפחתה7[[#This Row],[מדד]])</f>
        <v>722.45788142112815</v>
      </c>
      <c r="AA275" s="13">
        <f ca="1">IF(הפחתה7[[#This Row],[תאריך]]="",0,הפחתה7[[#This Row],[יתרת פתיחה]]-הפחתה7[[#This Row],[קרן]]+הפחתה7[[#This Row],[מדד]])</f>
        <v>18857.902156865737</v>
      </c>
      <c r="AB275" s="11">
        <f ca="1">IF(הפחתה7[[#This Row],[יתרת
סגירה]]&gt;0,LastRow3-ROW(),0)</f>
        <v>28</v>
      </c>
      <c r="AC275" s="17">
        <f>ROWS($AC$4:AC275)</f>
        <v>272</v>
      </c>
      <c r="AD275" s="18" t="str">
        <f ca="1">IF(ValuesEntered4,IF(הפחתה8[[#This Row],[מס'']]&lt;=תקופת_ההלוואה4,IF(ROW()-ROW(הפחתה8[[#Headers],[תאריך]])=1,LoanStart4,IF(AJ274&gt;0,EDATE(AD274,1),"")),""),"")</f>
        <v/>
      </c>
      <c r="AE275" s="19">
        <f ca="1">IF(ROW()-ROW(הפחתה8[[#Headers],[יתרת פתיחה]])=1,סכום_הלוואה4,IF(הפחתה8[[#This Row],[תאריך]]="",0,INDEX(הפחתה8[], ROW()-4,8)))</f>
        <v>0</v>
      </c>
      <c r="AF275" s="19">
        <f ca="1">IF(ValuesEntered4,IF(ROW()-ROW(הפחתה8[[#Headers],[ריבית]])=1,-IPMT(שיעור_ריבית4/12,1,תקופת_ההלוואה4-ROWS($C$4:AD275)+1,הפחתה8[[#This Row],[יתרת פתיחה]]),IFERROR(-IPMT(שיעור_ריבית4/12,1,הפחתה8[[#This Row],[תשלומים
שנותרו]],AE276),0)),0)</f>
        <v>0</v>
      </c>
      <c r="AG275" s="19" t="str">
        <f ca="1">IFERROR(IF(AND(ValuesEntered4,הפחתה8[[#This Row],[תאריך]]&lt;&gt;""),-PPMT(שיעור_ריבית4/12,1,תקופת_ההלוואה4-ROWS($C$4:AD275)+1,הפחתה8[[#This Row],[יתרת פתיחה]]),""),0)</f>
        <v/>
      </c>
      <c r="AH275" s="19">
        <f ca="1">(הפחתה8[[#This Row],[יתרת פתיחה]])*(מדד4/12)</f>
        <v>0</v>
      </c>
      <c r="AI275" s="19">
        <f ca="1">IF(הפחתה8[[#This Row],[תאריך]]="",0,הפחתה8[[#This Row],[ריבית]]+הפחתה8[[#This Row],[קרן]]+הפחתה8[[#This Row],[מדד]])</f>
        <v>0</v>
      </c>
      <c r="AJ275" s="19">
        <f ca="1">IF(הפחתה8[[#This Row],[תאריך]]="",0,הפחתה8[[#This Row],[יתרת פתיחה]]-הפחתה8[[#This Row],[קרן]])</f>
        <v>0</v>
      </c>
      <c r="AK275" s="20">
        <f ca="1">IF(הפחתה8[[#This Row],[יתרת
סגירה]]&gt;0,LastRow4-ROW(),0)</f>
        <v>0</v>
      </c>
    </row>
    <row r="276" spans="1:37" ht="15" customHeight="1" x14ac:dyDescent="0.25">
      <c r="A276" s="8"/>
      <c r="B276" s="11">
        <f>ROWS($B$4:B276)</f>
        <v>273</v>
      </c>
      <c r="C276" s="12">
        <f>IF(ValuesEntered,IF(הפחתה[[#This Row],[מס'']]&lt;=תקופת_ההלוואה,IF(ROW()-ROW(הפחתה[[#Headers],[תאריך]])=1,LoanStart,IF(I275&gt;0,EDATE(C275,1),"")),""),"")</f>
        <v>53662</v>
      </c>
      <c r="D276" s="13">
        <f>IF(ROW()-ROW(הפחתה[[#Headers],[יתרת פתיחה]])=1,סכום_הלוואה,IF(הפחתה[[#This Row],[תאריך]]="",0,INDEX(הפחתה[], ROW()-4,8)))</f>
        <v>242501.25582349917</v>
      </c>
      <c r="E276" s="13">
        <f>IF(ValuesEntered,IF(ROW()-ROW(הפחתה[[#Headers],[ריבית]])=1,-IPMT(שיעור_ריבית/12,1,תקופת_ההלוואה-ROWS($C$4:C276)+1,הפחתה[[#This Row],[יתרת פתיחה]]),IFERROR(-IPMT(שיעור_ריבית/12,1,הפחתה[[#This Row],[תשלומים
שנותרו]],D277),0)),0)</f>
        <v>1061.0620984569771</v>
      </c>
      <c r="F276" s="13">
        <f>IFERROR(IF(AND(ValuesEntered,הפחתה[[#This Row],[תאריך]]&lt;&gt;""),-PPMT(שיעור_ריבית/12,1,תקופת_ההלוואה-ROWS($C$4:C276)+1,הפחתה[[#This Row],[יתרת פתיחה]]),""),0)</f>
        <v>2260.7807011647642</v>
      </c>
      <c r="G276" s="13">
        <f>(הפחתה[[#This Row],[יתרת פתיחה]])*(מדד/12)</f>
        <v>0</v>
      </c>
      <c r="H276" s="13">
        <f>IF(הפחתה[[#This Row],[תאריך]]="",0,הפחתה[[#This Row],[ריבית]]+הפחתה[[#This Row],[קרן]]+הפחתה[[#This Row],[מדד]])</f>
        <v>3321.8427996217415</v>
      </c>
      <c r="I276" s="13">
        <f>IF(הפחתה[[#This Row],[תאריך]]="",0,הפחתה[[#This Row],[יתרת פתיחה]]-הפחתה[[#This Row],[קרן]]+הפחתה[[#This Row],[מדד]])</f>
        <v>240240.47512233441</v>
      </c>
      <c r="J276" s="11">
        <f>IF(הפחתה[[#This Row],[יתרת
סגירה]]&gt;0,LastRow-ROW(),0)</f>
        <v>87</v>
      </c>
      <c r="K276" s="11">
        <f>ROWS($K$4:K276)</f>
        <v>273</v>
      </c>
      <c r="L276" s="12">
        <f>IF(ValuesEntered2,IF(הפחתה5[[#This Row],[מס'']]&lt;=תקופת_ההלוואה2,IF(ROW()-ROW(הפחתה5[[#Headers],[תאריך]])=1,LoanStart2,IF(R275&gt;0,EDATE(L275,1),"")),""),"")</f>
        <v>53662</v>
      </c>
      <c r="M276" s="13">
        <f>IF(ROW()-ROW(הפחתה5[[#Headers],[יתרת פתיחה]])=1,סכום_הלוואה2,IF(הפחתה5[[#This Row],[תאריך]]="",0,INDEX(הפחתה5[], ROW()-4,8)))</f>
        <v>45045.407853008794</v>
      </c>
      <c r="N276" s="13">
        <f>IF(ValuesEntered2,IF(ROW()-ROW(הפחתה5[[#Headers],[ריבית]])=1,-IPMT(שיעור_ריבית2/12,1,תקופת_ההלוואה2-ROWS($L$4:L276)+1,הפחתה5[[#This Row],[יתרת פתיחה]]),IFERROR(-IPMT(שיעור_ריבית2/12,1,הפחתה5[[#This Row],[תשלומים
שנותרו]],M277),0)),0)</f>
        <v>170.45372453722629</v>
      </c>
      <c r="O276" s="13">
        <f>IFERROR(IF(AND(ValuesEntered2,הפחתה5[[#This Row],[תאריך]]&lt;&gt;""),-PPMT(שיעור_ריבית2/12,1,תקופת_ההלוואה2-ROWS($L$4:L276)+1,הפחתה5[[#This Row],[יתרת פתיחה]]),""),0)</f>
        <v>1525.3079711637749</v>
      </c>
      <c r="P276" s="13">
        <f>(הפחתה5[[#This Row],[יתרת פתיחה]])*(מדד2/12)</f>
        <v>0</v>
      </c>
      <c r="Q276" s="13">
        <f>IF(הפחתה5[[#This Row],[תאריך]]="",0,הפחתה5[[#This Row],[ריבית]]+הפחתה5[[#This Row],[קרן]]+הפחתה5[[#This Row],[מדד]])</f>
        <v>1695.7616957010011</v>
      </c>
      <c r="R276" s="13">
        <f>IF(הפחתה5[[#This Row],[תאריך]]="",0,הפחתה5[[#This Row],[יתרת פתיחה]]-הפחתה5[[#This Row],[קרן]]+הפחתה5[[#This Row],[מדד]])</f>
        <v>43520.099881845017</v>
      </c>
      <c r="S276" s="11">
        <f>IF(הפחתה5[[#This Row],[יתרת
סגירה]]&gt;0,LastRow2-ROW(),0)</f>
        <v>27</v>
      </c>
      <c r="T276" s="11">
        <f>ROWS($T$4:T276)</f>
        <v>273</v>
      </c>
      <c r="U276" s="12">
        <f ca="1">IF(ValuesEntered3,IF(הפחתה7[[#This Row],[מס'']]&lt;=תקופת_ההלוואה3,IF(ROW()-ROW(הפחתה7[[#Headers],[תאריך]])=1,LoanStart3,IF(AA275&gt;0,EDATE(U275,1),"")),""),"")</f>
        <v>53898</v>
      </c>
      <c r="V276" s="13">
        <f ca="1">IF(ROW()-ROW(הפחתה7[[#Headers],[יתרת פתיחה]])=1,סכום_הלוואה3,IF(הפחתה7[[#This Row],[תאריך]]="",0,INDEX(הפחתה7[], ROW()-4,8)))</f>
        <v>18857.902156865737</v>
      </c>
      <c r="W276" s="13">
        <f ca="1">IF(ValuesEntered3,IF(ROW()-ROW(הפחתה7[[#Headers],[ריבית]])=1,-IPMT(שיעור_ריבית3/12,1,תקופת_ההלוואה3-ROWS($C$4:U276)+1,הפחתה7[[#This Row],[יתרת פתיחה]]),IFERROR(-IPMT(שיעור_ריבית3/12,1,הפחתה7[[#This Row],[תשלומים
שנותרו]],V277),0)),0)</f>
        <v>34.946776788841376</v>
      </c>
      <c r="X276" s="13">
        <f ca="1">IFERROR(IF(AND(ValuesEntered3,הפחתה7[[#This Row],[תאריך]]&lt;&gt;""),-PPMT(שיעור_ריבית3/12,1,תקופת_ההלוואה3-ROWS($C$4:U276)+1,הפחתה7[[#This Row],[יתרת פתיחה]]),""),0)</f>
        <v>656.23106048529985</v>
      </c>
      <c r="Y276" s="13">
        <f ca="1">(הפחתה7[[#This Row],[יתרת פתיחה]])*(מדד3/12)</f>
        <v>31.429836928109562</v>
      </c>
      <c r="Z276" s="13">
        <f ca="1">IF(הפחתה7[[#This Row],[תאריך]]="",0,הפחתה7[[#This Row],[ריבית]]+הפחתה7[[#This Row],[קרן]]+הפחתה7[[#This Row],[מדד]])</f>
        <v>722.60767420225079</v>
      </c>
      <c r="AA276" s="13">
        <f ca="1">IF(הפחתה7[[#This Row],[תאריך]]="",0,הפחתה7[[#This Row],[יתרת פתיחה]]-הפחתה7[[#This Row],[קרן]]+הפחתה7[[#This Row],[מדד]])</f>
        <v>18233.100933308546</v>
      </c>
      <c r="AB276" s="11">
        <f ca="1">IF(הפחתה7[[#This Row],[יתרת
סגירה]]&gt;0,LastRow3-ROW(),0)</f>
        <v>27</v>
      </c>
      <c r="AC276" s="17">
        <f>ROWS($AC$4:AC276)</f>
        <v>273</v>
      </c>
      <c r="AD276" s="18" t="str">
        <f ca="1">IF(ValuesEntered4,IF(הפחתה8[[#This Row],[מס'']]&lt;=תקופת_ההלוואה4,IF(ROW()-ROW(הפחתה8[[#Headers],[תאריך]])=1,LoanStart4,IF(AJ275&gt;0,EDATE(AD275,1),"")),""),"")</f>
        <v/>
      </c>
      <c r="AE276" s="19">
        <f ca="1">IF(ROW()-ROW(הפחתה8[[#Headers],[יתרת פתיחה]])=1,סכום_הלוואה4,IF(הפחתה8[[#This Row],[תאריך]]="",0,INDEX(הפחתה8[], ROW()-4,8)))</f>
        <v>0</v>
      </c>
      <c r="AF276" s="19">
        <f ca="1">IF(ValuesEntered4,IF(ROW()-ROW(הפחתה8[[#Headers],[ריבית]])=1,-IPMT(שיעור_ריבית4/12,1,תקופת_ההלוואה4-ROWS($C$4:AD276)+1,הפחתה8[[#This Row],[יתרת פתיחה]]),IFERROR(-IPMT(שיעור_ריבית4/12,1,הפחתה8[[#This Row],[תשלומים
שנותרו]],AE277),0)),0)</f>
        <v>0</v>
      </c>
      <c r="AG276" s="19" t="str">
        <f ca="1">IFERROR(IF(AND(ValuesEntered4,הפחתה8[[#This Row],[תאריך]]&lt;&gt;""),-PPMT(שיעור_ריבית4/12,1,תקופת_ההלוואה4-ROWS($C$4:AD276)+1,הפחתה8[[#This Row],[יתרת פתיחה]]),""),0)</f>
        <v/>
      </c>
      <c r="AH276" s="19">
        <f ca="1">(הפחתה8[[#This Row],[יתרת פתיחה]])*(מדד4/12)</f>
        <v>0</v>
      </c>
      <c r="AI276" s="19">
        <f ca="1">IF(הפחתה8[[#This Row],[תאריך]]="",0,הפחתה8[[#This Row],[ריבית]]+הפחתה8[[#This Row],[קרן]]+הפחתה8[[#This Row],[מדד]])</f>
        <v>0</v>
      </c>
      <c r="AJ276" s="19">
        <f ca="1">IF(הפחתה8[[#This Row],[תאריך]]="",0,הפחתה8[[#This Row],[יתרת פתיחה]]-הפחתה8[[#This Row],[קרן]])</f>
        <v>0</v>
      </c>
      <c r="AK276" s="20">
        <f ca="1">IF(הפחתה8[[#This Row],[יתרת
סגירה]]&gt;0,LastRow4-ROW(),0)</f>
        <v>0</v>
      </c>
    </row>
    <row r="277" spans="1:37" ht="15" customHeight="1" x14ac:dyDescent="0.25">
      <c r="A277" s="8"/>
      <c r="B277" s="11">
        <f>ROWS($B$4:B277)</f>
        <v>274</v>
      </c>
      <c r="C277" s="12">
        <f>IF(ValuesEntered,IF(הפחתה[[#This Row],[מס'']]&lt;=תקופת_ההלוואה,IF(ROW()-ROW(הפחתה[[#Headers],[תאריך]])=1,LoanStart,IF(I276&gt;0,EDATE(C276,1),"")),""),"")</f>
        <v>53693</v>
      </c>
      <c r="D277" s="13">
        <f>IF(ROW()-ROW(הפחתה[[#Headers],[יתרת פתיחה]])=1,סכום_הלוואה,IF(הפחתה[[#This Row],[תאריך]]="",0,INDEX(הפחתה[], ROW()-4,8)))</f>
        <v>240240.47512233441</v>
      </c>
      <c r="E277" s="13">
        <f>IF(ValuesEntered,IF(ROW()-ROW(הפחתה[[#Headers],[ריבית]])=1,-IPMT(שיעור_ריבית/12,1,תקופת_ההלוואה-ROWS($C$4:C277)+1,הפחתה[[#This Row],[יתרת פתיחה]]),IFERROR(-IPMT(שיעור_ריבית/12,1,הפחתה[[#This Row],[תשלומים
שנותרו]],D278),0)),0)</f>
        <v>1051.0328827699607</v>
      </c>
      <c r="F277" s="13">
        <f>IFERROR(IF(AND(ValuesEntered,הפחתה[[#This Row],[תאריך]]&lt;&gt;""),-PPMT(שיעור_ריבית/12,1,תקופת_ההלוואה-ROWS($C$4:C277)+1,הפחתה[[#This Row],[יתרת פתיחה]]),""),0)</f>
        <v>2270.7658159282414</v>
      </c>
      <c r="G277" s="13">
        <f>(הפחתה[[#This Row],[יתרת פתיחה]])*(מדד/12)</f>
        <v>0</v>
      </c>
      <c r="H277" s="13">
        <f>IF(הפחתה[[#This Row],[תאריך]]="",0,הפחתה[[#This Row],[ריבית]]+הפחתה[[#This Row],[קרן]]+הפחתה[[#This Row],[מדד]])</f>
        <v>3321.7986986982023</v>
      </c>
      <c r="I277" s="13">
        <f>IF(הפחתה[[#This Row],[תאריך]]="",0,הפחתה[[#This Row],[יתרת פתיחה]]-הפחתה[[#This Row],[קרן]]+הפחתה[[#This Row],[מדד]])</f>
        <v>237969.70930640618</v>
      </c>
      <c r="J277" s="11">
        <f>IF(הפחתה[[#This Row],[יתרת
סגירה]]&gt;0,LastRow-ROW(),0)</f>
        <v>86</v>
      </c>
      <c r="K277" s="11">
        <f>ROWS($K$4:K277)</f>
        <v>274</v>
      </c>
      <c r="L277" s="12">
        <f>IF(ValuesEntered2,IF(הפחתה5[[#This Row],[מס'']]&lt;=תקופת_ההלוואה2,IF(ROW()-ROW(הפחתה5[[#Headers],[תאריך]])=1,LoanStart2,IF(R276&gt;0,EDATE(L276,1),"")),""),"")</f>
        <v>53693</v>
      </c>
      <c r="M277" s="13">
        <f>IF(ROW()-ROW(הפחתה5[[#Headers],[יתרת פתיחה]])=1,סכום_הלוואה2,IF(הפחתה5[[#This Row],[תאריך]]="",0,INDEX(הפחתה5[], ROW()-4,8)))</f>
        <v>43520.099881845017</v>
      </c>
      <c r="N277" s="13">
        <f>IF(ValuesEntered2,IF(ROW()-ROW(הפחתה5[[#Headers],[ריבית]])=1,-IPMT(שיעור_ריבית2/12,1,תקופת_ההלוואה2-ROWS($L$4:L277)+1,הפחתה5[[#This Row],[יתרת פתיחה]]),IFERROR(-IPMT(שיעור_ריבית2/12,1,הפחתה5[[#This Row],[תשלומים
שנותרו]],M278),0)),0)</f>
        <v>164.45620300219389</v>
      </c>
      <c r="O277" s="13">
        <f>IFERROR(IF(AND(ValuesEntered2,הפחתה5[[#This Row],[תאריך]]&lt;&gt;""),-PPMT(שיעור_ריבית2/12,1,תקופת_ההלוואה2-ROWS($L$4:L277)+1,הפחתה5[[#This Row],[יתרת פתיחה]]),""),0)</f>
        <v>1531.2820940508329</v>
      </c>
      <c r="P277" s="13">
        <f>(הפחתה5[[#This Row],[יתרת פתיחה]])*(מדד2/12)</f>
        <v>0</v>
      </c>
      <c r="Q277" s="13">
        <f>IF(הפחתה5[[#This Row],[תאריך]]="",0,הפחתה5[[#This Row],[ריבית]]+הפחתה5[[#This Row],[קרן]]+הפחתה5[[#This Row],[מדד]])</f>
        <v>1695.7382970530268</v>
      </c>
      <c r="R277" s="13">
        <f>IF(הפחתה5[[#This Row],[תאריך]]="",0,הפחתה5[[#This Row],[יתרת פתיחה]]-הפחתה5[[#This Row],[קרן]]+הפחתה5[[#This Row],[מדד]])</f>
        <v>41988.817787794185</v>
      </c>
      <c r="S277" s="11">
        <f>IF(הפחתה5[[#This Row],[יתרת
סגירה]]&gt;0,LastRow2-ROW(),0)</f>
        <v>26</v>
      </c>
      <c r="T277" s="11">
        <f>ROWS($T$4:T277)</f>
        <v>274</v>
      </c>
      <c r="U277" s="12">
        <f ca="1">IF(ValuesEntered3,IF(הפחתה7[[#This Row],[מס'']]&lt;=תקופת_ההלוואה3,IF(ROW()-ROW(הפחתה7[[#Headers],[תאריך]])=1,LoanStart3,IF(AA276&gt;0,EDATE(U276,1),"")),""),"")</f>
        <v>53929</v>
      </c>
      <c r="V277" s="13">
        <f ca="1">IF(ROW()-ROW(הפחתה7[[#Headers],[יתרת פתיחה]])=1,סכום_הלוואה3,IF(הפחתה7[[#This Row],[תאריך]]="",0,INDEX(הפחתה7[], ROW()-4,8)))</f>
        <v>18233.100933308546</v>
      </c>
      <c r="W277" s="13">
        <f ca="1">IF(ValuesEntered3,IF(ROW()-ROW(הפחתה7[[#Headers],[ריבית]])=1,-IPMT(שיעור_ריבית3/12,1,תקופת_ההלוואה3-ROWS($C$4:U277)+1,הפחתה7[[#This Row],[יתרת פתיחה]]),IFERROR(-IPMT(שיעור_ריבית3/12,1,הפחתה7[[#This Row],[תשלומים
שנותרו]],V278),0)),0)</f>
        <v>33.742658445032809</v>
      </c>
      <c r="X277" s="13">
        <f ca="1">IFERROR(IF(AND(ValuesEntered3,הפחתה7[[#This Row],[תאריך]]&lt;&gt;""),-PPMT(שיעור_ריבית3/12,1,תקופת_ההלוואה3-ROWS($C$4:U277)+1,הפחתה7[[#This Row],[יתרת פתיחה]]),""),0)</f>
        <v>658.62415919476723</v>
      </c>
      <c r="Y277" s="13">
        <f ca="1">(הפחתה7[[#This Row],[יתרת פתיחה]])*(מדד3/12)</f>
        <v>30.388501555514246</v>
      </c>
      <c r="Z277" s="13">
        <f ca="1">IF(הפחתה7[[#This Row],[תאריך]]="",0,הפחתה7[[#This Row],[ריבית]]+הפחתה7[[#This Row],[קרן]]+הפחתה7[[#This Row],[מדד]])</f>
        <v>722.75531919531431</v>
      </c>
      <c r="AA277" s="13">
        <f ca="1">IF(הפחתה7[[#This Row],[תאריך]]="",0,הפחתה7[[#This Row],[יתרת פתיחה]]-הפחתה7[[#This Row],[קרן]]+הפחתה7[[#This Row],[מדד]])</f>
        <v>17604.865275669294</v>
      </c>
      <c r="AB277" s="11">
        <f ca="1">IF(הפחתה7[[#This Row],[יתרת
סגירה]]&gt;0,LastRow3-ROW(),0)</f>
        <v>26</v>
      </c>
      <c r="AC277" s="17">
        <f>ROWS($AC$4:AC277)</f>
        <v>274</v>
      </c>
      <c r="AD277" s="18" t="str">
        <f ca="1">IF(ValuesEntered4,IF(הפחתה8[[#This Row],[מס'']]&lt;=תקופת_ההלוואה4,IF(ROW()-ROW(הפחתה8[[#Headers],[תאריך]])=1,LoanStart4,IF(AJ276&gt;0,EDATE(AD276,1),"")),""),"")</f>
        <v/>
      </c>
      <c r="AE277" s="19">
        <f ca="1">IF(ROW()-ROW(הפחתה8[[#Headers],[יתרת פתיחה]])=1,סכום_הלוואה4,IF(הפחתה8[[#This Row],[תאריך]]="",0,INDEX(הפחתה8[], ROW()-4,8)))</f>
        <v>0</v>
      </c>
      <c r="AF277" s="19">
        <f ca="1">IF(ValuesEntered4,IF(ROW()-ROW(הפחתה8[[#Headers],[ריבית]])=1,-IPMT(שיעור_ריבית4/12,1,תקופת_ההלוואה4-ROWS($C$4:AD277)+1,הפחתה8[[#This Row],[יתרת פתיחה]]),IFERROR(-IPMT(שיעור_ריבית4/12,1,הפחתה8[[#This Row],[תשלומים
שנותרו]],AE278),0)),0)</f>
        <v>0</v>
      </c>
      <c r="AG277" s="19" t="str">
        <f ca="1">IFERROR(IF(AND(ValuesEntered4,הפחתה8[[#This Row],[תאריך]]&lt;&gt;""),-PPMT(שיעור_ריבית4/12,1,תקופת_ההלוואה4-ROWS($C$4:AD277)+1,הפחתה8[[#This Row],[יתרת פתיחה]]),""),0)</f>
        <v/>
      </c>
      <c r="AH277" s="19">
        <f ca="1">(הפחתה8[[#This Row],[יתרת פתיחה]])*(מדד4/12)</f>
        <v>0</v>
      </c>
      <c r="AI277" s="19">
        <f ca="1">IF(הפחתה8[[#This Row],[תאריך]]="",0,הפחתה8[[#This Row],[ריבית]]+הפחתה8[[#This Row],[קרן]]+הפחתה8[[#This Row],[מדד]])</f>
        <v>0</v>
      </c>
      <c r="AJ277" s="19">
        <f ca="1">IF(הפחתה8[[#This Row],[תאריך]]="",0,הפחתה8[[#This Row],[יתרת פתיחה]]-הפחתה8[[#This Row],[קרן]])</f>
        <v>0</v>
      </c>
      <c r="AK277" s="20">
        <f ca="1">IF(הפחתה8[[#This Row],[יתרת
סגירה]]&gt;0,LastRow4-ROW(),0)</f>
        <v>0</v>
      </c>
    </row>
    <row r="278" spans="1:37" ht="15" customHeight="1" x14ac:dyDescent="0.25">
      <c r="A278" s="8"/>
      <c r="B278" s="11">
        <f>ROWS($B$4:B278)</f>
        <v>275</v>
      </c>
      <c r="C278" s="12">
        <f>IF(ValuesEntered,IF(הפחתה[[#This Row],[מס'']]&lt;=תקופת_ההלוואה,IF(ROW()-ROW(הפחתה[[#Headers],[תאריך]])=1,LoanStart,IF(I277&gt;0,EDATE(C277,1),"")),""),"")</f>
        <v>53724</v>
      </c>
      <c r="D278" s="13">
        <f>IF(ROW()-ROW(הפחתה[[#Headers],[יתרת פתיחה]])=1,סכום_הלוואה,IF(הפחתה[[#This Row],[תאריך]]="",0,INDEX(הפחתה[], ROW()-4,8)))</f>
        <v>237969.70930640618</v>
      </c>
      <c r="E278" s="13">
        <f>IF(ValuesEntered,IF(ROW()-ROW(הפחתה[[#Headers],[ריבית]])=1,-IPMT(שיעור_ריבית/12,1,תקופת_ההלוואה-ROWS($C$4:C278)+1,הפחתה[[#This Row],[יתרת פתיחה]]),IFERROR(-IPMT(שיעור_ריבית/12,1,הפחתה[[#This Row],[תשלומים
שנותרו]],D279),0)),0)</f>
        <v>1040.9593713803265</v>
      </c>
      <c r="F278" s="13">
        <f>IFERROR(IF(AND(ValuesEntered,הפחתה[[#This Row],[תאריך]]&lt;&gt;""),-PPMT(שיעור_ריבית/12,1,תקופת_ההלוואה-ROWS($C$4:C278)+1,הפחתה[[#This Row],[יתרת פתיחה]]),""),0)</f>
        <v>2280.7950316152583</v>
      </c>
      <c r="G278" s="13">
        <f>(הפחתה[[#This Row],[יתרת פתיחה]])*(מדד/12)</f>
        <v>0</v>
      </c>
      <c r="H278" s="13">
        <f>IF(הפחתה[[#This Row],[תאריך]]="",0,הפחתה[[#This Row],[ריבית]]+הפחתה[[#This Row],[קרן]]+הפחתה[[#This Row],[מדד]])</f>
        <v>3321.7544029955848</v>
      </c>
      <c r="I278" s="13">
        <f>IF(הפחתה[[#This Row],[תאריך]]="",0,הפחתה[[#This Row],[יתרת פתיחה]]-הפחתה[[#This Row],[קרן]]+הפחתה[[#This Row],[מדד]])</f>
        <v>235688.91427479091</v>
      </c>
      <c r="J278" s="11">
        <f>IF(הפחתה[[#This Row],[יתרת
סגירה]]&gt;0,LastRow-ROW(),0)</f>
        <v>85</v>
      </c>
      <c r="K278" s="11">
        <f>ROWS($K$4:K278)</f>
        <v>275</v>
      </c>
      <c r="L278" s="12">
        <f>IF(ValuesEntered2,IF(הפחתה5[[#This Row],[מס'']]&lt;=תקופת_ההלוואה2,IF(ROW()-ROW(הפחתה5[[#Headers],[תאריך]])=1,LoanStart2,IF(R277&gt;0,EDATE(L277,1),"")),""),"")</f>
        <v>53724</v>
      </c>
      <c r="M278" s="13">
        <f>IF(ROW()-ROW(הפחתה5[[#Headers],[יתרת פתיחה]])=1,סכום_הלוואה2,IF(הפחתה5[[#This Row],[תאריך]]="",0,INDEX(הפחתה5[], ROW()-4,8)))</f>
        <v>41988.817787794185</v>
      </c>
      <c r="N278" s="13">
        <f>IF(ValuesEntered2,IF(ROW()-ROW(הפחתה5[[#Headers],[ריבית]])=1,-IPMT(שיעור_ריבית2/12,1,תקופת_ההלוואה2-ROWS($L$4:L278)+1,הפחתה5[[#This Row],[יתרת פתיחה]]),IFERROR(-IPMT(שיעור_ריבית2/12,1,הפחתה5[[#This Row],[תשלומים
שנותרו]],M279),0)),0)</f>
        <v>158.43519117448258</v>
      </c>
      <c r="O278" s="13">
        <f>IFERROR(IF(AND(ValuesEntered2,הפחתה5[[#This Row],[תאריך]]&lt;&gt;""),-PPMT(שיעור_ריבית2/12,1,תקופת_ההלוואה2-ROWS($L$4:L278)+1,הפחתה5[[#This Row],[יתרת פתיחה]]),""),0)</f>
        <v>1537.2796155858657</v>
      </c>
      <c r="P278" s="13">
        <f>(הפחתה5[[#This Row],[יתרת פתיחה]])*(מדד2/12)</f>
        <v>0</v>
      </c>
      <c r="Q278" s="13">
        <f>IF(הפחתה5[[#This Row],[תאריך]]="",0,הפחתה5[[#This Row],[ריבית]]+הפחתה5[[#This Row],[קרן]]+הפחתה5[[#This Row],[מדד]])</f>
        <v>1695.7148067603482</v>
      </c>
      <c r="R278" s="13">
        <f>IF(הפחתה5[[#This Row],[תאריך]]="",0,הפחתה5[[#This Row],[יתרת פתיחה]]-הפחתה5[[#This Row],[קרן]]+הפחתה5[[#This Row],[מדד]])</f>
        <v>40451.538172208318</v>
      </c>
      <c r="S278" s="11">
        <f>IF(הפחתה5[[#This Row],[יתרת
סגירה]]&gt;0,LastRow2-ROW(),0)</f>
        <v>25</v>
      </c>
      <c r="T278" s="11">
        <f>ROWS($T$4:T278)</f>
        <v>275</v>
      </c>
      <c r="U278" s="12">
        <f ca="1">IF(ValuesEntered3,IF(הפחתה7[[#This Row],[מס'']]&lt;=תקופת_ההלוואה3,IF(ROW()-ROW(הפחתה7[[#Headers],[תאריך]])=1,LoanStart3,IF(AA277&gt;0,EDATE(U277,1),"")),""),"")</f>
        <v>53960</v>
      </c>
      <c r="V278" s="13">
        <f ca="1">IF(ROW()-ROW(הפחתה7[[#Headers],[יתרת פתיחה]])=1,סכום_הלוואה3,IF(הפחתה7[[#This Row],[תאריך]]="",0,INDEX(הפחתה7[], ROW()-4,8)))</f>
        <v>17604.865275669294</v>
      </c>
      <c r="W278" s="13">
        <f ca="1">IF(ValuesEntered3,IF(ROW()-ROW(הפחתה7[[#Headers],[ריבית]])=1,-IPMT(שיעור_ריבית3/12,1,תקופת_ההלוואה3-ROWS($C$4:U278)+1,הפחתה7[[#This Row],[יתרת פתיחה]]),IFERROR(-IPMT(שיעור_ריבית3/12,1,הפחתה7[[#This Row],[תשלומים
שנותרו]],V279),0)),0)</f>
        <v>32.531926738770991</v>
      </c>
      <c r="X278" s="13">
        <f ca="1">IFERROR(IF(AND(ValuesEntered3,הפחתה7[[#This Row],[תאריך]]&lt;&gt;""),-PPMT(שיעור_ריבית3/12,1,תקופת_ההלוואה3-ROWS($C$4:U278)+1,הפחתה7[[#This Row],[יתרת פתיחה]]),""),0)</f>
        <v>661.02754974098025</v>
      </c>
      <c r="Y278" s="13">
        <f ca="1">(הפחתה7[[#This Row],[יתרת פתיחה]])*(מדד3/12)</f>
        <v>29.341442126115492</v>
      </c>
      <c r="Z278" s="13">
        <f ca="1">IF(הפחתה7[[#This Row],[תאריך]]="",0,הפחתה7[[#This Row],[ריבית]]+הפחתה7[[#This Row],[קרן]]+הפחתה7[[#This Row],[מדד]])</f>
        <v>722.90091860586665</v>
      </c>
      <c r="AA278" s="13">
        <f ca="1">IF(הפחתה7[[#This Row],[תאריך]]="",0,הפחתה7[[#This Row],[יתרת פתיחה]]-הפחתה7[[#This Row],[קרן]]+הפחתה7[[#This Row],[מדד]])</f>
        <v>16973.17916805443</v>
      </c>
      <c r="AB278" s="11">
        <f ca="1">IF(הפחתה7[[#This Row],[יתרת
סגירה]]&gt;0,LastRow3-ROW(),0)</f>
        <v>25</v>
      </c>
      <c r="AC278" s="17">
        <f>ROWS($AC$4:AC278)</f>
        <v>275</v>
      </c>
      <c r="AD278" s="18" t="str">
        <f ca="1">IF(ValuesEntered4,IF(הפחתה8[[#This Row],[מס'']]&lt;=תקופת_ההלוואה4,IF(ROW()-ROW(הפחתה8[[#Headers],[תאריך]])=1,LoanStart4,IF(AJ277&gt;0,EDATE(AD277,1),"")),""),"")</f>
        <v/>
      </c>
      <c r="AE278" s="19">
        <f ca="1">IF(ROW()-ROW(הפחתה8[[#Headers],[יתרת פתיחה]])=1,סכום_הלוואה4,IF(הפחתה8[[#This Row],[תאריך]]="",0,INDEX(הפחתה8[], ROW()-4,8)))</f>
        <v>0</v>
      </c>
      <c r="AF278" s="19">
        <f ca="1">IF(ValuesEntered4,IF(ROW()-ROW(הפחתה8[[#Headers],[ריבית]])=1,-IPMT(שיעור_ריבית4/12,1,תקופת_ההלוואה4-ROWS($C$4:AD278)+1,הפחתה8[[#This Row],[יתרת פתיחה]]),IFERROR(-IPMT(שיעור_ריבית4/12,1,הפחתה8[[#This Row],[תשלומים
שנותרו]],AE279),0)),0)</f>
        <v>0</v>
      </c>
      <c r="AG278" s="19" t="str">
        <f ca="1">IFERROR(IF(AND(ValuesEntered4,הפחתה8[[#This Row],[תאריך]]&lt;&gt;""),-PPMT(שיעור_ריבית4/12,1,תקופת_ההלוואה4-ROWS($C$4:AD278)+1,הפחתה8[[#This Row],[יתרת פתיחה]]),""),0)</f>
        <v/>
      </c>
      <c r="AH278" s="19">
        <f ca="1">(הפחתה8[[#This Row],[יתרת פתיחה]])*(מדד4/12)</f>
        <v>0</v>
      </c>
      <c r="AI278" s="19">
        <f ca="1">IF(הפחתה8[[#This Row],[תאריך]]="",0,הפחתה8[[#This Row],[ריבית]]+הפחתה8[[#This Row],[קרן]]+הפחתה8[[#This Row],[מדד]])</f>
        <v>0</v>
      </c>
      <c r="AJ278" s="19">
        <f ca="1">IF(הפחתה8[[#This Row],[תאריך]]="",0,הפחתה8[[#This Row],[יתרת פתיחה]]-הפחתה8[[#This Row],[קרן]])</f>
        <v>0</v>
      </c>
      <c r="AK278" s="20">
        <f ca="1">IF(הפחתה8[[#This Row],[יתרת
סגירה]]&gt;0,LastRow4-ROW(),0)</f>
        <v>0</v>
      </c>
    </row>
    <row r="279" spans="1:37" ht="15" customHeight="1" x14ac:dyDescent="0.25">
      <c r="A279" s="8"/>
      <c r="B279" s="11">
        <f>ROWS($B$4:B279)</f>
        <v>276</v>
      </c>
      <c r="C279" s="12">
        <f>IF(ValuesEntered,IF(הפחתה[[#This Row],[מס'']]&lt;=תקופת_ההלוואה,IF(ROW()-ROW(הפחתה[[#Headers],[תאריך]])=1,LoanStart,IF(I278&gt;0,EDATE(C278,1),"")),""),"")</f>
        <v>53752</v>
      </c>
      <c r="D279" s="13">
        <f>IF(ROW()-ROW(הפחתה[[#Headers],[יתרת פתיחה]])=1,סכום_הלוואה,IF(הפחתה[[#This Row],[תאריך]]="",0,INDEX(הפחתה[], ROW()-4,8)))</f>
        <v>235688.91427479091</v>
      </c>
      <c r="E279" s="13">
        <f>IF(ValuesEntered,IF(ROW()-ROW(הפחתה[[#Headers],[ריבית]])=1,-IPMT(שיעור_ריבית/12,1,תקופת_ההלוואה-ROWS($C$4:C279)+1,הפחתה[[#This Row],[יתרת פתיחה]]),IFERROR(-IPMT(שיעור_ריבית/12,1,הפחתה[[#This Row],[תשלומים
שנותרו]],D280),0)),0)</f>
        <v>1030.8413686487218</v>
      </c>
      <c r="F279" s="13">
        <f>IFERROR(IF(AND(ValuesEntered,הפחתה[[#This Row],[תאריך]]&lt;&gt;""),-PPMT(שיעור_ריבית/12,1,תקופת_ההלוואה-ROWS($C$4:C279)+1,הפחתה[[#This Row],[יתרת פתיחה]]),""),0)</f>
        <v>2290.8685430048922</v>
      </c>
      <c r="G279" s="13">
        <f>(הפחתה[[#This Row],[יתרת פתיחה]])*(מדד/12)</f>
        <v>0</v>
      </c>
      <c r="H279" s="13">
        <f>IF(הפחתה[[#This Row],[תאריך]]="",0,הפחתה[[#This Row],[ריבית]]+הפחתה[[#This Row],[קרן]]+הפחתה[[#This Row],[מדד]])</f>
        <v>3321.7099116536137</v>
      </c>
      <c r="I279" s="13">
        <f>IF(הפחתה[[#This Row],[תאריך]]="",0,הפחתה[[#This Row],[יתרת פתיחה]]-הפחתה[[#This Row],[קרן]]+הפחתה[[#This Row],[מדד]])</f>
        <v>233398.04573178603</v>
      </c>
      <c r="J279" s="11">
        <f>IF(הפחתה[[#This Row],[יתרת
סגירה]]&gt;0,LastRow-ROW(),0)</f>
        <v>84</v>
      </c>
      <c r="K279" s="11">
        <f>ROWS($K$4:K279)</f>
        <v>276</v>
      </c>
      <c r="L279" s="12">
        <f>IF(ValuesEntered2,IF(הפחתה5[[#This Row],[מס'']]&lt;=תקופת_ההלוואה2,IF(ROW()-ROW(הפחתה5[[#Headers],[תאריך]])=1,LoanStart2,IF(R278&gt;0,EDATE(L278,1),"")),""),"")</f>
        <v>53752</v>
      </c>
      <c r="M279" s="13">
        <f>IF(ROW()-ROW(הפחתה5[[#Headers],[יתרת פתיחה]])=1,סכום_הלוואה2,IF(הפחתה5[[#This Row],[תאריך]]="",0,INDEX(הפחתה5[], ROW()-4,8)))</f>
        <v>40451.538172208318</v>
      </c>
      <c r="N279" s="13">
        <f>IF(ValuesEntered2,IF(ROW()-ROW(הפחתה5[[#Headers],[ריבית]])=1,-IPMT(שיעור_ריבית2/12,1,תקופת_ההלוואה2-ROWS($L$4:L279)+1,הפחתה5[[#This Row],[יתרת פתיחה]]),IFERROR(-IPMT(שיעור_ריבית2/12,1,הפחתה5[[#This Row],[תשלומים
שנותרו]],M280),0)),0)</f>
        <v>152.39059705044605</v>
      </c>
      <c r="O279" s="13">
        <f>IFERROR(IF(AND(ValuesEntered2,הפחתה5[[#This Row],[תאריך]]&lt;&gt;""),-PPMT(שיעור_ריבית2/12,1,תקופת_ההלוואה2-ROWS($L$4:L279)+1,הפחתה5[[#This Row],[יתרת פתיחה]]),""),0)</f>
        <v>1543.3006274135766</v>
      </c>
      <c r="P279" s="13">
        <f>(הפחתה5[[#This Row],[יתרת פתיחה]])*(מדד2/12)</f>
        <v>0</v>
      </c>
      <c r="Q279" s="13">
        <f>IF(הפחתה5[[#This Row],[תאריך]]="",0,הפחתה5[[#This Row],[ריבית]]+הפחתה5[[#This Row],[קרן]]+הפחתה5[[#This Row],[מדד]])</f>
        <v>1695.6912244640228</v>
      </c>
      <c r="R279" s="13">
        <f>IF(הפחתה5[[#This Row],[תאריך]]="",0,הפחתה5[[#This Row],[יתרת פתיחה]]-הפחתה5[[#This Row],[קרן]]+הפחתה5[[#This Row],[מדד]])</f>
        <v>38908.237544794742</v>
      </c>
      <c r="S279" s="11">
        <f>IF(הפחתה5[[#This Row],[יתרת
סגירה]]&gt;0,LastRow2-ROW(),0)</f>
        <v>24</v>
      </c>
      <c r="T279" s="11">
        <f>ROWS($T$4:T279)</f>
        <v>276</v>
      </c>
      <c r="U279" s="12">
        <f ca="1">IF(ValuesEntered3,IF(הפחתה7[[#This Row],[מס'']]&lt;=תקופת_ההלוואה3,IF(ROW()-ROW(הפחתה7[[#Headers],[תאריך]])=1,LoanStart3,IF(AA278&gt;0,EDATE(U278,1),"")),""),"")</f>
        <v>53990</v>
      </c>
      <c r="V279" s="13">
        <f ca="1">IF(ROW()-ROW(הפחתה7[[#Headers],[יתרת פתיחה]])=1,סכום_הלוואה3,IF(הפחתה7[[#This Row],[תאריך]]="",0,INDEX(הפחתה7[], ROW()-4,8)))</f>
        <v>16973.17916805443</v>
      </c>
      <c r="W279" s="13">
        <f ca="1">IF(ValuesEntered3,IF(ROW()-ROW(הפחתה7[[#Headers],[ריבית]])=1,-IPMT(שיעור_ריבית3/12,1,תקופת_ההלוואה3-ROWS($C$4:U279)+1,הפחתה7[[#This Row],[יתרת פתיחה]]),IFERROR(-IPMT(שיעור_ריבית3/12,1,הפחתה7[[#This Row],[תשלומים
שנותרו]],V280),0)),0)</f>
        <v>31.314550587069238</v>
      </c>
      <c r="X279" s="13">
        <f ca="1">IFERROR(IF(AND(ValuesEntered3,הפחתה7[[#This Row],[תאריך]]&lt;&gt;""),-PPMT(שיעור_ריבית3/12,1,תקופת_ההלוואה3-ROWS($C$4:U279)+1,הפחתה7[[#This Row],[יתרת פתיחה]]),""),0)</f>
        <v>663.44140674767175</v>
      </c>
      <c r="Y279" s="13">
        <f ca="1">(הפחתה7[[#This Row],[יתרת פתיחה]])*(מדד3/12)</f>
        <v>28.288631946757384</v>
      </c>
      <c r="Z279" s="13">
        <f ca="1">IF(הפחתה7[[#This Row],[תאריך]]="",0,הפחתה7[[#This Row],[ריבית]]+הפחתה7[[#This Row],[קרן]]+הפחתה7[[#This Row],[מדד]])</f>
        <v>723.04458928149836</v>
      </c>
      <c r="AA279" s="13">
        <f ca="1">IF(הפחתה7[[#This Row],[תאריך]]="",0,הפחתה7[[#This Row],[יתרת פתיחה]]-הפחתה7[[#This Row],[קרן]]+הפחתה7[[#This Row],[מדד]])</f>
        <v>16338.026393253516</v>
      </c>
      <c r="AB279" s="11">
        <f ca="1">IF(הפחתה7[[#This Row],[יתרת
סגירה]]&gt;0,LastRow3-ROW(),0)</f>
        <v>24</v>
      </c>
      <c r="AC279" s="17">
        <f>ROWS($AC$4:AC279)</f>
        <v>276</v>
      </c>
      <c r="AD279" s="18" t="str">
        <f ca="1">IF(ValuesEntered4,IF(הפחתה8[[#This Row],[מס'']]&lt;=תקופת_ההלוואה4,IF(ROW()-ROW(הפחתה8[[#Headers],[תאריך]])=1,LoanStart4,IF(AJ278&gt;0,EDATE(AD278,1),"")),""),"")</f>
        <v/>
      </c>
      <c r="AE279" s="19">
        <f ca="1">IF(ROW()-ROW(הפחתה8[[#Headers],[יתרת פתיחה]])=1,סכום_הלוואה4,IF(הפחתה8[[#This Row],[תאריך]]="",0,INDEX(הפחתה8[], ROW()-4,8)))</f>
        <v>0</v>
      </c>
      <c r="AF279" s="19">
        <f ca="1">IF(ValuesEntered4,IF(ROW()-ROW(הפחתה8[[#Headers],[ריבית]])=1,-IPMT(שיעור_ריבית4/12,1,תקופת_ההלוואה4-ROWS($C$4:AD279)+1,הפחתה8[[#This Row],[יתרת פתיחה]]),IFERROR(-IPMT(שיעור_ריבית4/12,1,הפחתה8[[#This Row],[תשלומים
שנותרו]],AE280),0)),0)</f>
        <v>0</v>
      </c>
      <c r="AG279" s="19" t="str">
        <f ca="1">IFERROR(IF(AND(ValuesEntered4,הפחתה8[[#This Row],[תאריך]]&lt;&gt;""),-PPMT(שיעור_ריבית4/12,1,תקופת_ההלוואה4-ROWS($C$4:AD279)+1,הפחתה8[[#This Row],[יתרת פתיחה]]),""),0)</f>
        <v/>
      </c>
      <c r="AH279" s="19">
        <f ca="1">(הפחתה8[[#This Row],[יתרת פתיחה]])*(מדד4/12)</f>
        <v>0</v>
      </c>
      <c r="AI279" s="19">
        <f ca="1">IF(הפחתה8[[#This Row],[תאריך]]="",0,הפחתה8[[#This Row],[ריבית]]+הפחתה8[[#This Row],[קרן]]+הפחתה8[[#This Row],[מדד]])</f>
        <v>0</v>
      </c>
      <c r="AJ279" s="19">
        <f ca="1">IF(הפחתה8[[#This Row],[תאריך]]="",0,הפחתה8[[#This Row],[יתרת פתיחה]]-הפחתה8[[#This Row],[קרן]])</f>
        <v>0</v>
      </c>
      <c r="AK279" s="20">
        <f ca="1">IF(הפחתה8[[#This Row],[יתרת
סגירה]]&gt;0,LastRow4-ROW(),0)</f>
        <v>0</v>
      </c>
    </row>
    <row r="280" spans="1:37" ht="15" customHeight="1" x14ac:dyDescent="0.25">
      <c r="A280" s="8"/>
      <c r="B280" s="11">
        <f>ROWS($B$4:B280)</f>
        <v>277</v>
      </c>
      <c r="C280" s="12">
        <f>IF(ValuesEntered,IF(הפחתה[[#This Row],[מס'']]&lt;=תקופת_ההלוואה,IF(ROW()-ROW(הפחתה[[#Headers],[תאריך]])=1,LoanStart,IF(I279&gt;0,EDATE(C279,1),"")),""),"")</f>
        <v>53783</v>
      </c>
      <c r="D280" s="13">
        <f>IF(ROW()-ROW(הפחתה[[#Headers],[יתרת פתיחה]])=1,סכום_הלוואה,IF(הפחתה[[#This Row],[תאריך]]="",0,INDEX(הפחתה[], ROW()-4,8)))</f>
        <v>233398.04573178603</v>
      </c>
      <c r="E280" s="13">
        <f>IF(ValuesEntered,IF(ROW()-ROW(הפחתה[[#Headers],[ריבית]])=1,-IPMT(שיעור_ריבית/12,1,תקופת_ההלוואה-ROWS($C$4:C280)+1,הפחתה[[#This Row],[יתרת פתיחה]]),IFERROR(-IPMT(שיעור_ריבית/12,1,הפחתה[[#This Row],[תשלומים
שנותרו]],D281),0)),0)</f>
        <v>1020.6786780717188</v>
      </c>
      <c r="F280" s="13">
        <f>IFERROR(IF(AND(ValuesEntered,הפחתה[[#This Row],[תאריך]]&lt;&gt;""),-PPMT(שיעור_ריבית/12,1,תקופת_ההלוואה-ROWS($C$4:C280)+1,הפחתה[[#This Row],[יתרת פתיחה]]),""),0)</f>
        <v>2300.9865457364972</v>
      </c>
      <c r="G280" s="13">
        <f>(הפחתה[[#This Row],[יתרת פתיחה]])*(מדד/12)</f>
        <v>0</v>
      </c>
      <c r="H280" s="13">
        <f>IF(הפחתה[[#This Row],[תאריך]]="",0,הפחתה[[#This Row],[ריבית]]+הפחתה[[#This Row],[קרן]]+הפחתה[[#This Row],[מדד]])</f>
        <v>3321.6652238082161</v>
      </c>
      <c r="I280" s="13">
        <f>IF(הפחתה[[#This Row],[תאריך]]="",0,הפחתה[[#This Row],[יתרת פתיחה]]-הפחתה[[#This Row],[קרן]]+הפחתה[[#This Row],[מדד]])</f>
        <v>231097.05918604953</v>
      </c>
      <c r="J280" s="11">
        <f>IF(הפחתה[[#This Row],[יתרת
סגירה]]&gt;0,LastRow-ROW(),0)</f>
        <v>83</v>
      </c>
      <c r="K280" s="11">
        <f>ROWS($K$4:K280)</f>
        <v>277</v>
      </c>
      <c r="L280" s="12">
        <f>IF(ValuesEntered2,IF(הפחתה5[[#This Row],[מס'']]&lt;=תקופת_ההלוואה2,IF(ROW()-ROW(הפחתה5[[#Headers],[תאריך]])=1,LoanStart2,IF(R279&gt;0,EDATE(L279,1),"")),""),"")</f>
        <v>53783</v>
      </c>
      <c r="M280" s="13">
        <f>IF(ROW()-ROW(הפחתה5[[#Headers],[יתרת פתיחה]])=1,סכום_הלוואה2,IF(הפחתה5[[#This Row],[תאריך]]="",0,INDEX(הפחתה5[], ROW()-4,8)))</f>
        <v>38908.237544794742</v>
      </c>
      <c r="N280" s="13">
        <f>IF(ValuesEntered2,IF(ROW()-ROW(הפחתה5[[#Headers],[ריבית]])=1,-IPMT(שיעור_ריבית2/12,1,תקופת_ההלוואה2-ROWS($L$4:L280)+1,הפחתה5[[#This Row],[יתרת פתיחה]]),IFERROR(-IPMT(שיעור_ריבית2/12,1,הפחתה5[[#This Row],[תשלומים
שנותרו]],M281),0)),0)</f>
        <v>146.32232826609041</v>
      </c>
      <c r="O280" s="13">
        <f>IFERROR(IF(AND(ValuesEntered2,הפחתה5[[#This Row],[תאריך]]&lt;&gt;""),-PPMT(שיעור_ריבית2/12,1,תקופת_ההלוואה2-ROWS($L$4:L280)+1,הפחתה5[[#This Row],[יתרת פתיחה]]),""),0)</f>
        <v>1549.3452215376133</v>
      </c>
      <c r="P280" s="13">
        <f>(הפחתה5[[#This Row],[יתרת פתיחה]])*(מדד2/12)</f>
        <v>0</v>
      </c>
      <c r="Q280" s="13">
        <f>IF(הפחתה5[[#This Row],[תאריך]]="",0,הפחתה5[[#This Row],[ריבית]]+הפחתה5[[#This Row],[קרן]]+הפחתה5[[#This Row],[מדד]])</f>
        <v>1695.6675498037037</v>
      </c>
      <c r="R280" s="13">
        <f>IF(הפחתה5[[#This Row],[תאריך]]="",0,הפחתה5[[#This Row],[יתרת פתיחה]]-הפחתה5[[#This Row],[קרן]]+הפחתה5[[#This Row],[מדד]])</f>
        <v>37358.892323257125</v>
      </c>
      <c r="S280" s="11">
        <f>IF(הפחתה5[[#This Row],[יתרת
סגירה]]&gt;0,LastRow2-ROW(),0)</f>
        <v>23</v>
      </c>
      <c r="T280" s="11">
        <f>ROWS($T$4:T280)</f>
        <v>277</v>
      </c>
      <c r="U280" s="12">
        <f ca="1">IF(ValuesEntered3,IF(הפחתה7[[#This Row],[מס'']]&lt;=תקופת_ההלוואה3,IF(ROW()-ROW(הפחתה7[[#Headers],[תאריך]])=1,LoanStart3,IF(AA279&gt;0,EDATE(U279,1),"")),""),"")</f>
        <v>54021</v>
      </c>
      <c r="V280" s="13">
        <f ca="1">IF(ROW()-ROW(הפחתה7[[#Headers],[יתרת פתיחה]])=1,סכום_הלוואה3,IF(הפחתה7[[#This Row],[תאריך]]="",0,INDEX(הפחתה7[], ROW()-4,8)))</f>
        <v>16338.026393253516</v>
      </c>
      <c r="W280" s="13">
        <f ca="1">IF(ValuesEntered3,IF(ROW()-ROW(הפחתה7[[#Headers],[ריבית]])=1,-IPMT(שיעור_ריבית3/12,1,תקופת_ההלוואה3-ROWS($C$4:U280)+1,הפחתה7[[#This Row],[יתרת פתיחה]]),IFERROR(-IPMT(שיעור_ריבית3/12,1,הפחתה7[[#This Row],[תשלומים
שנותרו]],V281),0)),0)</f>
        <v>30.090498486219385</v>
      </c>
      <c r="X280" s="13">
        <f ca="1">IFERROR(IF(AND(ValuesEntered3,הפחתה7[[#This Row],[תאריך]]&lt;&gt;""),-PPMT(שיעור_ריבית3/12,1,תקופת_ההלוואה3-ROWS($C$4:U280)+1,הפחתה7[[#This Row],[יתרת פתיחה]]),""),0)</f>
        <v>665.86592269302878</v>
      </c>
      <c r="Y280" s="13">
        <f ca="1">(הפחתה7[[#This Row],[יתרת פתיחה]])*(מדד3/12)</f>
        <v>27.230043988755863</v>
      </c>
      <c r="Z280" s="13">
        <f ca="1">IF(הפחתה7[[#This Row],[תאריך]]="",0,הפחתה7[[#This Row],[ריבית]]+הפחתה7[[#This Row],[קרן]]+הפחתה7[[#This Row],[מדד]])</f>
        <v>723.18646516800402</v>
      </c>
      <c r="AA280" s="13">
        <f ca="1">IF(הפחתה7[[#This Row],[תאריך]]="",0,הפחתה7[[#This Row],[יתרת פתיחה]]-הפחתה7[[#This Row],[קרן]]+הפחתה7[[#This Row],[מדד]])</f>
        <v>15699.390514549244</v>
      </c>
      <c r="AB280" s="11">
        <f ca="1">IF(הפחתה7[[#This Row],[יתרת
סגירה]]&gt;0,LastRow3-ROW(),0)</f>
        <v>23</v>
      </c>
      <c r="AC280" s="17">
        <f>ROWS($AC$4:AC280)</f>
        <v>277</v>
      </c>
      <c r="AD280" s="18" t="str">
        <f ca="1">IF(ValuesEntered4,IF(הפחתה8[[#This Row],[מס'']]&lt;=תקופת_ההלוואה4,IF(ROW()-ROW(הפחתה8[[#Headers],[תאריך]])=1,LoanStart4,IF(AJ279&gt;0,EDATE(AD279,1),"")),""),"")</f>
        <v/>
      </c>
      <c r="AE280" s="19">
        <f ca="1">IF(ROW()-ROW(הפחתה8[[#Headers],[יתרת פתיחה]])=1,סכום_הלוואה4,IF(הפחתה8[[#This Row],[תאריך]]="",0,INDEX(הפחתה8[], ROW()-4,8)))</f>
        <v>0</v>
      </c>
      <c r="AF280" s="19">
        <f ca="1">IF(ValuesEntered4,IF(ROW()-ROW(הפחתה8[[#Headers],[ריבית]])=1,-IPMT(שיעור_ריבית4/12,1,תקופת_ההלוואה4-ROWS($C$4:AD280)+1,הפחתה8[[#This Row],[יתרת פתיחה]]),IFERROR(-IPMT(שיעור_ריבית4/12,1,הפחתה8[[#This Row],[תשלומים
שנותרו]],AE281),0)),0)</f>
        <v>0</v>
      </c>
      <c r="AG280" s="19" t="str">
        <f ca="1">IFERROR(IF(AND(ValuesEntered4,הפחתה8[[#This Row],[תאריך]]&lt;&gt;""),-PPMT(שיעור_ריבית4/12,1,תקופת_ההלוואה4-ROWS($C$4:AD280)+1,הפחתה8[[#This Row],[יתרת פתיחה]]),""),0)</f>
        <v/>
      </c>
      <c r="AH280" s="19">
        <f ca="1">(הפחתה8[[#This Row],[יתרת פתיחה]])*(מדד4/12)</f>
        <v>0</v>
      </c>
      <c r="AI280" s="19">
        <f ca="1">IF(הפחתה8[[#This Row],[תאריך]]="",0,הפחתה8[[#This Row],[ריבית]]+הפחתה8[[#This Row],[קרן]]+הפחתה8[[#This Row],[מדד]])</f>
        <v>0</v>
      </c>
      <c r="AJ280" s="19">
        <f ca="1">IF(הפחתה8[[#This Row],[תאריך]]="",0,הפחתה8[[#This Row],[יתרת פתיחה]]-הפחתה8[[#This Row],[קרן]])</f>
        <v>0</v>
      </c>
      <c r="AK280" s="20">
        <f ca="1">IF(הפחתה8[[#This Row],[יתרת
סגירה]]&gt;0,LastRow4-ROW(),0)</f>
        <v>0</v>
      </c>
    </row>
    <row r="281" spans="1:37" ht="15" customHeight="1" x14ac:dyDescent="0.25">
      <c r="A281" s="8"/>
      <c r="B281" s="11">
        <f>ROWS($B$4:B281)</f>
        <v>278</v>
      </c>
      <c r="C281" s="12">
        <f>IF(ValuesEntered,IF(הפחתה[[#This Row],[מס'']]&lt;=תקופת_ההלוואה,IF(ROW()-ROW(הפחתה[[#Headers],[תאריך]])=1,LoanStart,IF(I280&gt;0,EDATE(C280,1),"")),""),"")</f>
        <v>53813</v>
      </c>
      <c r="D281" s="13">
        <f>IF(ROW()-ROW(הפחתה[[#Headers],[יתרת פתיחה]])=1,סכום_הלוואה,IF(הפחתה[[#This Row],[תאריך]]="",0,INDEX(הפחתה[], ROW()-4,8)))</f>
        <v>231097.05918604953</v>
      </c>
      <c r="E281" s="13">
        <f>IF(ValuesEntered,IF(ROW()-ROW(הפחתה[[#Headers],[ריבית]])=1,-IPMT(שיעור_ריבית/12,1,תקופת_ההלוואה-ROWS($C$4:C281)+1,הפחתה[[#This Row],[יתרת פתיחה]]),IFERROR(-IPMT(שיעור_ריבית/12,1,הפחתה[[#This Row],[תשלומים
שנותרו]],D282),0)),0)</f>
        <v>1010.471102278001</v>
      </c>
      <c r="F281" s="13">
        <f>IFERROR(IF(AND(ValuesEntered,הפחתה[[#This Row],[תאריך]]&lt;&gt;""),-PPMT(שיעור_ריבית/12,1,תקופת_ההלוואה-ROWS($C$4:C281)+1,הפחתה[[#This Row],[יתרת פתיחה]]),""),0)</f>
        <v>2311.1492363135003</v>
      </c>
      <c r="G281" s="13">
        <f>(הפחתה[[#This Row],[יתרת פתיחה]])*(מדד/12)</f>
        <v>0</v>
      </c>
      <c r="H281" s="13">
        <f>IF(הפחתה[[#This Row],[תאריך]]="",0,הפחתה[[#This Row],[ריבית]]+הפחתה[[#This Row],[קרן]]+הפחתה[[#This Row],[מדד]])</f>
        <v>3321.6203385915014</v>
      </c>
      <c r="I281" s="13">
        <f>IF(הפחתה[[#This Row],[תאריך]]="",0,הפחתה[[#This Row],[יתרת פתיחה]]-הפחתה[[#This Row],[קרן]]+הפחתה[[#This Row],[מדד]])</f>
        <v>228785.90994973603</v>
      </c>
      <c r="J281" s="11">
        <f>IF(הפחתה[[#This Row],[יתרת
סגירה]]&gt;0,LastRow-ROW(),0)</f>
        <v>82</v>
      </c>
      <c r="K281" s="11">
        <f>ROWS($K$4:K281)</f>
        <v>278</v>
      </c>
      <c r="L281" s="12">
        <f>IF(ValuesEntered2,IF(הפחתה5[[#This Row],[מס'']]&lt;=תקופת_ההלוואה2,IF(ROW()-ROW(הפחתה5[[#Headers],[תאריך]])=1,LoanStart2,IF(R280&gt;0,EDATE(L280,1),"")),""),"")</f>
        <v>53813</v>
      </c>
      <c r="M281" s="13">
        <f>IF(ROW()-ROW(הפחתה5[[#Headers],[יתרת פתיחה]])=1,סכום_הלוואה2,IF(הפחתה5[[#This Row],[תאריך]]="",0,INDEX(הפחתה5[], ROW()-4,8)))</f>
        <v>37358.892323257125</v>
      </c>
      <c r="N281" s="13">
        <f>IF(ValuesEntered2,IF(ROW()-ROW(הפחתה5[[#Headers],[ריבית]])=1,-IPMT(שיעור_ריבית2/12,1,תקופת_ההלוואה2-ROWS($L$4:L281)+1,הפחתה5[[#This Row],[יתרת פתיחה]]),IFERROR(-IPMT(שיעור_ריבית2/12,1,הפחתה5[[#This Row],[תשלומים
שנותרו]],M282),0)),0)</f>
        <v>140.23029209566269</v>
      </c>
      <c r="O281" s="13">
        <f>IFERROR(IF(AND(ValuesEntered2,הפחתה5[[#This Row],[תאריך]]&lt;&gt;""),-PPMT(שיעור_ריבית2/12,1,תקופת_ההלוואה2-ROWS($L$4:L281)+1,הפחתה5[[#This Row],[יתרת פתיחה]]),""),0)</f>
        <v>1555.4134903219688</v>
      </c>
      <c r="P281" s="13">
        <f>(הפחתה5[[#This Row],[יתרת פתיחה]])*(מדד2/12)</f>
        <v>0</v>
      </c>
      <c r="Q281" s="13">
        <f>IF(הפחתה5[[#This Row],[תאריך]]="",0,הפחתה5[[#This Row],[ריבית]]+הפחתה5[[#This Row],[קרן]]+הפחתה5[[#This Row],[מדד]])</f>
        <v>1695.6437824176314</v>
      </c>
      <c r="R281" s="13">
        <f>IF(הפחתה5[[#This Row],[תאריך]]="",0,הפחתה5[[#This Row],[יתרת פתיחה]]-הפחתה5[[#This Row],[קרן]]+הפחתה5[[#This Row],[מדד]])</f>
        <v>35803.478832935158</v>
      </c>
      <c r="S281" s="11">
        <f>IF(הפחתה5[[#This Row],[יתרת
סגירה]]&gt;0,LastRow2-ROW(),0)</f>
        <v>22</v>
      </c>
      <c r="T281" s="11">
        <f>ROWS($T$4:T281)</f>
        <v>278</v>
      </c>
      <c r="U281" s="12">
        <f ca="1">IF(ValuesEntered3,IF(הפחתה7[[#This Row],[מס'']]&lt;=תקופת_ההלוואה3,IF(ROW()-ROW(הפחתה7[[#Headers],[תאריך]])=1,LoanStart3,IF(AA280&gt;0,EDATE(U280,1),"")),""),"")</f>
        <v>54051</v>
      </c>
      <c r="V281" s="13">
        <f ca="1">IF(ROW()-ROW(הפחתה7[[#Headers],[יתרת פתיחה]])=1,סכום_הלוואה3,IF(הפחתה7[[#This Row],[תאריך]]="",0,INDEX(הפחתה7[], ROW()-4,8)))</f>
        <v>15699.390514549244</v>
      </c>
      <c r="W281" s="13">
        <f ca="1">IF(ValuesEntered3,IF(ROW()-ROW(הפחתה7[[#Headers],[ריבית]])=1,-IPMT(שיעור_ריבית3/12,1,תקופת_ההלוואה3-ROWS($C$4:U281)+1,הפחתה7[[#This Row],[יתרת פתיחה]]),IFERROR(-IPMT(שיעור_ריבית3/12,1,הפחתה7[[#This Row],[תשלומים
שנותרו]],V282),0)),0)</f>
        <v>28.859738471001524</v>
      </c>
      <c r="X281" s="13">
        <f ca="1">IFERROR(IF(AND(ValuesEntered3,הפחתה7[[#This Row],[תאריך]]&lt;&gt;""),-PPMT(שיעור_ריבית3/12,1,תקופת_ההלוואה3-ROWS($C$4:U281)+1,הפחתה7[[#This Row],[יתרת פתיחה]]),""),0)</f>
        <v>668.30131097124763</v>
      </c>
      <c r="Y281" s="13">
        <f ca="1">(הפחתה7[[#This Row],[יתרת פתיחה]])*(מדד3/12)</f>
        <v>26.165650857582076</v>
      </c>
      <c r="Z281" s="13">
        <f ca="1">IF(הפחתה7[[#This Row],[תאריך]]="",0,הפחתה7[[#This Row],[ריבית]]+הפחתה7[[#This Row],[קרן]]+הפחתה7[[#This Row],[מדד]])</f>
        <v>723.32670029983115</v>
      </c>
      <c r="AA281" s="13">
        <f ca="1">IF(הפחתה7[[#This Row],[תאריך]]="",0,הפחתה7[[#This Row],[יתרת פתיחה]]-הפחתה7[[#This Row],[קרן]]+הפחתה7[[#This Row],[מדד]])</f>
        <v>15057.254854435578</v>
      </c>
      <c r="AB281" s="11">
        <f ca="1">IF(הפחתה7[[#This Row],[יתרת
סגירה]]&gt;0,LastRow3-ROW(),0)</f>
        <v>22</v>
      </c>
      <c r="AC281" s="17">
        <f>ROWS($AC$4:AC281)</f>
        <v>278</v>
      </c>
      <c r="AD281" s="18" t="str">
        <f ca="1">IF(ValuesEntered4,IF(הפחתה8[[#This Row],[מס'']]&lt;=תקופת_ההלוואה4,IF(ROW()-ROW(הפחתה8[[#Headers],[תאריך]])=1,LoanStart4,IF(AJ280&gt;0,EDATE(AD280,1),"")),""),"")</f>
        <v/>
      </c>
      <c r="AE281" s="19">
        <f ca="1">IF(ROW()-ROW(הפחתה8[[#Headers],[יתרת פתיחה]])=1,סכום_הלוואה4,IF(הפחתה8[[#This Row],[תאריך]]="",0,INDEX(הפחתה8[], ROW()-4,8)))</f>
        <v>0</v>
      </c>
      <c r="AF281" s="19">
        <f ca="1">IF(ValuesEntered4,IF(ROW()-ROW(הפחתה8[[#Headers],[ריבית]])=1,-IPMT(שיעור_ריבית4/12,1,תקופת_ההלוואה4-ROWS($C$4:AD281)+1,הפחתה8[[#This Row],[יתרת פתיחה]]),IFERROR(-IPMT(שיעור_ריבית4/12,1,הפחתה8[[#This Row],[תשלומים
שנותרו]],AE282),0)),0)</f>
        <v>0</v>
      </c>
      <c r="AG281" s="19" t="str">
        <f ca="1">IFERROR(IF(AND(ValuesEntered4,הפחתה8[[#This Row],[תאריך]]&lt;&gt;""),-PPMT(שיעור_ריבית4/12,1,תקופת_ההלוואה4-ROWS($C$4:AD281)+1,הפחתה8[[#This Row],[יתרת פתיחה]]),""),0)</f>
        <v/>
      </c>
      <c r="AH281" s="19">
        <f ca="1">(הפחתה8[[#This Row],[יתרת פתיחה]])*(מדד4/12)</f>
        <v>0</v>
      </c>
      <c r="AI281" s="19">
        <f ca="1">IF(הפחתה8[[#This Row],[תאריך]]="",0,הפחתה8[[#This Row],[ריבית]]+הפחתה8[[#This Row],[קרן]]+הפחתה8[[#This Row],[מדד]])</f>
        <v>0</v>
      </c>
      <c r="AJ281" s="19">
        <f ca="1">IF(הפחתה8[[#This Row],[תאריך]]="",0,הפחתה8[[#This Row],[יתרת פתיחה]]-הפחתה8[[#This Row],[קרן]])</f>
        <v>0</v>
      </c>
      <c r="AK281" s="20">
        <f ca="1">IF(הפחתה8[[#This Row],[יתרת
סגירה]]&gt;0,LastRow4-ROW(),0)</f>
        <v>0</v>
      </c>
    </row>
    <row r="282" spans="1:37" ht="15" customHeight="1" x14ac:dyDescent="0.25">
      <c r="A282" s="8"/>
      <c r="B282" s="11">
        <f>ROWS($B$4:B282)</f>
        <v>279</v>
      </c>
      <c r="C282" s="12">
        <f>IF(ValuesEntered,IF(הפחתה[[#This Row],[מס'']]&lt;=תקופת_ההלוואה,IF(ROW()-ROW(הפחתה[[#Headers],[תאריך]])=1,LoanStart,IF(I281&gt;0,EDATE(C281,1),"")),""),"")</f>
        <v>53844</v>
      </c>
      <c r="D282" s="13">
        <f>IF(ROW()-ROW(הפחתה[[#Headers],[יתרת פתיחה]])=1,סכום_הלוואה,IF(הפחתה[[#This Row],[תאריך]]="",0,INDEX(הפחתה[], ROW()-4,8)))</f>
        <v>228785.90994973603</v>
      </c>
      <c r="E282" s="13">
        <f>IF(ValuesEntered,IF(ROW()-ROW(הפחתה[[#Headers],[ריבית]])=1,-IPMT(שיעור_ריבית/12,1,תקופת_ההלוואה-ROWS($C$4:C282)+1,הפחתה[[#This Row],[יתרת פתיחה]]),IFERROR(-IPMT(שיעור_ריבית/12,1,הפחתה[[#This Row],[תשלומים
שנותרו]],D283),0)),0)</f>
        <v>1000.2184430245272</v>
      </c>
      <c r="F282" s="13">
        <f>IFERROR(IF(AND(ValuesEntered,הפחתה[[#This Row],[תאריך]]&lt;&gt;""),-PPMT(שיעור_ריבית/12,1,תקופת_ההלוואה-ROWS($C$4:C282)+1,הפחתה[[#This Row],[יתרת פתיחה]]),""),0)</f>
        <v>2321.3568121072185</v>
      </c>
      <c r="G282" s="13">
        <f>(הפחתה[[#This Row],[יתרת פתיחה]])*(מדד/12)</f>
        <v>0</v>
      </c>
      <c r="H282" s="13">
        <f>IF(הפחתה[[#This Row],[תאריך]]="",0,הפחתה[[#This Row],[ריבית]]+הפחתה[[#This Row],[קרן]]+הפחתה[[#This Row],[מדד]])</f>
        <v>3321.5752551317455</v>
      </c>
      <c r="I282" s="13">
        <f>IF(הפחתה[[#This Row],[תאריך]]="",0,הפחתה[[#This Row],[יתרת פתיחה]]-הפחתה[[#This Row],[קרן]]+הפחתה[[#This Row],[מדד]])</f>
        <v>226464.5531376288</v>
      </c>
      <c r="J282" s="11">
        <f>IF(הפחתה[[#This Row],[יתרת
סגירה]]&gt;0,LastRow-ROW(),0)</f>
        <v>81</v>
      </c>
      <c r="K282" s="11">
        <f>ROWS($K$4:K282)</f>
        <v>279</v>
      </c>
      <c r="L282" s="12">
        <f>IF(ValuesEntered2,IF(הפחתה5[[#This Row],[מס'']]&lt;=תקופת_ההלוואה2,IF(ROW()-ROW(הפחתה5[[#Headers],[תאריך]])=1,LoanStart2,IF(R281&gt;0,EDATE(L281,1),"")),""),"")</f>
        <v>53844</v>
      </c>
      <c r="M282" s="13">
        <f>IF(ROW()-ROW(הפחתה5[[#Headers],[יתרת פתיחה]])=1,סכום_הלוואה2,IF(הפחתה5[[#This Row],[תאריך]]="",0,INDEX(הפחתה5[], ROW()-4,8)))</f>
        <v>35803.478832935158</v>
      </c>
      <c r="N282" s="13">
        <f>IF(ValuesEntered2,IF(ROW()-ROW(הפחתה5[[#Headers],[ריבית]])=1,-IPMT(שיעור_ריבית2/12,1,תקופת_ההלוואה2-ROWS($L$4:L282)+1,הפחתה5[[#This Row],[יתרת פתיחה]]),IFERROR(-IPMT(שיעור_ריבית2/12,1,הפחתה5[[#This Row],[תשלומים
שנותרו]],M283),0)),0)</f>
        <v>134.11439545023416</v>
      </c>
      <c r="O282" s="13">
        <f>IFERROR(IF(AND(ValuesEntered2,הפחתה5[[#This Row],[תאריך]]&lt;&gt;""),-PPMT(שיעור_ריבית2/12,1,תקופת_ההלוואה2-ROWS($L$4:L282)+1,הפחתה5[[#This Row],[יתרת פתיחה]]),""),0)</f>
        <v>1561.5055264923965</v>
      </c>
      <c r="P282" s="13">
        <f>(הפחתה5[[#This Row],[יתרת פתיחה]])*(מדד2/12)</f>
        <v>0</v>
      </c>
      <c r="Q282" s="13">
        <f>IF(הפחתה5[[#This Row],[תאריך]]="",0,הפחתה5[[#This Row],[ריבית]]+הפחתה5[[#This Row],[קרן]]+הפחתה5[[#This Row],[מדד]])</f>
        <v>1695.6199219426308</v>
      </c>
      <c r="R282" s="13">
        <f>IF(הפחתה5[[#This Row],[תאריך]]="",0,הפחתה5[[#This Row],[יתרת פתיחה]]-הפחתה5[[#This Row],[קרן]]+הפחתה5[[#This Row],[מדד]])</f>
        <v>34241.973306442764</v>
      </c>
      <c r="S282" s="11">
        <f>IF(הפחתה5[[#This Row],[יתרת
סגירה]]&gt;0,LastRow2-ROW(),0)</f>
        <v>21</v>
      </c>
      <c r="T282" s="11">
        <f>ROWS($T$4:T282)</f>
        <v>279</v>
      </c>
      <c r="U282" s="12">
        <f ca="1">IF(ValuesEntered3,IF(הפחתה7[[#This Row],[מס'']]&lt;=תקופת_ההלוואה3,IF(ROW()-ROW(הפחתה7[[#Headers],[תאריך]])=1,LoanStart3,IF(AA281&gt;0,EDATE(U281,1),"")),""),"")</f>
        <v>54082</v>
      </c>
      <c r="V282" s="13">
        <f ca="1">IF(ROW()-ROW(הפחתה7[[#Headers],[יתרת פתיחה]])=1,סכום_הלוואה3,IF(הפחתה7[[#This Row],[תאריך]]="",0,INDEX(הפחתה7[], ROW()-4,8)))</f>
        <v>15057.254854435578</v>
      </c>
      <c r="W282" s="13">
        <f ca="1">IF(ValuesEntered3,IF(ROW()-ROW(הפחתה7[[#Headers],[ריבית]])=1,-IPMT(שיעור_ריבית3/12,1,תקופת_ההלוואה3-ROWS($C$4:U282)+1,הפחתה7[[#This Row],[יתרת פתיחה]]),IFERROR(-IPMT(שיעור_ריבית3/12,1,הפחתה7[[#This Row],[תשלומים
שנותרו]],V283),0)),0)</f>
        <v>27.622238066630622</v>
      </c>
      <c r="X282" s="13">
        <f ca="1">IFERROR(IF(AND(ValuesEntered3,הפחתה7[[#This Row],[תאריך]]&lt;&gt;""),-PPMT(שיעור_ריבית3/12,1,תקופת_ההלוואה3-ROWS($C$4:U282)+1,הפחתה7[[#This Row],[יתרת פתיחה]]),""),0)</f>
        <v>670.74780964655588</v>
      </c>
      <c r="Y282" s="13">
        <f ca="1">(הפחתה7[[#This Row],[יתרת פתיחה]])*(מדד3/12)</f>
        <v>25.095424757392632</v>
      </c>
      <c r="Z282" s="13">
        <f ca="1">IF(הפחתה7[[#This Row],[תאריך]]="",0,הפחתה7[[#This Row],[ריבית]]+הפחתה7[[#This Row],[קרן]]+הפחתה7[[#This Row],[מדד]])</f>
        <v>723.46547247057913</v>
      </c>
      <c r="AA282" s="13">
        <f ca="1">IF(הפחתה7[[#This Row],[תאריך]]="",0,הפחתה7[[#This Row],[יתרת פתיחה]]-הפחתה7[[#This Row],[קרן]]+הפחתה7[[#This Row],[מדד]])</f>
        <v>14411.602469546413</v>
      </c>
      <c r="AB282" s="11">
        <f ca="1">IF(הפחתה7[[#This Row],[יתרת
סגירה]]&gt;0,LastRow3-ROW(),0)</f>
        <v>21</v>
      </c>
      <c r="AC282" s="17">
        <f>ROWS($AC$4:AC282)</f>
        <v>279</v>
      </c>
      <c r="AD282" s="18" t="str">
        <f ca="1">IF(ValuesEntered4,IF(הפחתה8[[#This Row],[מס'']]&lt;=תקופת_ההלוואה4,IF(ROW()-ROW(הפחתה8[[#Headers],[תאריך]])=1,LoanStart4,IF(AJ281&gt;0,EDATE(AD281,1),"")),""),"")</f>
        <v/>
      </c>
      <c r="AE282" s="19">
        <f ca="1">IF(ROW()-ROW(הפחתה8[[#Headers],[יתרת פתיחה]])=1,סכום_הלוואה4,IF(הפחתה8[[#This Row],[תאריך]]="",0,INDEX(הפחתה8[], ROW()-4,8)))</f>
        <v>0</v>
      </c>
      <c r="AF282" s="19">
        <f ca="1">IF(ValuesEntered4,IF(ROW()-ROW(הפחתה8[[#Headers],[ריבית]])=1,-IPMT(שיעור_ריבית4/12,1,תקופת_ההלוואה4-ROWS($C$4:AD282)+1,הפחתה8[[#This Row],[יתרת פתיחה]]),IFERROR(-IPMT(שיעור_ריבית4/12,1,הפחתה8[[#This Row],[תשלומים
שנותרו]],AE283),0)),0)</f>
        <v>0</v>
      </c>
      <c r="AG282" s="19" t="str">
        <f ca="1">IFERROR(IF(AND(ValuesEntered4,הפחתה8[[#This Row],[תאריך]]&lt;&gt;""),-PPMT(שיעור_ריבית4/12,1,תקופת_ההלוואה4-ROWS($C$4:AD282)+1,הפחתה8[[#This Row],[יתרת פתיחה]]),""),0)</f>
        <v/>
      </c>
      <c r="AH282" s="19">
        <f ca="1">(הפחתה8[[#This Row],[יתרת פתיחה]])*(מדד4/12)</f>
        <v>0</v>
      </c>
      <c r="AI282" s="19">
        <f ca="1">IF(הפחתה8[[#This Row],[תאריך]]="",0,הפחתה8[[#This Row],[ריבית]]+הפחתה8[[#This Row],[קרן]]+הפחתה8[[#This Row],[מדד]])</f>
        <v>0</v>
      </c>
      <c r="AJ282" s="19">
        <f ca="1">IF(הפחתה8[[#This Row],[תאריך]]="",0,הפחתה8[[#This Row],[יתרת פתיחה]]-הפחתה8[[#This Row],[קרן]])</f>
        <v>0</v>
      </c>
      <c r="AK282" s="20">
        <f ca="1">IF(הפחתה8[[#This Row],[יתרת
סגירה]]&gt;0,LastRow4-ROW(),0)</f>
        <v>0</v>
      </c>
    </row>
    <row r="283" spans="1:37" ht="15" customHeight="1" x14ac:dyDescent="0.25">
      <c r="A283" s="8"/>
      <c r="B283" s="11">
        <f>ROWS($B$4:B283)</f>
        <v>280</v>
      </c>
      <c r="C283" s="12">
        <f>IF(ValuesEntered,IF(הפחתה[[#This Row],[מס'']]&lt;=תקופת_ההלוואה,IF(ROW()-ROW(הפחתה[[#Headers],[תאריך]])=1,LoanStart,IF(I282&gt;0,EDATE(C282,1),"")),""),"")</f>
        <v>53874</v>
      </c>
      <c r="D283" s="13">
        <f>IF(ROW()-ROW(הפחתה[[#Headers],[יתרת פתיחה]])=1,סכום_הלוואה,IF(הפחתה[[#This Row],[תאריך]]="",0,INDEX(הפחתה[], ROW()-4,8)))</f>
        <v>226464.5531376288</v>
      </c>
      <c r="E283" s="13">
        <f>IF(ValuesEntered,IF(ROW()-ROW(הפחתה[[#Headers],[ריבית]])=1,-IPMT(שיעור_ריבית/12,1,תקופת_ההלוואה-ROWS($C$4:C283)+1,הפחתה[[#This Row],[יתרת פתיחה]]),IFERROR(-IPMT(שיעור_ריבית/12,1,הפחתה[[#This Row],[תשלומים
שנותרו]],D284),0)),0)</f>
        <v>989.92050119268424</v>
      </c>
      <c r="F283" s="13">
        <f>IFERROR(IF(AND(ValuesEntered,הפחתה[[#This Row],[תאריך]]&lt;&gt;""),-PPMT(שיעור_ריבית/12,1,תקופת_ההלוואה-ROWS($C$4:C283)+1,הפחתה[[#This Row],[יתרת פתיחה]]),""),0)</f>
        <v>2331.6094713606922</v>
      </c>
      <c r="G283" s="13">
        <f>(הפחתה[[#This Row],[יתרת פתיחה]])*(מדד/12)</f>
        <v>0</v>
      </c>
      <c r="H283" s="13">
        <f>IF(הפחתה[[#This Row],[תאריך]]="",0,הפחתה[[#This Row],[ריבית]]+הפחתה[[#This Row],[קרן]]+הפחתה[[#This Row],[מדד]])</f>
        <v>3321.5299725533764</v>
      </c>
      <c r="I283" s="13">
        <f>IF(הפחתה[[#This Row],[תאריך]]="",0,הפחתה[[#This Row],[יתרת פתיחה]]-הפחתה[[#This Row],[קרן]]+הפחתה[[#This Row],[מדד]])</f>
        <v>224132.94366626811</v>
      </c>
      <c r="J283" s="11">
        <f>IF(הפחתה[[#This Row],[יתרת
סגירה]]&gt;0,LastRow-ROW(),0)</f>
        <v>80</v>
      </c>
      <c r="K283" s="11">
        <f>ROWS($K$4:K283)</f>
        <v>280</v>
      </c>
      <c r="L283" s="12">
        <f>IF(ValuesEntered2,IF(הפחתה5[[#This Row],[מס'']]&lt;=תקופת_ההלוואה2,IF(ROW()-ROW(הפחתה5[[#Headers],[תאריך]])=1,LoanStart2,IF(R282&gt;0,EDATE(L282,1),"")),""),"")</f>
        <v>53874</v>
      </c>
      <c r="M283" s="13">
        <f>IF(ROW()-ROW(הפחתה5[[#Headers],[יתרת פתיחה]])=1,סכום_הלוואה2,IF(הפחתה5[[#This Row],[תאריך]]="",0,INDEX(הפחתה5[], ROW()-4,8)))</f>
        <v>34241.973306442764</v>
      </c>
      <c r="N283" s="13">
        <f>IF(ValuesEntered2,IF(ROW()-ROW(הפחתה5[[#Headers],[ריבית]])=1,-IPMT(שיעור_ריבית2/12,1,תקופת_ההלוואה2-ROWS($L$4:L283)+1,הפחתה5[[#This Row],[יתרת פתיחה]]),IFERROR(-IPMT(שיעור_ריבית2/12,1,הפחתה5[[#This Row],[תשלומים
שנותרו]],M284),0)),0)</f>
        <v>127.97454487627766</v>
      </c>
      <c r="O283" s="13">
        <f>IFERROR(IF(AND(ValuesEntered2,הפחתה5[[#This Row],[תאריך]]&lt;&gt;""),-PPMT(שיעור_ריבית2/12,1,תקופת_ההלוואה2-ROWS($L$4:L283)+1,הפחתה5[[#This Row],[יתרת פתיחה]]),""),0)</f>
        <v>1567.6214231378251</v>
      </c>
      <c r="P283" s="13">
        <f>(הפחתה5[[#This Row],[יתרת פתיחה]])*(מדד2/12)</f>
        <v>0</v>
      </c>
      <c r="Q283" s="13">
        <f>IF(הפחתה5[[#This Row],[תאריך]]="",0,הפחתה5[[#This Row],[ריבית]]+הפחתה5[[#This Row],[קרן]]+הפחתה5[[#This Row],[מדד]])</f>
        <v>1695.5959680141027</v>
      </c>
      <c r="R283" s="13">
        <f>IF(הפחתה5[[#This Row],[תאריך]]="",0,הפחתה5[[#This Row],[יתרת פתיחה]]-הפחתה5[[#This Row],[קרן]]+הפחתה5[[#This Row],[מדד]])</f>
        <v>32674.351883304938</v>
      </c>
      <c r="S283" s="11">
        <f>IF(הפחתה5[[#This Row],[יתרת
סגירה]]&gt;0,LastRow2-ROW(),0)</f>
        <v>20</v>
      </c>
      <c r="T283" s="11">
        <f>ROWS($T$4:T283)</f>
        <v>280</v>
      </c>
      <c r="U283" s="12">
        <f ca="1">IF(ValuesEntered3,IF(הפחתה7[[#This Row],[מס'']]&lt;=תקופת_ההלוואה3,IF(ROW()-ROW(הפחתה7[[#Headers],[תאריך]])=1,LoanStart3,IF(AA282&gt;0,EDATE(U282,1),"")),""),"")</f>
        <v>54113</v>
      </c>
      <c r="V283" s="13">
        <f ca="1">IF(ROW()-ROW(הפחתה7[[#Headers],[יתרת פתיחה]])=1,סכום_הלוואה3,IF(הפחתה7[[#This Row],[תאריך]]="",0,INDEX(הפחתה7[], ROW()-4,8)))</f>
        <v>14411.602469546413</v>
      </c>
      <c r="W283" s="13">
        <f ca="1">IF(ValuesEntered3,IF(ROW()-ROW(הפחתה7[[#Headers],[ריבית]])=1,-IPMT(שיעור_ריבית3/12,1,תקופת_ההלוואה3-ROWS($C$4:U283)+1,הפחתה7[[#This Row],[יתרת פתיחה]]),IFERROR(-IPMT(שיעור_ריבית3/12,1,הפחתה7[[#This Row],[תשלומים
שנותרו]],V284),0)),0)</f>
        <v>26.377964231722512</v>
      </c>
      <c r="X283" s="13">
        <f ca="1">IFERROR(IF(AND(ValuesEntered3,הפחתה7[[#This Row],[תאריך]]&lt;&gt;""),-PPMT(שיעור_ריבית3/12,1,תקופת_ההלוואה3-ROWS($C$4:U283)+1,הפחתה7[[#This Row],[יתרת פתיחה]]),""),0)</f>
        <v>673.20568609695556</v>
      </c>
      <c r="Y283" s="13">
        <f ca="1">(הפחתה7[[#This Row],[יתרת פתיחה]])*(מדד3/12)</f>
        <v>24.019337449244023</v>
      </c>
      <c r="Z283" s="13">
        <f ca="1">IF(הפחתה7[[#This Row],[תאריך]]="",0,הפחתה7[[#This Row],[ריבית]]+הפחתה7[[#This Row],[קרן]]+הפחתה7[[#This Row],[מדד]])</f>
        <v>723.60298777792218</v>
      </c>
      <c r="AA283" s="13">
        <f ca="1">IF(הפחתה7[[#This Row],[תאריך]]="",0,הפחתה7[[#This Row],[יתרת פתיחה]]-הפחתה7[[#This Row],[קרן]]+הפחתה7[[#This Row],[מדד]])</f>
        <v>13762.416120898703</v>
      </c>
      <c r="AB283" s="11">
        <f ca="1">IF(הפחתה7[[#This Row],[יתרת
סגירה]]&gt;0,LastRow3-ROW(),0)</f>
        <v>20</v>
      </c>
      <c r="AC283" s="17">
        <f>ROWS($AC$4:AC283)</f>
        <v>280</v>
      </c>
      <c r="AD283" s="18" t="str">
        <f ca="1">IF(ValuesEntered4,IF(הפחתה8[[#This Row],[מס'']]&lt;=תקופת_ההלוואה4,IF(ROW()-ROW(הפחתה8[[#Headers],[תאריך]])=1,LoanStart4,IF(AJ282&gt;0,EDATE(AD282,1),"")),""),"")</f>
        <v/>
      </c>
      <c r="AE283" s="19">
        <f ca="1">IF(ROW()-ROW(הפחתה8[[#Headers],[יתרת פתיחה]])=1,סכום_הלוואה4,IF(הפחתה8[[#This Row],[תאריך]]="",0,INDEX(הפחתה8[], ROW()-4,8)))</f>
        <v>0</v>
      </c>
      <c r="AF283" s="19">
        <f ca="1">IF(ValuesEntered4,IF(ROW()-ROW(הפחתה8[[#Headers],[ריבית]])=1,-IPMT(שיעור_ריבית4/12,1,תקופת_ההלוואה4-ROWS($C$4:AD283)+1,הפחתה8[[#This Row],[יתרת פתיחה]]),IFERROR(-IPMT(שיעור_ריבית4/12,1,הפחתה8[[#This Row],[תשלומים
שנותרו]],AE284),0)),0)</f>
        <v>0</v>
      </c>
      <c r="AG283" s="19" t="str">
        <f ca="1">IFERROR(IF(AND(ValuesEntered4,הפחתה8[[#This Row],[תאריך]]&lt;&gt;""),-PPMT(שיעור_ריבית4/12,1,תקופת_ההלוואה4-ROWS($C$4:AD283)+1,הפחתה8[[#This Row],[יתרת פתיחה]]),""),0)</f>
        <v/>
      </c>
      <c r="AH283" s="19">
        <f ca="1">(הפחתה8[[#This Row],[יתרת פתיחה]])*(מדד4/12)</f>
        <v>0</v>
      </c>
      <c r="AI283" s="19">
        <f ca="1">IF(הפחתה8[[#This Row],[תאריך]]="",0,הפחתה8[[#This Row],[ריבית]]+הפחתה8[[#This Row],[קרן]]+הפחתה8[[#This Row],[מדד]])</f>
        <v>0</v>
      </c>
      <c r="AJ283" s="19">
        <f ca="1">IF(הפחתה8[[#This Row],[תאריך]]="",0,הפחתה8[[#This Row],[יתרת פתיחה]]-הפחתה8[[#This Row],[קרן]])</f>
        <v>0</v>
      </c>
      <c r="AK283" s="20">
        <f ca="1">IF(הפחתה8[[#This Row],[יתרת
סגירה]]&gt;0,LastRow4-ROW(),0)</f>
        <v>0</v>
      </c>
    </row>
    <row r="284" spans="1:37" ht="15" customHeight="1" x14ac:dyDescent="0.25">
      <c r="A284" s="8"/>
      <c r="B284" s="11">
        <f>ROWS($B$4:B284)</f>
        <v>281</v>
      </c>
      <c r="C284" s="12">
        <f>IF(ValuesEntered,IF(הפחתה[[#This Row],[מס'']]&lt;=תקופת_ההלוואה,IF(ROW()-ROW(הפחתה[[#Headers],[תאריך]])=1,LoanStart,IF(I283&gt;0,EDATE(C283,1),"")),""),"")</f>
        <v>53905</v>
      </c>
      <c r="D284" s="13">
        <f>IF(ROW()-ROW(הפחתה[[#Headers],[יתרת פתיחה]])=1,סכום_הלוואה,IF(הפחתה[[#This Row],[תאריך]]="",0,INDEX(הפחתה[], ROW()-4,8)))</f>
        <v>224132.94366626811</v>
      </c>
      <c r="E284" s="13">
        <f>IF(ValuesEntered,IF(ROW()-ROW(הפחתה[[#Headers],[ריבית]])=1,-IPMT(שיעור_ריבית/12,1,תקופת_ההלוואה-ROWS($C$4:C284)+1,הפחתה[[#This Row],[יתרת פתיחה]]),IFERROR(-IPMT(שיעור_ריבית/12,1,הפחתה[[#This Row],[תשלומים
שנותרו]],D285),0)),0)</f>
        <v>979.57707678441705</v>
      </c>
      <c r="F284" s="13">
        <f>IFERROR(IF(AND(ValuesEntered,הפחתה[[#This Row],[תאריך]]&lt;&gt;""),-PPMT(שיעור_ריבית/12,1,תקופת_ההלוואה-ROWS($C$4:C284)+1,הפחתה[[#This Row],[יתרת פתיחה]]),""),0)</f>
        <v>2341.9074131925349</v>
      </c>
      <c r="G284" s="13">
        <f>(הפחתה[[#This Row],[יתרת פתיחה]])*(מדד/12)</f>
        <v>0</v>
      </c>
      <c r="H284" s="13">
        <f>IF(הפחתה[[#This Row],[תאריך]]="",0,הפחתה[[#This Row],[ריבית]]+הפחתה[[#This Row],[קרן]]+הפחתה[[#This Row],[מדד]])</f>
        <v>3321.4844899769519</v>
      </c>
      <c r="I284" s="13">
        <f>IF(הפחתה[[#This Row],[תאריך]]="",0,הפחתה[[#This Row],[יתרת פתיחה]]-הפחתה[[#This Row],[קרן]]+הפחתה[[#This Row],[מדד]])</f>
        <v>221791.03625307558</v>
      </c>
      <c r="J284" s="11">
        <f>IF(הפחתה[[#This Row],[יתרת
סגירה]]&gt;0,LastRow-ROW(),0)</f>
        <v>79</v>
      </c>
      <c r="K284" s="11">
        <f>ROWS($K$4:K284)</f>
        <v>281</v>
      </c>
      <c r="L284" s="12">
        <f>IF(ValuesEntered2,IF(הפחתה5[[#This Row],[מס'']]&lt;=תקופת_ההלוואה2,IF(ROW()-ROW(הפחתה5[[#Headers],[תאריך]])=1,LoanStart2,IF(R283&gt;0,EDATE(L283,1),"")),""),"")</f>
        <v>53905</v>
      </c>
      <c r="M284" s="13">
        <f>IF(ROW()-ROW(הפחתה5[[#Headers],[יתרת פתיחה]])=1,סכום_הלוואה2,IF(הפחתה5[[#This Row],[תאריך]]="",0,INDEX(הפחתה5[], ROW()-4,8)))</f>
        <v>32674.351883304938</v>
      </c>
      <c r="N284" s="13">
        <f>IF(ValuesEntered2,IF(ROW()-ROW(הפחתה5[[#Headers],[ריבית]])=1,-IPMT(שיעור_ריבית2/12,1,תקופת_ההלוואה2-ROWS($L$4:L284)+1,הפחתה5[[#This Row],[יתרת פתיחה]]),IFERROR(-IPMT(שיעור_ריבית2/12,1,הפחתה5[[#This Row],[תשלומים
שנותרו]],M285),0)),0)</f>
        <v>121.81064655423984</v>
      </c>
      <c r="O284" s="13">
        <f>IFERROR(IF(AND(ValuesEntered2,הפחתה5[[#This Row],[תאריך]]&lt;&gt;""),-PPMT(שיעור_ריבית2/12,1,תקופת_ההלוואה2-ROWS($L$4:L284)+1,הפחתה5[[#This Row],[יתרת פתיחה]]),""),0)</f>
        <v>1573.7612737117818</v>
      </c>
      <c r="P284" s="13">
        <f>(הפחתה5[[#This Row],[יתרת פתיחה]])*(מדד2/12)</f>
        <v>0</v>
      </c>
      <c r="Q284" s="13">
        <f>IF(הפחתה5[[#This Row],[תאריך]]="",0,הפחתה5[[#This Row],[ריבית]]+הפחתה5[[#This Row],[קרן]]+הפחתה5[[#This Row],[מדד]])</f>
        <v>1695.5719202660216</v>
      </c>
      <c r="R284" s="13">
        <f>IF(הפחתה5[[#This Row],[תאריך]]="",0,הפחתה5[[#This Row],[יתרת פתיחה]]-הפחתה5[[#This Row],[קרן]]+הפחתה5[[#This Row],[מדד]])</f>
        <v>31100.590609593157</v>
      </c>
      <c r="S284" s="11">
        <f>IF(הפחתה5[[#This Row],[יתרת
סגירה]]&gt;0,LastRow2-ROW(),0)</f>
        <v>19</v>
      </c>
      <c r="T284" s="11">
        <f>ROWS($T$4:T284)</f>
        <v>281</v>
      </c>
      <c r="U284" s="12">
        <f ca="1">IF(ValuesEntered3,IF(הפחתה7[[#This Row],[מס'']]&lt;=תקופת_ההלוואה3,IF(ROW()-ROW(הפחתה7[[#Headers],[תאריך]])=1,LoanStart3,IF(AA283&gt;0,EDATE(U283,1),"")),""),"")</f>
        <v>54142</v>
      </c>
      <c r="V284" s="13">
        <f ca="1">IF(ROW()-ROW(הפחתה7[[#Headers],[יתרת פתיחה]])=1,סכום_הלוואה3,IF(הפחתה7[[#This Row],[תאריך]]="",0,INDEX(הפחתה7[], ROW()-4,8)))</f>
        <v>13762.416120898703</v>
      </c>
      <c r="W284" s="13">
        <f ca="1">IF(ValuesEntered3,IF(ROW()-ROW(הפחתה7[[#Headers],[ריבית]])=1,-IPMT(שיעור_ריבית3/12,1,תקופת_ההלוואה3-ROWS($C$4:U284)+1,הפחתה7[[#This Row],[יתרת פתיחה]]),IFERROR(-IPMT(שיעור_ריבית3/12,1,הפחתה7[[#This Row],[תשלומים
שנותרו]],V285),0)),0)</f>
        <v>25.126883290048887</v>
      </c>
      <c r="X284" s="13">
        <f ca="1">IFERROR(IF(AND(ValuesEntered3,הפחתה7[[#This Row],[תאריך]]&lt;&gt;""),-PPMT(שיעור_ריבית3/12,1,תקופת_ההלוואה3-ROWS($C$4:U284)+1,הפחתה7[[#This Row],[יתרת פתיחה]]),""),0)</f>
        <v>675.67524281382407</v>
      </c>
      <c r="Y284" s="13">
        <f ca="1">(הפחתה7[[#This Row],[יתרת פתיחה]])*(מדד3/12)</f>
        <v>22.937360201497839</v>
      </c>
      <c r="Z284" s="13">
        <f ca="1">IF(הפחתה7[[#This Row],[תאריך]]="",0,הפחתה7[[#This Row],[ריבית]]+הפחתה7[[#This Row],[קרן]]+הפחתה7[[#This Row],[מדד]])</f>
        <v>723.73948630537086</v>
      </c>
      <c r="AA284" s="13">
        <f ca="1">IF(הפחתה7[[#This Row],[תאריך]]="",0,הפחתה7[[#This Row],[יתרת פתיחה]]-הפחתה7[[#This Row],[קרן]]+הפחתה7[[#This Row],[מדד]])</f>
        <v>13109.678238286377</v>
      </c>
      <c r="AB284" s="11">
        <f ca="1">IF(הפחתה7[[#This Row],[יתרת
סגירה]]&gt;0,LastRow3-ROW(),0)</f>
        <v>19</v>
      </c>
      <c r="AC284" s="17">
        <f>ROWS($AC$4:AC284)</f>
        <v>281</v>
      </c>
      <c r="AD284" s="18" t="str">
        <f ca="1">IF(ValuesEntered4,IF(הפחתה8[[#This Row],[מס'']]&lt;=תקופת_ההלוואה4,IF(ROW()-ROW(הפחתה8[[#Headers],[תאריך]])=1,LoanStart4,IF(AJ283&gt;0,EDATE(AD283,1),"")),""),"")</f>
        <v/>
      </c>
      <c r="AE284" s="19">
        <f ca="1">IF(ROW()-ROW(הפחתה8[[#Headers],[יתרת פתיחה]])=1,סכום_הלוואה4,IF(הפחתה8[[#This Row],[תאריך]]="",0,INDEX(הפחתה8[], ROW()-4,8)))</f>
        <v>0</v>
      </c>
      <c r="AF284" s="19">
        <f ca="1">IF(ValuesEntered4,IF(ROW()-ROW(הפחתה8[[#Headers],[ריבית]])=1,-IPMT(שיעור_ריבית4/12,1,תקופת_ההלוואה4-ROWS($C$4:AD284)+1,הפחתה8[[#This Row],[יתרת פתיחה]]),IFERROR(-IPMT(שיעור_ריבית4/12,1,הפחתה8[[#This Row],[תשלומים
שנותרו]],AE285),0)),0)</f>
        <v>0</v>
      </c>
      <c r="AG284" s="19" t="str">
        <f ca="1">IFERROR(IF(AND(ValuesEntered4,הפחתה8[[#This Row],[תאריך]]&lt;&gt;""),-PPMT(שיעור_ריבית4/12,1,תקופת_ההלוואה4-ROWS($C$4:AD284)+1,הפחתה8[[#This Row],[יתרת פתיחה]]),""),0)</f>
        <v/>
      </c>
      <c r="AH284" s="19">
        <f ca="1">(הפחתה8[[#This Row],[יתרת פתיחה]])*(מדד4/12)</f>
        <v>0</v>
      </c>
      <c r="AI284" s="19">
        <f ca="1">IF(הפחתה8[[#This Row],[תאריך]]="",0,הפחתה8[[#This Row],[ריבית]]+הפחתה8[[#This Row],[קרן]]+הפחתה8[[#This Row],[מדד]])</f>
        <v>0</v>
      </c>
      <c r="AJ284" s="19">
        <f ca="1">IF(הפחתה8[[#This Row],[תאריך]]="",0,הפחתה8[[#This Row],[יתרת פתיחה]]-הפחתה8[[#This Row],[קרן]])</f>
        <v>0</v>
      </c>
      <c r="AK284" s="20">
        <f ca="1">IF(הפחתה8[[#This Row],[יתרת
סגירה]]&gt;0,LastRow4-ROW(),0)</f>
        <v>0</v>
      </c>
    </row>
    <row r="285" spans="1:37" ht="15" customHeight="1" x14ac:dyDescent="0.25">
      <c r="A285" s="8"/>
      <c r="B285" s="11">
        <f>ROWS($B$4:B285)</f>
        <v>282</v>
      </c>
      <c r="C285" s="12">
        <f>IF(ValuesEntered,IF(הפחתה[[#This Row],[מס'']]&lt;=תקופת_ההלוואה,IF(ROW()-ROW(הפחתה[[#Headers],[תאריך]])=1,LoanStart,IF(I284&gt;0,EDATE(C284,1),"")),""),"")</f>
        <v>53936</v>
      </c>
      <c r="D285" s="13">
        <f>IF(ROW()-ROW(הפחתה[[#Headers],[יתרת פתיחה]])=1,סכום_הלוואה,IF(הפחתה[[#This Row],[תאריך]]="",0,INDEX(הפחתה[], ROW()-4,8)))</f>
        <v>221791.03625307558</v>
      </c>
      <c r="E285" s="13">
        <f>IF(ValuesEntered,IF(ROW()-ROW(הפחתה[[#Headers],[ריבית]])=1,-IPMT(שיעור_ריבית/12,1,תקופת_ההלוואה-ROWS($C$4:C285)+1,הפחתה[[#This Row],[יתרת פתיחה]]),IFERROR(-IPMT(שיעור_ריבית/12,1,הפחתה[[#This Row],[תשלומים
שנותרו]],D286),0)),0)</f>
        <v>969.187968918347</v>
      </c>
      <c r="F285" s="13">
        <f>IFERROR(IF(AND(ValuesEntered,הפחתה[[#This Row],[תאריך]]&lt;&gt;""),-PPMT(שיעור_ריבית/12,1,תקופת_ההלוואה-ROWS($C$4:C285)+1,הפחתה[[#This Row],[יתרת פתיחה]]),""),0)</f>
        <v>2352.2508376008018</v>
      </c>
      <c r="G285" s="13">
        <f>(הפחתה[[#This Row],[יתרת פתיחה]])*(מדד/12)</f>
        <v>0</v>
      </c>
      <c r="H285" s="13">
        <f>IF(הפחתה[[#This Row],[תאריך]]="",0,הפחתה[[#This Row],[ריבית]]+הפחתה[[#This Row],[קרן]]+הפחתה[[#This Row],[מדד]])</f>
        <v>3321.4388065191488</v>
      </c>
      <c r="I285" s="13">
        <f>IF(הפחתה[[#This Row],[תאריך]]="",0,הפחתה[[#This Row],[יתרת פתיחה]]-הפחתה[[#This Row],[קרן]]+הפחתה[[#This Row],[מדד]])</f>
        <v>219438.78541547479</v>
      </c>
      <c r="J285" s="11">
        <f>IF(הפחתה[[#This Row],[יתרת
סגירה]]&gt;0,LastRow-ROW(),0)</f>
        <v>78</v>
      </c>
      <c r="K285" s="11">
        <f>ROWS($K$4:K285)</f>
        <v>282</v>
      </c>
      <c r="L285" s="12">
        <f>IF(ValuesEntered2,IF(הפחתה5[[#This Row],[מס'']]&lt;=תקופת_ההלוואה2,IF(ROW()-ROW(הפחתה5[[#Headers],[תאריך]])=1,LoanStart2,IF(R284&gt;0,EDATE(L284,1),"")),""),"")</f>
        <v>53936</v>
      </c>
      <c r="M285" s="13">
        <f>IF(ROW()-ROW(הפחתה5[[#Headers],[יתרת פתיחה]])=1,סכום_הלוואה2,IF(הפחתה5[[#This Row],[תאריך]]="",0,INDEX(הפחתה5[], ROW()-4,8)))</f>
        <v>31100.590609593157</v>
      </c>
      <c r="N285" s="13">
        <f>IF(ValuesEntered2,IF(ROW()-ROW(הפחתה5[[#Headers],[ריבית]])=1,-IPMT(שיעור_ריבית2/12,1,תקופת_ההלוואה2-ROWS($L$4:L285)+1,הפחתה5[[#This Row],[יתרת פתיחה]]),IFERROR(-IPMT(שיעור_ריבית2/12,1,הפחתה5[[#This Row],[תשלומים
שנותרו]],M286),0)),0)</f>
        <v>115.62260629710738</v>
      </c>
      <c r="O285" s="13">
        <f>IFERROR(IF(AND(ValuesEntered2,הפחתה5[[#This Row],[תאריך]]&lt;&gt;""),-PPMT(שיעור_ריבית2/12,1,תקופת_ההלוואה2-ROWS($L$4:L285)+1,הפחתה5[[#This Row],[יתרת פתיחה]]),""),0)</f>
        <v>1579.9251720338198</v>
      </c>
      <c r="P285" s="13">
        <f>(הפחתה5[[#This Row],[יתרת פתיחה]])*(מדד2/12)</f>
        <v>0</v>
      </c>
      <c r="Q285" s="13">
        <f>IF(הפחתה5[[#This Row],[תאריך]]="",0,הפחתה5[[#This Row],[ריבית]]+הפחתה5[[#This Row],[קרן]]+הפחתה5[[#This Row],[מדד]])</f>
        <v>1695.547778330927</v>
      </c>
      <c r="R285" s="13">
        <f>IF(הפחתה5[[#This Row],[תאריך]]="",0,הפחתה5[[#This Row],[יתרת פתיחה]]-הפחתה5[[#This Row],[קרן]]+הפחתה5[[#This Row],[מדד]])</f>
        <v>29520.665437559335</v>
      </c>
      <c r="S285" s="11">
        <f>IF(הפחתה5[[#This Row],[יתרת
סגירה]]&gt;0,LastRow2-ROW(),0)</f>
        <v>18</v>
      </c>
      <c r="T285" s="11">
        <f>ROWS($T$4:T285)</f>
        <v>282</v>
      </c>
      <c r="U285" s="12">
        <f ca="1">IF(ValuesEntered3,IF(הפחתה7[[#This Row],[מס'']]&lt;=תקופת_ההלוואה3,IF(ROW()-ROW(הפחתה7[[#Headers],[תאריך]])=1,LoanStart3,IF(AA284&gt;0,EDATE(U284,1),"")),""),"")</f>
        <v>54173</v>
      </c>
      <c r="V285" s="13">
        <f ca="1">IF(ROW()-ROW(הפחתה7[[#Headers],[יתרת פתיחה]])=1,סכום_הלוואה3,IF(הפחתה7[[#This Row],[תאריך]]="",0,INDEX(הפחתה7[], ROW()-4,8)))</f>
        <v>13109.678238286377</v>
      </c>
      <c r="W285" s="13">
        <f ca="1">IF(ValuesEntered3,IF(ROW()-ROW(הפחתה7[[#Headers],[ריבית]])=1,-IPMT(שיעור_ריבית3/12,1,תקופת_ההלוואה3-ROWS($C$4:U285)+1,הפחתה7[[#This Row],[יתרת פתיחה]]),IFERROR(-IPMT(שיעור_ריבית3/12,1,הפחתה7[[#This Row],[תשלומים
שנותרו]],V286),0)),0)</f>
        <v>23.868960848149676</v>
      </c>
      <c r="X285" s="13">
        <f ca="1">IFERROR(IF(AND(ValuesEntered3,הפחתה7[[#This Row],[תאריך]]&lt;&gt;""),-PPMT(שיעור_ריבית3/12,1,תקופת_ההלוואה3-ROWS($C$4:U285)+1,הפחתה7[[#This Row],[יתרת פתיחה]]),""),0)</f>
        <v>678.15682472137121</v>
      </c>
      <c r="Y285" s="13">
        <f ca="1">(הפחתה7[[#This Row],[יתרת פתיחה]])*(מדד3/12)</f>
        <v>21.849463730477297</v>
      </c>
      <c r="Z285" s="13">
        <f ca="1">IF(הפחתה7[[#This Row],[תאריך]]="",0,הפחתה7[[#This Row],[ריבית]]+הפחתה7[[#This Row],[קרן]]+הפחתה7[[#This Row],[מדד]])</f>
        <v>723.87524929999813</v>
      </c>
      <c r="AA285" s="13">
        <f ca="1">IF(הפחתה7[[#This Row],[תאריך]]="",0,הפחתה7[[#This Row],[יתרת פתיחה]]-הפחתה7[[#This Row],[קרן]]+הפחתה7[[#This Row],[מדד]])</f>
        <v>12453.370877295483</v>
      </c>
      <c r="AB285" s="11">
        <f ca="1">IF(הפחתה7[[#This Row],[יתרת
סגירה]]&gt;0,LastRow3-ROW(),0)</f>
        <v>18</v>
      </c>
      <c r="AC285" s="17">
        <f>ROWS($AC$4:AC285)</f>
        <v>282</v>
      </c>
      <c r="AD285" s="18" t="str">
        <f ca="1">IF(ValuesEntered4,IF(הפחתה8[[#This Row],[מס'']]&lt;=תקופת_ההלוואה4,IF(ROW()-ROW(הפחתה8[[#Headers],[תאריך]])=1,LoanStart4,IF(AJ284&gt;0,EDATE(AD284,1),"")),""),"")</f>
        <v/>
      </c>
      <c r="AE285" s="19">
        <f ca="1">IF(ROW()-ROW(הפחתה8[[#Headers],[יתרת פתיחה]])=1,סכום_הלוואה4,IF(הפחתה8[[#This Row],[תאריך]]="",0,INDEX(הפחתה8[], ROW()-4,8)))</f>
        <v>0</v>
      </c>
      <c r="AF285" s="19">
        <f ca="1">IF(ValuesEntered4,IF(ROW()-ROW(הפחתה8[[#Headers],[ריבית]])=1,-IPMT(שיעור_ריבית4/12,1,תקופת_ההלוואה4-ROWS($C$4:AD285)+1,הפחתה8[[#This Row],[יתרת פתיחה]]),IFERROR(-IPMT(שיעור_ריבית4/12,1,הפחתה8[[#This Row],[תשלומים
שנותרו]],AE286),0)),0)</f>
        <v>0</v>
      </c>
      <c r="AG285" s="19" t="str">
        <f ca="1">IFERROR(IF(AND(ValuesEntered4,הפחתה8[[#This Row],[תאריך]]&lt;&gt;""),-PPMT(שיעור_ריבית4/12,1,תקופת_ההלוואה4-ROWS($C$4:AD285)+1,הפחתה8[[#This Row],[יתרת פתיחה]]),""),0)</f>
        <v/>
      </c>
      <c r="AH285" s="19">
        <f ca="1">(הפחתה8[[#This Row],[יתרת פתיחה]])*(מדד4/12)</f>
        <v>0</v>
      </c>
      <c r="AI285" s="19">
        <f ca="1">IF(הפחתה8[[#This Row],[תאריך]]="",0,הפחתה8[[#This Row],[ריבית]]+הפחתה8[[#This Row],[קרן]]+הפחתה8[[#This Row],[מדד]])</f>
        <v>0</v>
      </c>
      <c r="AJ285" s="19">
        <f ca="1">IF(הפחתה8[[#This Row],[תאריך]]="",0,הפחתה8[[#This Row],[יתרת פתיחה]]-הפחתה8[[#This Row],[קרן]])</f>
        <v>0</v>
      </c>
      <c r="AK285" s="20">
        <f ca="1">IF(הפחתה8[[#This Row],[יתרת
סגירה]]&gt;0,LastRow4-ROW(),0)</f>
        <v>0</v>
      </c>
    </row>
    <row r="286" spans="1:37" ht="15" customHeight="1" x14ac:dyDescent="0.25">
      <c r="A286" s="8"/>
      <c r="B286" s="11">
        <f>ROWS($B$4:B286)</f>
        <v>283</v>
      </c>
      <c r="C286" s="12">
        <f>IF(ValuesEntered,IF(הפחתה[[#This Row],[מס'']]&lt;=תקופת_ההלוואה,IF(ROW()-ROW(הפחתה[[#Headers],[תאריך]])=1,LoanStart,IF(I285&gt;0,EDATE(C285,1),"")),""),"")</f>
        <v>53966</v>
      </c>
      <c r="D286" s="13">
        <f>IF(ROW()-ROW(הפחתה[[#Headers],[יתרת פתיחה]])=1,סכום_הלוואה,IF(הפחתה[[#This Row],[תאריך]]="",0,INDEX(הפחתה[], ROW()-4,8)))</f>
        <v>219438.78541547479</v>
      </c>
      <c r="E286" s="13">
        <f>IF(ValuesEntered,IF(ROW()-ROW(הפחתה[[#Headers],[ריבית]])=1,-IPMT(שיעור_ריבית/12,1,תקופת_ההלוואה-ROWS($C$4:C286)+1,הפחתה[[#This Row],[יתרת פתיחה]]),IFERROR(-IPMT(שיעור_ריבית/12,1,הפחתה[[#This Row],[תשלומים
שנותרו]],D287),0)),0)</f>
        <v>958.75297582586813</v>
      </c>
      <c r="F286" s="13">
        <f>IFERROR(IF(AND(ValuesEntered,הפחתה[[#This Row],[תאריך]]&lt;&gt;""),-PPMT(שיעור_ריבית/12,1,תקופת_ההלוואה-ROWS($C$4:C286)+1,הפחתה[[#This Row],[יתרת פתיחה]]),""),0)</f>
        <v>2362.6399454668722</v>
      </c>
      <c r="G286" s="13">
        <f>(הפחתה[[#This Row],[יתרת פתיחה]])*(מדד/12)</f>
        <v>0</v>
      </c>
      <c r="H286" s="13">
        <f>IF(הפחתה[[#This Row],[תאריך]]="",0,הפחתה[[#This Row],[ריבית]]+הפחתה[[#This Row],[קרן]]+הפחתה[[#This Row],[מדד]])</f>
        <v>3321.3929212927405</v>
      </c>
      <c r="I286" s="13">
        <f>IF(הפחתה[[#This Row],[תאריך]]="",0,הפחתה[[#This Row],[יתרת פתיחה]]-הפחתה[[#This Row],[קרן]]+הפחתה[[#This Row],[מדד]])</f>
        <v>217076.1454700079</v>
      </c>
      <c r="J286" s="11">
        <f>IF(הפחתה[[#This Row],[יתרת
סגירה]]&gt;0,LastRow-ROW(),0)</f>
        <v>77</v>
      </c>
      <c r="K286" s="11">
        <f>ROWS($K$4:K286)</f>
        <v>283</v>
      </c>
      <c r="L286" s="12">
        <f>IF(ValuesEntered2,IF(הפחתה5[[#This Row],[מס'']]&lt;=תקופת_ההלוואה2,IF(ROW()-ROW(הפחתה5[[#Headers],[תאריך]])=1,LoanStart2,IF(R285&gt;0,EDATE(L285,1),"")),""),"")</f>
        <v>53966</v>
      </c>
      <c r="M286" s="13">
        <f>IF(ROW()-ROW(הפחתה5[[#Headers],[יתרת פתיחה]])=1,סכום_הלוואה2,IF(הפחתה5[[#This Row],[תאריך]]="",0,INDEX(הפחתה5[], ROW()-4,8)))</f>
        <v>29520.665437559335</v>
      </c>
      <c r="N286" s="13">
        <f>IF(ValuesEntered2,IF(ROW()-ROW(הפחתה5[[#Headers],[ריבית]])=1,-IPMT(שיעור_ריבית2/12,1,תקופת_ההלוואה2-ROWS($L$4:L286)+1,הפחתה5[[#This Row],[יתרת פתיחה]]),IFERROR(-IPMT(שיעור_ריבית2/12,1,הפחתה5[[#This Row],[תשלומים
שנותרו]],M287),0)),0)</f>
        <v>109.41032954896782</v>
      </c>
      <c r="O286" s="13">
        <f>IFERROR(IF(AND(ValuesEntered2,הפחתה5[[#This Row],[תאריך]]&lt;&gt;""),-PPMT(שיעור_ריבית2/12,1,תקופת_ההלוואה2-ROWS($L$4:L286)+1,הפחתה5[[#This Row],[יתרת פתיחה]]),""),0)</f>
        <v>1586.1132122909521</v>
      </c>
      <c r="P286" s="13">
        <f>(הפחתה5[[#This Row],[יתרת פתיחה]])*(מדד2/12)</f>
        <v>0</v>
      </c>
      <c r="Q286" s="13">
        <f>IF(הפחתה5[[#This Row],[תאריך]]="",0,הפחתה5[[#This Row],[ריבית]]+הפחתה5[[#This Row],[קרן]]+הפחתה5[[#This Row],[מדד]])</f>
        <v>1695.52354183992</v>
      </c>
      <c r="R286" s="13">
        <f>IF(הפחתה5[[#This Row],[תאריך]]="",0,הפחתה5[[#This Row],[יתרת פתיחה]]-הפחתה5[[#This Row],[קרן]]+הפחתה5[[#This Row],[מדד]])</f>
        <v>27934.552225268384</v>
      </c>
      <c r="S286" s="11">
        <f>IF(הפחתה5[[#This Row],[יתרת
סגירה]]&gt;0,LastRow2-ROW(),0)</f>
        <v>17</v>
      </c>
      <c r="T286" s="11">
        <f>ROWS($T$4:T286)</f>
        <v>283</v>
      </c>
      <c r="U286" s="12">
        <f ca="1">IF(ValuesEntered3,IF(הפחתה7[[#This Row],[מס'']]&lt;=תקופת_ההלוואה3,IF(ROW()-ROW(הפחתה7[[#Headers],[תאריך]])=1,LoanStart3,IF(AA285&gt;0,EDATE(U285,1),"")),""),"")</f>
        <v>54203</v>
      </c>
      <c r="V286" s="13">
        <f ca="1">IF(ROW()-ROW(הפחתה7[[#Headers],[יתרת פתיחה]])=1,סכום_הלוואה3,IF(הפחתה7[[#This Row],[תאריך]]="",0,INDEX(הפחתה7[], ROW()-4,8)))</f>
        <v>12453.370877295483</v>
      </c>
      <c r="W286" s="13">
        <f ca="1">IF(ValuesEntered3,IF(ROW()-ROW(הפחתה7[[#Headers],[ריבית]])=1,-IPMT(שיעור_ריבית3/12,1,תקופת_ההלוואה3-ROWS($C$4:U286)+1,הפחתה7[[#This Row],[יתרת פתיחה]]),IFERROR(-IPMT(שיעור_ריבית3/12,1,הפחתה7[[#This Row],[תשלומים
שנותרו]],V287),0)),0)</f>
        <v>22.604161694897556</v>
      </c>
      <c r="X286" s="13">
        <f ca="1">IFERROR(IF(AND(ValuesEntered3,הפחתה7[[#This Row],[תאריך]]&lt;&gt;""),-PPMT(שיעור_ריבית3/12,1,תקופת_ההלוואה3-ROWS($C$4:U286)+1,הפחתה7[[#This Row],[יתרת פתיחה]]),""),0)</f>
        <v>680.65082852123408</v>
      </c>
      <c r="Y286" s="13">
        <f ca="1">(הפחתה7[[#This Row],[יתרת פתיחה]])*(מדד3/12)</f>
        <v>20.755618128825805</v>
      </c>
      <c r="Z286" s="13">
        <f ca="1">IF(הפחתה7[[#This Row],[תאריך]]="",0,הפחתה7[[#This Row],[ריבית]]+הפחתה7[[#This Row],[קרן]]+הפחתה7[[#This Row],[מדד]])</f>
        <v>724.01060834495752</v>
      </c>
      <c r="AA286" s="13">
        <f ca="1">IF(הפחתה7[[#This Row],[תאריך]]="",0,הפחתה7[[#This Row],[יתרת פתיחה]]-הפחתה7[[#This Row],[קרן]]+הפחתה7[[#This Row],[מדד]])</f>
        <v>11793.475666903074</v>
      </c>
      <c r="AB286" s="11">
        <f ca="1">IF(הפחתה7[[#This Row],[יתרת
סגירה]]&gt;0,LastRow3-ROW(),0)</f>
        <v>17</v>
      </c>
      <c r="AC286" s="17">
        <f>ROWS($AC$4:AC286)</f>
        <v>283</v>
      </c>
      <c r="AD286" s="18" t="str">
        <f ca="1">IF(ValuesEntered4,IF(הפחתה8[[#This Row],[מס'']]&lt;=תקופת_ההלוואה4,IF(ROW()-ROW(הפחתה8[[#Headers],[תאריך]])=1,LoanStart4,IF(AJ285&gt;0,EDATE(AD285,1),"")),""),"")</f>
        <v/>
      </c>
      <c r="AE286" s="19">
        <f ca="1">IF(ROW()-ROW(הפחתה8[[#Headers],[יתרת פתיחה]])=1,סכום_הלוואה4,IF(הפחתה8[[#This Row],[תאריך]]="",0,INDEX(הפחתה8[], ROW()-4,8)))</f>
        <v>0</v>
      </c>
      <c r="AF286" s="19">
        <f ca="1">IF(ValuesEntered4,IF(ROW()-ROW(הפחתה8[[#Headers],[ריבית]])=1,-IPMT(שיעור_ריבית4/12,1,תקופת_ההלוואה4-ROWS($C$4:AD286)+1,הפחתה8[[#This Row],[יתרת פתיחה]]),IFERROR(-IPMT(שיעור_ריבית4/12,1,הפחתה8[[#This Row],[תשלומים
שנותרו]],AE287),0)),0)</f>
        <v>0</v>
      </c>
      <c r="AG286" s="19" t="str">
        <f ca="1">IFERROR(IF(AND(ValuesEntered4,הפחתה8[[#This Row],[תאריך]]&lt;&gt;""),-PPMT(שיעור_ריבית4/12,1,תקופת_ההלוואה4-ROWS($C$4:AD286)+1,הפחתה8[[#This Row],[יתרת פתיחה]]),""),0)</f>
        <v/>
      </c>
      <c r="AH286" s="19">
        <f ca="1">(הפחתה8[[#This Row],[יתרת פתיחה]])*(מדד4/12)</f>
        <v>0</v>
      </c>
      <c r="AI286" s="19">
        <f ca="1">IF(הפחתה8[[#This Row],[תאריך]]="",0,הפחתה8[[#This Row],[ריבית]]+הפחתה8[[#This Row],[קרן]]+הפחתה8[[#This Row],[מדד]])</f>
        <v>0</v>
      </c>
      <c r="AJ286" s="19">
        <f ca="1">IF(הפחתה8[[#This Row],[תאריך]]="",0,הפחתה8[[#This Row],[יתרת פתיחה]]-הפחתה8[[#This Row],[קרן]])</f>
        <v>0</v>
      </c>
      <c r="AK286" s="20">
        <f ca="1">IF(הפחתה8[[#This Row],[יתרת
סגירה]]&gt;0,LastRow4-ROW(),0)</f>
        <v>0</v>
      </c>
    </row>
    <row r="287" spans="1:37" ht="15" customHeight="1" x14ac:dyDescent="0.25">
      <c r="A287" s="8"/>
      <c r="B287" s="11">
        <f>ROWS($B$4:B287)</f>
        <v>284</v>
      </c>
      <c r="C287" s="12">
        <f>IF(ValuesEntered,IF(הפחתה[[#This Row],[מס'']]&lt;=תקופת_ההלוואה,IF(ROW()-ROW(הפחתה[[#Headers],[תאריך]])=1,LoanStart,IF(I286&gt;0,EDATE(C286,1),"")),""),"")</f>
        <v>53997</v>
      </c>
      <c r="D287" s="13">
        <f>IF(ROW()-ROW(הפחתה[[#Headers],[יתרת פתיחה]])=1,סכום_הלוואה,IF(הפחתה[[#This Row],[תאריך]]="",0,INDEX(הפחתה[], ROW()-4,8)))</f>
        <v>217076.1454700079</v>
      </c>
      <c r="E287" s="13">
        <f>IF(ValuesEntered,IF(ROW()-ROW(הפחתה[[#Headers],[ריבית]])=1,-IPMT(שיעור_ריבית/12,1,תקופת_ההלוואה-ROWS($C$4:C287)+1,הפחתה[[#This Row],[יתרת פתיחה]]),IFERROR(-IPMT(שיעור_ריבית/12,1,הפחתה[[#This Row],[תשלומים
שנותרו]],D288),0)),0)</f>
        <v>948.27189484723112</v>
      </c>
      <c r="F287" s="13">
        <f>IFERROR(IF(AND(ValuesEntered,הפחתה[[#This Row],[תאריך]]&lt;&gt;""),-PPMT(שיעור_ריבית/12,1,תקופת_ההלוואה-ROWS($C$4:C287)+1,הפחתה[[#This Row],[יתרת פתיחה]]),""),0)</f>
        <v>2373.0749385593499</v>
      </c>
      <c r="G287" s="13">
        <f>(הפחתה[[#This Row],[יתרת פתיחה]])*(מדד/12)</f>
        <v>0</v>
      </c>
      <c r="H287" s="13">
        <f>IF(הפחתה[[#This Row],[תאריך]]="",0,הפחתה[[#This Row],[ריבית]]+הפחתה[[#This Row],[קרן]]+הפחתה[[#This Row],[מדד]])</f>
        <v>3321.346833406581</v>
      </c>
      <c r="I287" s="13">
        <f>IF(הפחתה[[#This Row],[תאריך]]="",0,הפחתה[[#This Row],[יתרת פתיחה]]-הפחתה[[#This Row],[קרן]]+הפחתה[[#This Row],[מדד]])</f>
        <v>214703.07053144855</v>
      </c>
      <c r="J287" s="11">
        <f>IF(הפחתה[[#This Row],[יתרת
סגירה]]&gt;0,LastRow-ROW(),0)</f>
        <v>76</v>
      </c>
      <c r="K287" s="11">
        <f>ROWS($K$4:K287)</f>
        <v>284</v>
      </c>
      <c r="L287" s="12">
        <f>IF(ValuesEntered2,IF(הפחתה5[[#This Row],[מס'']]&lt;=תקופת_ההלוואה2,IF(ROW()-ROW(הפחתה5[[#Headers],[תאריך]])=1,LoanStart2,IF(R286&gt;0,EDATE(L286,1),"")),""),"")</f>
        <v>53997</v>
      </c>
      <c r="M287" s="13">
        <f>IF(ROW()-ROW(הפחתה5[[#Headers],[יתרת פתיחה]])=1,סכום_הלוואה2,IF(הפחתה5[[#This Row],[תאריך]]="",0,INDEX(הפחתה5[], ROW()-4,8)))</f>
        <v>27934.552225268384</v>
      </c>
      <c r="N287" s="13">
        <f>IF(ValuesEntered2,IF(ROW()-ROW(הפחתה5[[#Headers],[ריבית]])=1,-IPMT(שיעור_ריבית2/12,1,תקופת_ההלוואה2-ROWS($L$4:L287)+1,הפחתה5[[#This Row],[יתרת פתיחה]]),IFERROR(-IPMT(שיעור_ריבית2/12,1,הפחתה5[[#This Row],[תשלומים
שנותרו]],M288),0)),0)</f>
        <v>103.17372138356471</v>
      </c>
      <c r="O287" s="13">
        <f>IFERROR(IF(AND(ValuesEntered2,הפחתה5[[#This Row],[תאריך]]&lt;&gt;""),-PPMT(שיעור_ריבית2/12,1,תקופת_ההלוואה2-ROWS($L$4:L287)+1,הפחתה5[[#This Row],[יתרת פתיחה]]),""),0)</f>
        <v>1592.3254890390915</v>
      </c>
      <c r="P287" s="13">
        <f>(הפחתה5[[#This Row],[יתרת פתיחה]])*(מדד2/12)</f>
        <v>0</v>
      </c>
      <c r="Q287" s="13">
        <f>IF(הפחתה5[[#This Row],[תאריך]]="",0,הפחתה5[[#This Row],[ריבית]]+הפחתה5[[#This Row],[קרן]]+הפחתה5[[#This Row],[מדד]])</f>
        <v>1695.4992104226562</v>
      </c>
      <c r="R287" s="13">
        <f>IF(הפחתה5[[#This Row],[תאריך]]="",0,הפחתה5[[#This Row],[יתרת פתיחה]]-הפחתה5[[#This Row],[קרן]]+הפחתה5[[#This Row],[מדד]])</f>
        <v>26342.226736229291</v>
      </c>
      <c r="S287" s="11">
        <f>IF(הפחתה5[[#This Row],[יתרת
סגירה]]&gt;0,LastRow2-ROW(),0)</f>
        <v>16</v>
      </c>
      <c r="T287" s="11">
        <f>ROWS($T$4:T287)</f>
        <v>284</v>
      </c>
      <c r="U287" s="12">
        <f ca="1">IF(ValuesEntered3,IF(הפחתה7[[#This Row],[מס'']]&lt;=תקופת_ההלוואה3,IF(ROW()-ROW(הפחתה7[[#Headers],[תאריך]])=1,LoanStart3,IF(AA286&gt;0,EDATE(U286,1),"")),""),"")</f>
        <v>54234</v>
      </c>
      <c r="V287" s="13">
        <f ca="1">IF(ROW()-ROW(הפחתה7[[#Headers],[יתרת פתיחה]])=1,סכום_הלוואה3,IF(הפחתה7[[#This Row],[תאריך]]="",0,INDEX(הפחתה7[], ROW()-4,8)))</f>
        <v>11793.475666903074</v>
      </c>
      <c r="W287" s="13">
        <f ca="1">IF(ValuesEntered3,IF(ROW()-ROW(הפחתה7[[#Headers],[ריבית]])=1,-IPMT(שיעור_ריבית3/12,1,תקופת_ההלוואה3-ROWS($C$4:U287)+1,הפחתה7[[#This Row],[יתרת פתיחה]]),IFERROR(-IPMT(שיעור_ריבית3/12,1,הפחתה7[[#This Row],[תשלומים
שנותרו]],V288),0)),0)</f>
        <v>21.332449677736676</v>
      </c>
      <c r="X287" s="13">
        <f ca="1">IFERROR(IF(AND(ValuesEntered3,הפחתה7[[#This Row],[תאריך]]&lt;&gt;""),-PPMT(שיעור_ריבית3/12,1,תקופת_ההלוואה3-ROWS($C$4:U287)+1,הפחתה7[[#This Row],[יתרת פתיחה]]),""),0)</f>
        <v>683.15771477515341</v>
      </c>
      <c r="Y287" s="13">
        <f ca="1">(הפחתה7[[#This Row],[יתרת פתיחה]])*(מדד3/12)</f>
        <v>19.65579277817179</v>
      </c>
      <c r="Z287" s="13">
        <f ca="1">IF(הפחתה7[[#This Row],[תאריך]]="",0,הפחתה7[[#This Row],[ריבית]]+הפחתה7[[#This Row],[קרן]]+הפחתה7[[#This Row],[מדד]])</f>
        <v>724.14595723106186</v>
      </c>
      <c r="AA287" s="13">
        <f ca="1">IF(הפחתה7[[#This Row],[תאריך]]="",0,הפחתה7[[#This Row],[יתרת פתיחה]]-הפחתה7[[#This Row],[קרן]]+הפחתה7[[#This Row],[מדד]])</f>
        <v>11129.973744906092</v>
      </c>
      <c r="AB287" s="11">
        <f ca="1">IF(הפחתה7[[#This Row],[יתרת
סגירה]]&gt;0,LastRow3-ROW(),0)</f>
        <v>16</v>
      </c>
      <c r="AC287" s="17">
        <f>ROWS($AC$4:AC287)</f>
        <v>284</v>
      </c>
      <c r="AD287" s="18" t="str">
        <f ca="1">IF(ValuesEntered4,IF(הפחתה8[[#This Row],[מס'']]&lt;=תקופת_ההלוואה4,IF(ROW()-ROW(הפחתה8[[#Headers],[תאריך]])=1,LoanStart4,IF(AJ286&gt;0,EDATE(AD286,1),"")),""),"")</f>
        <v/>
      </c>
      <c r="AE287" s="19">
        <f ca="1">IF(ROW()-ROW(הפחתה8[[#Headers],[יתרת פתיחה]])=1,סכום_הלוואה4,IF(הפחתה8[[#This Row],[תאריך]]="",0,INDEX(הפחתה8[], ROW()-4,8)))</f>
        <v>0</v>
      </c>
      <c r="AF287" s="19">
        <f ca="1">IF(ValuesEntered4,IF(ROW()-ROW(הפחתה8[[#Headers],[ריבית]])=1,-IPMT(שיעור_ריבית4/12,1,תקופת_ההלוואה4-ROWS($C$4:AD287)+1,הפחתה8[[#This Row],[יתרת פתיחה]]),IFERROR(-IPMT(שיעור_ריבית4/12,1,הפחתה8[[#This Row],[תשלומים
שנותרו]],AE288),0)),0)</f>
        <v>0</v>
      </c>
      <c r="AG287" s="19" t="str">
        <f ca="1">IFERROR(IF(AND(ValuesEntered4,הפחתה8[[#This Row],[תאריך]]&lt;&gt;""),-PPMT(שיעור_ריבית4/12,1,תקופת_ההלוואה4-ROWS($C$4:AD287)+1,הפחתה8[[#This Row],[יתרת פתיחה]]),""),0)</f>
        <v/>
      </c>
      <c r="AH287" s="19">
        <f ca="1">(הפחתה8[[#This Row],[יתרת פתיחה]])*(מדד4/12)</f>
        <v>0</v>
      </c>
      <c r="AI287" s="19">
        <f ca="1">IF(הפחתה8[[#This Row],[תאריך]]="",0,הפחתה8[[#This Row],[ריבית]]+הפחתה8[[#This Row],[קרן]]+הפחתה8[[#This Row],[מדד]])</f>
        <v>0</v>
      </c>
      <c r="AJ287" s="19">
        <f ca="1">IF(הפחתה8[[#This Row],[תאריך]]="",0,הפחתה8[[#This Row],[יתרת פתיחה]]-הפחתה8[[#This Row],[קרן]])</f>
        <v>0</v>
      </c>
      <c r="AK287" s="20">
        <f ca="1">IF(הפחתה8[[#This Row],[יתרת
סגירה]]&gt;0,LastRow4-ROW(),0)</f>
        <v>0</v>
      </c>
    </row>
    <row r="288" spans="1:37" ht="15" customHeight="1" x14ac:dyDescent="0.25">
      <c r="A288" s="8"/>
      <c r="B288" s="11">
        <f>ROWS($B$4:B288)</f>
        <v>285</v>
      </c>
      <c r="C288" s="12">
        <f>IF(ValuesEntered,IF(הפחתה[[#This Row],[מס'']]&lt;=תקופת_ההלוואה,IF(ROW()-ROW(הפחתה[[#Headers],[תאריך]])=1,LoanStart,IF(I287&gt;0,EDATE(C287,1),"")),""),"")</f>
        <v>54027</v>
      </c>
      <c r="D288" s="13">
        <f>IF(ROW()-ROW(הפחתה[[#Headers],[יתרת פתיחה]])=1,סכום_הלוואה,IF(הפחתה[[#This Row],[תאריך]]="",0,INDEX(הפחתה[], ROW()-4,8)))</f>
        <v>214703.07053144855</v>
      </c>
      <c r="E288" s="13">
        <f>IF(ValuesEntered,IF(ROW()-ROW(הפחתה[[#Headers],[ריבית]])=1,-IPMT(שיעור_ריבית/12,1,תקופת_ההלוואה-ROWS($C$4:C288)+1,הפחתה[[#This Row],[יתרת פתיחה]]),IFERROR(-IPMT(שיעור_ריבית/12,1,הפחתה[[#This Row],[תשלומים
שנותרו]],D289),0)),0)</f>
        <v>937.74452242760503</v>
      </c>
      <c r="F288" s="13">
        <f>IFERROR(IF(AND(ValuesEntered,הפחתה[[#This Row],[תאריך]]&lt;&gt;""),-PPMT(שיעור_ריבית/12,1,תקופת_ההלוואה-ROWS($C$4:C288)+1,הפחתה[[#This Row],[יתרת פתיחה]]),""),0)</f>
        <v>2383.556019537988</v>
      </c>
      <c r="G288" s="13">
        <f>(הפחתה[[#This Row],[יתרת פתיחה]])*(מדד/12)</f>
        <v>0</v>
      </c>
      <c r="H288" s="13">
        <f>IF(הפחתה[[#This Row],[תאריך]]="",0,הפחתה[[#This Row],[ריבית]]+הפחתה[[#This Row],[קרן]]+הפחתה[[#This Row],[מדד]])</f>
        <v>3321.3005419655929</v>
      </c>
      <c r="I288" s="13">
        <f>IF(הפחתה[[#This Row],[תאריך]]="",0,הפחתה[[#This Row],[יתרת פתיחה]]-הפחתה[[#This Row],[קרן]]+הפחתה[[#This Row],[מדד]])</f>
        <v>212319.51451191056</v>
      </c>
      <c r="J288" s="11">
        <f>IF(הפחתה[[#This Row],[יתרת
סגירה]]&gt;0,LastRow-ROW(),0)</f>
        <v>75</v>
      </c>
      <c r="K288" s="11">
        <f>ROWS($K$4:K288)</f>
        <v>285</v>
      </c>
      <c r="L288" s="12">
        <f>IF(ValuesEntered2,IF(הפחתה5[[#This Row],[מס'']]&lt;=תקופת_ההלוואה2,IF(ROW()-ROW(הפחתה5[[#Headers],[תאריך]])=1,LoanStart2,IF(R287&gt;0,EDATE(L287,1),"")),""),"")</f>
        <v>54027</v>
      </c>
      <c r="M288" s="13">
        <f>IF(ROW()-ROW(הפחתה5[[#Headers],[יתרת פתיחה]])=1,סכום_הלוואה2,IF(הפחתה5[[#This Row],[תאריך]]="",0,INDEX(הפחתה5[], ROW()-4,8)))</f>
        <v>26342.226736229291</v>
      </c>
      <c r="N288" s="13">
        <f>IF(ValuesEntered2,IF(ROW()-ROW(הפחתה5[[#Headers],[ריבית]])=1,-IPMT(שיעור_ריבית2/12,1,תקופת_ההלוואה2-ROWS($L$4:L288)+1,הפחתה5[[#This Row],[יתרת פתיחה]]),IFERROR(-IPMT(שיעור_ריבית2/12,1,הפחתה5[[#This Row],[תשלומים
שנותרו]],M289),0)),0)</f>
        <v>96.912686502847109</v>
      </c>
      <c r="O288" s="13">
        <f>IFERROR(IF(AND(ValuesEntered2,הפחתה5[[#This Row],[תאריך]]&lt;&gt;""),-PPMT(שיעור_ריבית2/12,1,תקופת_ההלוואה2-ROWS($L$4:L288)+1,הפחתה5[[#This Row],[יתרת פתיחה]]),""),0)</f>
        <v>1598.5620972044946</v>
      </c>
      <c r="P288" s="13">
        <f>(הפחתה5[[#This Row],[יתרת פתיחה]])*(מדד2/12)</f>
        <v>0</v>
      </c>
      <c r="Q288" s="13">
        <f>IF(הפחתה5[[#This Row],[תאריך]]="",0,הפחתה5[[#This Row],[ריבית]]+הפחתה5[[#This Row],[קרן]]+הפחתה5[[#This Row],[מדד]])</f>
        <v>1695.4747837073417</v>
      </c>
      <c r="R288" s="13">
        <f>IF(הפחתה5[[#This Row],[תאריך]]="",0,הפחתה5[[#This Row],[יתרת פתיחה]]-הפחתה5[[#This Row],[קרן]]+הפחתה5[[#This Row],[מדד]])</f>
        <v>24743.664639024795</v>
      </c>
      <c r="S288" s="11">
        <f>IF(הפחתה5[[#This Row],[יתרת
סגירה]]&gt;0,LastRow2-ROW(),0)</f>
        <v>15</v>
      </c>
      <c r="T288" s="11">
        <f>ROWS($T$4:T288)</f>
        <v>285</v>
      </c>
      <c r="U288" s="12">
        <f ca="1">IF(ValuesEntered3,IF(הפחתה7[[#This Row],[מס'']]&lt;=תקופת_ההלוואה3,IF(ROW()-ROW(הפחתה7[[#Headers],[תאריך]])=1,LoanStart3,IF(AA287&gt;0,EDATE(U287,1),"")),""),"")</f>
        <v>54264</v>
      </c>
      <c r="V288" s="13">
        <f ca="1">IF(ROW()-ROW(הפחתה7[[#Headers],[יתרת פתיחה]])=1,סכום_הלוואה3,IF(הפחתה7[[#This Row],[תאריך]]="",0,INDEX(הפחתה7[], ROW()-4,8)))</f>
        <v>11129.973744906092</v>
      </c>
      <c r="W288" s="13">
        <f ca="1">IF(ValuesEntered3,IF(ROW()-ROW(הפחתה7[[#Headers],[ריבית]])=1,-IPMT(שיעור_ריבית3/12,1,תקופת_ההלוואה3-ROWS($C$4:U288)+1,הפחתה7[[#This Row],[יתרת פתיחה]]),IFERROR(-IPMT(שיעור_ריבית3/12,1,הפחתה7[[#This Row],[תשלומים
שנותרו]],V289),0)),0)</f>
        <v>20.053787548345287</v>
      </c>
      <c r="X288" s="13">
        <f ca="1">IFERROR(IF(AND(ValuesEntered3,הפחתה7[[#This Row],[תאריך]]&lt;&gt;""),-PPMT(שיעור_ריבית3/12,1,תקופת_ההלוואה3-ROWS($C$4:U288)+1,הפחתה7[[#This Row],[יתרת פתיחה]]),""),0)</f>
        <v>685.67802375006147</v>
      </c>
      <c r="Y288" s="13">
        <f ca="1">(הפחתה7[[#This Row],[יתרת פתיחה]])*(מדד3/12)</f>
        <v>18.549956241510156</v>
      </c>
      <c r="Z288" s="13">
        <f ca="1">IF(הפחתה7[[#This Row],[תאריך]]="",0,הפחתה7[[#This Row],[ריבית]]+הפחתה7[[#This Row],[קרן]]+הפחתה7[[#This Row],[מדד]])</f>
        <v>724.28176753991693</v>
      </c>
      <c r="AA288" s="13">
        <f ca="1">IF(הפחתה7[[#This Row],[תאריך]]="",0,הפחתה7[[#This Row],[יתרת פתיחה]]-הפחתה7[[#This Row],[קרן]]+הפחתה7[[#This Row],[מדד]])</f>
        <v>10462.845677397541</v>
      </c>
      <c r="AB288" s="11">
        <f ca="1">IF(הפחתה7[[#This Row],[יתרת
סגירה]]&gt;0,LastRow3-ROW(),0)</f>
        <v>15</v>
      </c>
      <c r="AC288" s="17">
        <f>ROWS($AC$4:AC288)</f>
        <v>285</v>
      </c>
      <c r="AD288" s="18" t="str">
        <f ca="1">IF(ValuesEntered4,IF(הפחתה8[[#This Row],[מס'']]&lt;=תקופת_ההלוואה4,IF(ROW()-ROW(הפחתה8[[#Headers],[תאריך]])=1,LoanStart4,IF(AJ287&gt;0,EDATE(AD287,1),"")),""),"")</f>
        <v/>
      </c>
      <c r="AE288" s="19">
        <f ca="1">IF(ROW()-ROW(הפחתה8[[#Headers],[יתרת פתיחה]])=1,סכום_הלוואה4,IF(הפחתה8[[#This Row],[תאריך]]="",0,INDEX(הפחתה8[], ROW()-4,8)))</f>
        <v>0</v>
      </c>
      <c r="AF288" s="19">
        <f ca="1">IF(ValuesEntered4,IF(ROW()-ROW(הפחתה8[[#Headers],[ריבית]])=1,-IPMT(שיעור_ריבית4/12,1,תקופת_ההלוואה4-ROWS($C$4:AD288)+1,הפחתה8[[#This Row],[יתרת פתיחה]]),IFERROR(-IPMT(שיעור_ריבית4/12,1,הפחתה8[[#This Row],[תשלומים
שנותרו]],AE289),0)),0)</f>
        <v>0</v>
      </c>
      <c r="AG288" s="19" t="str">
        <f ca="1">IFERROR(IF(AND(ValuesEntered4,הפחתה8[[#This Row],[תאריך]]&lt;&gt;""),-PPMT(שיעור_ריבית4/12,1,תקופת_ההלוואה4-ROWS($C$4:AD288)+1,הפחתה8[[#This Row],[יתרת פתיחה]]),""),0)</f>
        <v/>
      </c>
      <c r="AH288" s="19">
        <f ca="1">(הפחתה8[[#This Row],[יתרת פתיחה]])*(מדד4/12)</f>
        <v>0</v>
      </c>
      <c r="AI288" s="19">
        <f ca="1">IF(הפחתה8[[#This Row],[תאריך]]="",0,הפחתה8[[#This Row],[ריבית]]+הפחתה8[[#This Row],[קרן]]+הפחתה8[[#This Row],[מדד]])</f>
        <v>0</v>
      </c>
      <c r="AJ288" s="19">
        <f ca="1">IF(הפחתה8[[#This Row],[תאריך]]="",0,הפחתה8[[#This Row],[יתרת פתיחה]]-הפחתה8[[#This Row],[קרן]])</f>
        <v>0</v>
      </c>
      <c r="AK288" s="20">
        <f ca="1">IF(הפחתה8[[#This Row],[יתרת
סגירה]]&gt;0,LastRow4-ROW(),0)</f>
        <v>0</v>
      </c>
    </row>
    <row r="289" spans="1:37" ht="15" customHeight="1" x14ac:dyDescent="0.25">
      <c r="A289" s="8"/>
      <c r="B289" s="11">
        <f>ROWS($B$4:B289)</f>
        <v>286</v>
      </c>
      <c r="C289" s="12">
        <f>IF(ValuesEntered,IF(הפחתה[[#This Row],[מס'']]&lt;=תקופת_ההלוואה,IF(ROW()-ROW(הפחתה[[#Headers],[תאריך]])=1,LoanStart,IF(I288&gt;0,EDATE(C288,1),"")),""),"")</f>
        <v>54058</v>
      </c>
      <c r="D289" s="13">
        <f>IF(ROW()-ROW(הפחתה[[#Headers],[יתרת פתיחה]])=1,סכום_הלוואה,IF(הפחתה[[#This Row],[תאריך]]="",0,INDEX(הפחתה[], ROW()-4,8)))</f>
        <v>212319.51451191056</v>
      </c>
      <c r="E289" s="13">
        <f>IF(ValuesEntered,IF(ROW()-ROW(הפחתה[[#Headers],[ריבית]])=1,-IPMT(שיעור_ריבית/12,1,תקופת_ההלוואה-ROWS($C$4:C289)+1,הפחתה[[#This Row],[יתרת פתיחה]]),IFERROR(-IPMT(שיעור_ריבית/12,1,הפחתה[[#This Row],[תשלומים
שנותרו]],D290),0)),0)</f>
        <v>927.17065411312547</v>
      </c>
      <c r="F289" s="13">
        <f>IFERROR(IF(AND(ValuesEntered,הפחתה[[#This Row],[תאריך]]&lt;&gt;""),-PPMT(שיעור_ריבית/12,1,תקופת_ההלוואה-ROWS($C$4:C289)+1,הפחתה[[#This Row],[יתרת פתיחה]]),""),0)</f>
        <v>2394.0833919576144</v>
      </c>
      <c r="G289" s="13">
        <f>(הפחתה[[#This Row],[יתרת פתיחה]])*(מדד/12)</f>
        <v>0</v>
      </c>
      <c r="H289" s="13">
        <f>IF(הפחתה[[#This Row],[תאריך]]="",0,הפחתה[[#This Row],[ריבית]]+הפחתה[[#This Row],[קרן]]+הפחתה[[#This Row],[מדד]])</f>
        <v>3321.2540460707396</v>
      </c>
      <c r="I289" s="13">
        <f>IF(הפחתה[[#This Row],[תאריך]]="",0,הפחתה[[#This Row],[יתרת פתיחה]]-הפחתה[[#This Row],[קרן]]+הפחתה[[#This Row],[מדד]])</f>
        <v>209925.43111995293</v>
      </c>
      <c r="J289" s="11">
        <f>IF(הפחתה[[#This Row],[יתרת
סגירה]]&gt;0,LastRow-ROW(),0)</f>
        <v>74</v>
      </c>
      <c r="K289" s="11">
        <f>ROWS($K$4:K289)</f>
        <v>286</v>
      </c>
      <c r="L289" s="12">
        <f>IF(ValuesEntered2,IF(הפחתה5[[#This Row],[מס'']]&lt;=תקופת_ההלוואה2,IF(ROW()-ROW(הפחתה5[[#Headers],[תאריך]])=1,LoanStart2,IF(R288&gt;0,EDATE(L288,1),"")),""),"")</f>
        <v>54058</v>
      </c>
      <c r="M289" s="13">
        <f>IF(ROW()-ROW(הפחתה5[[#Headers],[יתרת פתיחה]])=1,סכום_הלוואה2,IF(הפחתה5[[#This Row],[תאריך]]="",0,INDEX(הפחתה5[], ROW()-4,8)))</f>
        <v>24743.664639024795</v>
      </c>
      <c r="N289" s="13">
        <f>IF(ValuesEntered2,IF(ROW()-ROW(הפחתה5[[#Headers],[ריבית]])=1,-IPMT(שיעור_ריבית2/12,1,תקופת_ההלוואה2-ROWS($L$4:L289)+1,הפחתה5[[#This Row],[יתרת פתיחה]]),IFERROR(-IPMT(שיעור_ריבית2/12,1,הפחתה5[[#This Row],[תשלומים
שנותרו]],M290),0)),0)</f>
        <v>90.627129235513351</v>
      </c>
      <c r="O289" s="13">
        <f>IFERROR(IF(AND(ValuesEntered2,הפחתה5[[#This Row],[תאריך]]&lt;&gt;""),-PPMT(שיעור_ריבית2/12,1,תקופת_ההלוואה2-ROWS($L$4:L289)+1,הפחתה5[[#This Row],[יתרת פתיחה]]),""),0)</f>
        <v>1604.8231320852126</v>
      </c>
      <c r="P289" s="13">
        <f>(הפחתה5[[#This Row],[יתרת פתיחה]])*(מדד2/12)</f>
        <v>0</v>
      </c>
      <c r="Q289" s="13">
        <f>IF(הפחתה5[[#This Row],[תאריך]]="",0,הפחתה5[[#This Row],[ריבית]]+הפחתה5[[#This Row],[קרן]]+הפחתה5[[#This Row],[מדד]])</f>
        <v>1695.450261320726</v>
      </c>
      <c r="R289" s="13">
        <f>IF(הפחתה5[[#This Row],[תאריך]]="",0,הפחתה5[[#This Row],[יתרת פתיחה]]-הפחתה5[[#This Row],[קרן]]+הפחתה5[[#This Row],[מדד]])</f>
        <v>23138.841506939581</v>
      </c>
      <c r="S289" s="11">
        <f>IF(הפחתה5[[#This Row],[יתרת
סגירה]]&gt;0,LastRow2-ROW(),0)</f>
        <v>14</v>
      </c>
      <c r="T289" s="11">
        <f>ROWS($T$4:T289)</f>
        <v>286</v>
      </c>
      <c r="U289" s="12">
        <f ca="1">IF(ValuesEntered3,IF(הפחתה7[[#This Row],[מס'']]&lt;=תקופת_ההלוואה3,IF(ROW()-ROW(הפחתה7[[#Headers],[תאריך]])=1,LoanStart3,IF(AA288&gt;0,EDATE(U288,1),"")),""),"")</f>
        <v>54295</v>
      </c>
      <c r="V289" s="13">
        <f ca="1">IF(ROW()-ROW(הפחתה7[[#Headers],[יתרת פתיחה]])=1,סכום_הלוואה3,IF(הפחתה7[[#This Row],[תאריך]]="",0,INDEX(הפחתה7[], ROW()-4,8)))</f>
        <v>10462.845677397541</v>
      </c>
      <c r="W289" s="13">
        <f ca="1">IF(ValuesEntered3,IF(ROW()-ROW(הפחתה7[[#Headers],[ריבית]])=1,-IPMT(שיעור_ריבית3/12,1,תקופת_ההלוואה3-ROWS($C$4:U289)+1,הפחתה7[[#This Row],[יתרת פתיחה]]),IFERROR(-IPMT(שיעור_ריבית3/12,1,הפחתה7[[#This Row],[תשלומים
שנותרו]],V290),0)),0)</f>
        <v>18.768136767582227</v>
      </c>
      <c r="X289" s="13">
        <f ca="1">IFERROR(IF(AND(ValuesEntered3,הפחתה7[[#This Row],[תאריך]]&lt;&gt;""),-PPMT(שיעור_ריבית3/12,1,תקופת_ההלוואה3-ROWS($C$4:U289)+1,הפחתה7[[#This Row],[יתרת פתיחה]]),""),0)</f>
        <v>688.21239652711381</v>
      </c>
      <c r="Y289" s="13">
        <f ca="1">(הפחתה7[[#This Row],[יתרת פתיחה]])*(מדד3/12)</f>
        <v>17.438076128995903</v>
      </c>
      <c r="Z289" s="13">
        <f ca="1">IF(הפחתה7[[#This Row],[תאריך]]="",0,הפחתה7[[#This Row],[ריבית]]+הפחתה7[[#This Row],[קרן]]+הפחתה7[[#This Row],[מדד]])</f>
        <v>724.41860942369192</v>
      </c>
      <c r="AA289" s="13">
        <f ca="1">IF(הפחתה7[[#This Row],[תאריך]]="",0,הפחתה7[[#This Row],[יתרת פתיחה]]-הפחתה7[[#This Row],[קרן]]+הפחתה7[[#This Row],[מדד]])</f>
        <v>9792.0713569994241</v>
      </c>
      <c r="AB289" s="11">
        <f ca="1">IF(הפחתה7[[#This Row],[יתרת
סגירה]]&gt;0,LastRow3-ROW(),0)</f>
        <v>14</v>
      </c>
      <c r="AC289" s="17">
        <f>ROWS($AC$4:AC289)</f>
        <v>286</v>
      </c>
      <c r="AD289" s="18" t="str">
        <f ca="1">IF(ValuesEntered4,IF(הפחתה8[[#This Row],[מס'']]&lt;=תקופת_ההלוואה4,IF(ROW()-ROW(הפחתה8[[#Headers],[תאריך]])=1,LoanStart4,IF(AJ288&gt;0,EDATE(AD288,1),"")),""),"")</f>
        <v/>
      </c>
      <c r="AE289" s="19">
        <f ca="1">IF(ROW()-ROW(הפחתה8[[#Headers],[יתרת פתיחה]])=1,סכום_הלוואה4,IF(הפחתה8[[#This Row],[תאריך]]="",0,INDEX(הפחתה8[], ROW()-4,8)))</f>
        <v>0</v>
      </c>
      <c r="AF289" s="19">
        <f ca="1">IF(ValuesEntered4,IF(ROW()-ROW(הפחתה8[[#Headers],[ריבית]])=1,-IPMT(שיעור_ריבית4/12,1,תקופת_ההלוואה4-ROWS($C$4:AD289)+1,הפחתה8[[#This Row],[יתרת פתיחה]]),IFERROR(-IPMT(שיעור_ריבית4/12,1,הפחתה8[[#This Row],[תשלומים
שנותרו]],AE290),0)),0)</f>
        <v>0</v>
      </c>
      <c r="AG289" s="19" t="str">
        <f ca="1">IFERROR(IF(AND(ValuesEntered4,הפחתה8[[#This Row],[תאריך]]&lt;&gt;""),-PPMT(שיעור_ריבית4/12,1,תקופת_ההלוואה4-ROWS($C$4:AD289)+1,הפחתה8[[#This Row],[יתרת פתיחה]]),""),0)</f>
        <v/>
      </c>
      <c r="AH289" s="19">
        <f ca="1">(הפחתה8[[#This Row],[יתרת פתיחה]])*(מדד4/12)</f>
        <v>0</v>
      </c>
      <c r="AI289" s="19">
        <f ca="1">IF(הפחתה8[[#This Row],[תאריך]]="",0,הפחתה8[[#This Row],[ריבית]]+הפחתה8[[#This Row],[קרן]]+הפחתה8[[#This Row],[מדד]])</f>
        <v>0</v>
      </c>
      <c r="AJ289" s="19">
        <f ca="1">IF(הפחתה8[[#This Row],[תאריך]]="",0,הפחתה8[[#This Row],[יתרת פתיחה]]-הפחתה8[[#This Row],[קרן]])</f>
        <v>0</v>
      </c>
      <c r="AK289" s="20">
        <f ca="1">IF(הפחתה8[[#This Row],[יתרת
סגירה]]&gt;0,LastRow4-ROW(),0)</f>
        <v>0</v>
      </c>
    </row>
    <row r="290" spans="1:37" ht="15" customHeight="1" x14ac:dyDescent="0.25">
      <c r="A290" s="8"/>
      <c r="B290" s="11">
        <f>ROWS($B$4:B290)</f>
        <v>287</v>
      </c>
      <c r="C290" s="12">
        <f>IF(ValuesEntered,IF(הפחתה[[#This Row],[מס'']]&lt;=תקופת_ההלוואה,IF(ROW()-ROW(הפחתה[[#Headers],[תאריך]])=1,LoanStart,IF(I289&gt;0,EDATE(C289,1),"")),""),"")</f>
        <v>54089</v>
      </c>
      <c r="D290" s="13">
        <f>IF(ROW()-ROW(הפחתה[[#Headers],[יתרת פתיחה]])=1,סכום_הלוואה,IF(הפחתה[[#This Row],[תאריך]]="",0,INDEX(הפחתה[], ROW()-4,8)))</f>
        <v>209925.43111995293</v>
      </c>
      <c r="E290" s="13">
        <f>IF(ValuesEntered,IF(ROW()-ROW(הפחתה[[#Headers],[ריבית]])=1,-IPMT(שיעור_ריבית/12,1,תקופת_ההלוואה-ROWS($C$4:C290)+1,הפחתה[[#This Row],[יתרת פתיחה]]),IFERROR(-IPMT(שיעור_ריבית/12,1,הפחתה[[#This Row],[תשלומים
שנותרו]],D291),0)),0)</f>
        <v>916.5500845469237</v>
      </c>
      <c r="F290" s="13">
        <f>IFERROR(IF(AND(ValuesEntered,הפחתה[[#This Row],[תאריך]]&lt;&gt;""),-PPMT(שיעור_ריבית/12,1,תקופת_ההלוואה-ROWS($C$4:C290)+1,הפחתה[[#This Row],[יתרת פתיחה]]),""),0)</f>
        <v>2404.6572602720935</v>
      </c>
      <c r="G290" s="13">
        <f>(הפחתה[[#This Row],[יתרת פתיחה]])*(מדד/12)</f>
        <v>0</v>
      </c>
      <c r="H290" s="13">
        <f>IF(הפחתה[[#This Row],[תאריך]]="",0,הפחתה[[#This Row],[ריבית]]+הפחתה[[#This Row],[קרן]]+הפחתה[[#This Row],[מדד]])</f>
        <v>3321.2073448190172</v>
      </c>
      <c r="I290" s="13">
        <f>IF(הפחתה[[#This Row],[תאריך]]="",0,הפחתה[[#This Row],[יתרת פתיחה]]-הפחתה[[#This Row],[קרן]]+הפחתה[[#This Row],[מדד]])</f>
        <v>207520.77385968083</v>
      </c>
      <c r="J290" s="11">
        <f>IF(הפחתה[[#This Row],[יתרת
סגירה]]&gt;0,LastRow-ROW(),0)</f>
        <v>73</v>
      </c>
      <c r="K290" s="11">
        <f>ROWS($K$4:K290)</f>
        <v>287</v>
      </c>
      <c r="L290" s="12">
        <f>IF(ValuesEntered2,IF(הפחתה5[[#This Row],[מס'']]&lt;=תקופת_ההלוואה2,IF(ROW()-ROW(הפחתה5[[#Headers],[תאריך]])=1,LoanStart2,IF(R289&gt;0,EDATE(L289,1),"")),""),"")</f>
        <v>54089</v>
      </c>
      <c r="M290" s="13">
        <f>IF(ROW()-ROW(הפחתה5[[#Headers],[יתרת פתיחה]])=1,סכום_הלוואה2,IF(הפחתה5[[#This Row],[תאריך]]="",0,INDEX(הפחתה5[], ROW()-4,8)))</f>
        <v>23138.841506939581</v>
      </c>
      <c r="N290" s="13">
        <f>IF(ValuesEntered2,IF(ROW()-ROW(הפחתה5[[#Headers],[ריבית]])=1,-IPMT(שיעור_ריבית2/12,1,תקופת_ההלוואה2-ROWS($L$4:L290)+1,הפחתה5[[#This Row],[יתרת פתיחה]]),IFERROR(-IPMT(שיעור_ריבית2/12,1,הפחתה5[[#This Row],[תשלומים
שנותרו]],M291),0)),0)</f>
        <v>84.316953535549217</v>
      </c>
      <c r="O290" s="13">
        <f>IFERROR(IF(AND(ValuesEntered2,הפחתה5[[#This Row],[תאריך]]&lt;&gt;""),-PPMT(שיעור_ריבית2/12,1,תקופת_ההלוואה2-ROWS($L$4:L290)+1,הפחתה5[[#This Row],[יתרת פתיחה]]),""),0)</f>
        <v>1611.1086893525458</v>
      </c>
      <c r="P290" s="13">
        <f>(הפחתה5[[#This Row],[יתרת פתיחה]])*(מדד2/12)</f>
        <v>0</v>
      </c>
      <c r="Q290" s="13">
        <f>IF(הפחתה5[[#This Row],[תאריך]]="",0,הפחתה5[[#This Row],[ריבית]]+הפחתה5[[#This Row],[קרן]]+הפחתה5[[#This Row],[מדד]])</f>
        <v>1695.4256428880949</v>
      </c>
      <c r="R290" s="13">
        <f>IF(הפחתה5[[#This Row],[תאריך]]="",0,הפחתה5[[#This Row],[יתרת פתיחה]]-הפחתה5[[#This Row],[קרן]]+הפחתה5[[#This Row],[מדד]])</f>
        <v>21527.732817587035</v>
      </c>
      <c r="S290" s="11">
        <f>IF(הפחתה5[[#This Row],[יתרת
סגירה]]&gt;0,LastRow2-ROW(),0)</f>
        <v>13</v>
      </c>
      <c r="T290" s="11">
        <f>ROWS($T$4:T290)</f>
        <v>287</v>
      </c>
      <c r="U290" s="12">
        <f ca="1">IF(ValuesEntered3,IF(הפחתה7[[#This Row],[מס'']]&lt;=תקופת_ההלוואה3,IF(ROW()-ROW(הפחתה7[[#Headers],[תאריך]])=1,LoanStart3,IF(AA289&gt;0,EDATE(U289,1),"")),""),"")</f>
        <v>54326</v>
      </c>
      <c r="V290" s="13">
        <f ca="1">IF(ROW()-ROW(הפחתה7[[#Headers],[יתרת פתיחה]])=1,סכום_הלוואה3,IF(הפחתה7[[#This Row],[תאריך]]="",0,INDEX(הפחתה7[], ROW()-4,8)))</f>
        <v>9792.0713569994241</v>
      </c>
      <c r="W290" s="13">
        <f ca="1">IF(ValuesEntered3,IF(ROW()-ROW(הפחתה7[[#Headers],[ריבית]])=1,-IPMT(שיעור_ריבית3/12,1,תקופת_ההלוואה3-ROWS($C$4:U290)+1,הפחתה7[[#This Row],[יתרת פתיחה]]),IFERROR(-IPMT(שיעור_ריבית3/12,1,הפחתה7[[#This Row],[תשלומים
שנותרו]],V291),0)),0)</f>
        <v>17.475457255245399</v>
      </c>
      <c r="X290" s="13">
        <f ca="1">IFERROR(IF(AND(ValuesEntered3,הפחתה7[[#This Row],[תאריך]]&lt;&gt;""),-PPMT(שיעור_ריבית3/12,1,תקופת_ההלוואה3-ROWS($C$4:U290)+1,הפחתה7[[#This Row],[יתרת פתיחה]]),""),0)</f>
        <v>690.76160362580777</v>
      </c>
      <c r="Y290" s="13">
        <f ca="1">(הפחתה7[[#This Row],[יתרת פתיחה]])*(מדד3/12)</f>
        <v>16.320118928332374</v>
      </c>
      <c r="Z290" s="13">
        <f ca="1">IF(הפחתה7[[#This Row],[תאריך]]="",0,הפחתה7[[#This Row],[ריבית]]+הפחתה7[[#This Row],[קרן]]+הפחתה7[[#This Row],[מדד]])</f>
        <v>724.5571798093855</v>
      </c>
      <c r="AA290" s="13">
        <f ca="1">IF(הפחתה7[[#This Row],[תאריך]]="",0,הפחתה7[[#This Row],[יתרת פתיחה]]-הפחתה7[[#This Row],[קרן]]+הפחתה7[[#This Row],[מדד]])</f>
        <v>9117.6298723019481</v>
      </c>
      <c r="AB290" s="11">
        <f ca="1">IF(הפחתה7[[#This Row],[יתרת
סגירה]]&gt;0,LastRow3-ROW(),0)</f>
        <v>13</v>
      </c>
      <c r="AC290" s="17">
        <f>ROWS($AC$4:AC290)</f>
        <v>287</v>
      </c>
      <c r="AD290" s="18" t="str">
        <f ca="1">IF(ValuesEntered4,IF(הפחתה8[[#This Row],[מס'']]&lt;=תקופת_ההלוואה4,IF(ROW()-ROW(הפחתה8[[#Headers],[תאריך]])=1,LoanStart4,IF(AJ289&gt;0,EDATE(AD289,1),"")),""),"")</f>
        <v/>
      </c>
      <c r="AE290" s="19">
        <f ca="1">IF(ROW()-ROW(הפחתה8[[#Headers],[יתרת פתיחה]])=1,סכום_הלוואה4,IF(הפחתה8[[#This Row],[תאריך]]="",0,INDEX(הפחתה8[], ROW()-4,8)))</f>
        <v>0</v>
      </c>
      <c r="AF290" s="19">
        <f ca="1">IF(ValuesEntered4,IF(ROW()-ROW(הפחתה8[[#Headers],[ריבית]])=1,-IPMT(שיעור_ריבית4/12,1,תקופת_ההלוואה4-ROWS($C$4:AD290)+1,הפחתה8[[#This Row],[יתרת פתיחה]]),IFERROR(-IPMT(שיעור_ריבית4/12,1,הפחתה8[[#This Row],[תשלומים
שנותרו]],AE291),0)),0)</f>
        <v>0</v>
      </c>
      <c r="AG290" s="19" t="str">
        <f ca="1">IFERROR(IF(AND(ValuesEntered4,הפחתה8[[#This Row],[תאריך]]&lt;&gt;""),-PPMT(שיעור_ריבית4/12,1,תקופת_ההלוואה4-ROWS($C$4:AD290)+1,הפחתה8[[#This Row],[יתרת פתיחה]]),""),0)</f>
        <v/>
      </c>
      <c r="AH290" s="19">
        <f ca="1">(הפחתה8[[#This Row],[יתרת פתיחה]])*(מדד4/12)</f>
        <v>0</v>
      </c>
      <c r="AI290" s="19">
        <f ca="1">IF(הפחתה8[[#This Row],[תאריך]]="",0,הפחתה8[[#This Row],[ריבית]]+הפחתה8[[#This Row],[קרן]]+הפחתה8[[#This Row],[מדד]])</f>
        <v>0</v>
      </c>
      <c r="AJ290" s="19">
        <f ca="1">IF(הפחתה8[[#This Row],[תאריך]]="",0,הפחתה8[[#This Row],[יתרת פתיחה]]-הפחתה8[[#This Row],[קרן]])</f>
        <v>0</v>
      </c>
      <c r="AK290" s="20">
        <f ca="1">IF(הפחתה8[[#This Row],[יתרת
סגירה]]&gt;0,LastRow4-ROW(),0)</f>
        <v>0</v>
      </c>
    </row>
    <row r="291" spans="1:37" ht="15" customHeight="1" x14ac:dyDescent="0.25">
      <c r="A291" s="8"/>
      <c r="B291" s="11">
        <f>ROWS($B$4:B291)</f>
        <v>288</v>
      </c>
      <c r="C291" s="12">
        <f>IF(ValuesEntered,IF(הפחתה[[#This Row],[מס'']]&lt;=תקופת_ההלוואה,IF(ROW()-ROW(הפחתה[[#Headers],[תאריך]])=1,LoanStart,IF(I290&gt;0,EDATE(C290,1),"")),""),"")</f>
        <v>54118</v>
      </c>
      <c r="D291" s="13">
        <f>IF(ROW()-ROW(הפחתה[[#Headers],[יתרת פתיחה]])=1,סכום_הלוואה,IF(הפחתה[[#This Row],[תאריך]]="",0,INDEX(הפחתה[], ROW()-4,8)))</f>
        <v>207520.77385968083</v>
      </c>
      <c r="E291" s="13">
        <f>IF(ValuesEntered,IF(ROW()-ROW(הפחתה[[#Headers],[ריבית]])=1,-IPMT(שיעור_ריבית/12,1,תקופת_ההלוואה-ROWS($C$4:C291)+1,הפחתה[[#This Row],[יתרת פתיחה]]),IFERROR(-IPMT(שיעור_ריבית/12,1,הפחתה[[#This Row],[תשלומים
שנותרו]],D292),0)),0)</f>
        <v>905.88260746513799</v>
      </c>
      <c r="F291" s="13">
        <f>IFERROR(IF(AND(ValuesEntered,הפחתה[[#This Row],[תאריך]]&lt;&gt;""),-PPMT(שיעור_ריבית/12,1,תקופת_ההלוואה-ROWS($C$4:C291)+1,הפחתה[[#This Row],[יתרת פתיחה]]),""),0)</f>
        <v>2415.277829838295</v>
      </c>
      <c r="G291" s="13">
        <f>(הפחתה[[#This Row],[יתרת פתיחה]])*(מדד/12)</f>
        <v>0</v>
      </c>
      <c r="H291" s="13">
        <f>IF(הפחתה[[#This Row],[תאריך]]="",0,הפחתה[[#This Row],[ריבית]]+הפחתה[[#This Row],[קרן]]+הפחתה[[#This Row],[מדד]])</f>
        <v>3321.1604373034329</v>
      </c>
      <c r="I291" s="13">
        <f>IF(הפחתה[[#This Row],[תאריך]]="",0,הפחתה[[#This Row],[יתרת פתיחה]]-הפחתה[[#This Row],[קרן]]+הפחתה[[#This Row],[מדד]])</f>
        <v>205105.49602984253</v>
      </c>
      <c r="J291" s="11">
        <f>IF(הפחתה[[#This Row],[יתרת
סגירה]]&gt;0,LastRow-ROW(),0)</f>
        <v>72</v>
      </c>
      <c r="K291" s="11">
        <f>ROWS($K$4:K291)</f>
        <v>288</v>
      </c>
      <c r="L291" s="12">
        <f>IF(ValuesEntered2,IF(הפחתה5[[#This Row],[מס'']]&lt;=תקופת_ההלוואה2,IF(ROW()-ROW(הפחתה5[[#Headers],[תאריך]])=1,LoanStart2,IF(R290&gt;0,EDATE(L290,1),"")),""),"")</f>
        <v>54118</v>
      </c>
      <c r="M291" s="13">
        <f>IF(ROW()-ROW(הפחתה5[[#Headers],[יתרת פתיחה]])=1,סכום_הלוואה2,IF(הפחתה5[[#This Row],[תאריך]]="",0,INDEX(הפחתה5[], ROW()-4,8)))</f>
        <v>21527.732817587035</v>
      </c>
      <c r="N291" s="13">
        <f>IF(ValuesEntered2,IF(ROW()-ROW(הפחתה5[[#Headers],[ריבית]])=1,-IPMT(שיעור_ריבית2/12,1,תקופת_ההלוואה2-ROWS($L$4:L291)+1,הפחתה5[[#This Row],[יתרת פתיחה]]),IFERROR(-IPMT(שיעור_ריבית2/12,1,הפחתה5[[#This Row],[תשלומים
שנותרו]],M292),0)),0)</f>
        <v>77.982062980760219</v>
      </c>
      <c r="O291" s="13">
        <f>IFERROR(IF(AND(ValuesEntered2,הפחתה5[[#This Row],[תאריך]]&lt;&gt;""),-PPMT(שיעור_ריבית2/12,1,תקופת_ההלוואה2-ROWS($L$4:L291)+1,הפחתה5[[#This Row],[יתרת פתיחה]]),""),0)</f>
        <v>1617.41886505251</v>
      </c>
      <c r="P291" s="13">
        <f>(הפחתה5[[#This Row],[יתרת פתיחה]])*(מדד2/12)</f>
        <v>0</v>
      </c>
      <c r="Q291" s="13">
        <f>IF(הפחתה5[[#This Row],[תאריך]]="",0,הפחתה5[[#This Row],[ריבית]]+הפחתה5[[#This Row],[קרן]]+הפחתה5[[#This Row],[מדד]])</f>
        <v>1695.4009280332702</v>
      </c>
      <c r="R291" s="13">
        <f>IF(הפחתה5[[#This Row],[תאריך]]="",0,הפחתה5[[#This Row],[יתרת פתיחה]]-הפחתה5[[#This Row],[קרן]]+הפחתה5[[#This Row],[מדד]])</f>
        <v>19910.313952534525</v>
      </c>
      <c r="S291" s="11">
        <f>IF(הפחתה5[[#This Row],[יתרת
סגירה]]&gt;0,LastRow2-ROW(),0)</f>
        <v>12</v>
      </c>
      <c r="T291" s="11">
        <f>ROWS($T$4:T291)</f>
        <v>288</v>
      </c>
      <c r="U291" s="12">
        <f ca="1">IF(ValuesEntered3,IF(הפחתה7[[#This Row],[מס'']]&lt;=תקופת_ההלוואה3,IF(ROW()-ROW(הפחתה7[[#Headers],[תאריך]])=1,LoanStart3,IF(AA290&gt;0,EDATE(U290,1),"")),""),"")</f>
        <v>54356</v>
      </c>
      <c r="V291" s="13">
        <f ca="1">IF(ROW()-ROW(הפחתה7[[#Headers],[יתרת פתיחה]])=1,סכום_הלוואה3,IF(הפחתה7[[#This Row],[תאריך]]="",0,INDEX(הפחתה7[], ROW()-4,8)))</f>
        <v>9117.6298723019481</v>
      </c>
      <c r="W291" s="13">
        <f ca="1">IF(ValuesEntered3,IF(ROW()-ROW(הפחתה7[[#Headers],[ריבית]])=1,-IPMT(שיעור_ריבית3/12,1,תקופת_ההלוואה3-ROWS($C$4:U291)+1,הפחתה7[[#This Row],[יתרת פתיחה]]),IFERROR(-IPMT(שיעור_ריבית3/12,1,הפחתה7[[#This Row],[תשלומים
שנותרו]],V292),0)),0)</f>
        <v>16.175707063511879</v>
      </c>
      <c r="X291" s="13">
        <f ca="1">IFERROR(IF(AND(ValuesEntered3,הפחתה7[[#This Row],[תאריך]]&lt;&gt;""),-PPMT(שיעור_ריבית3/12,1,תקופת_ההלוואה3-ROWS($C$4:U291)+1,הפחתה7[[#This Row],[יתרת פתיחה]]),""),0)</f>
        <v>693.32658460465768</v>
      </c>
      <c r="Y291" s="13">
        <f ca="1">(הפחתה7[[#This Row],[יתרת פתיחה]])*(מדד3/12)</f>
        <v>15.196049787169915</v>
      </c>
      <c r="Z291" s="13">
        <f ca="1">IF(הפחתה7[[#This Row],[תאריך]]="",0,הפחתה7[[#This Row],[ריבית]]+הפחתה7[[#This Row],[קרן]]+הפחתה7[[#This Row],[מדד]])</f>
        <v>724.69834145533957</v>
      </c>
      <c r="AA291" s="13">
        <f ca="1">IF(הפחתה7[[#This Row],[תאריך]]="",0,הפחתה7[[#This Row],[יתרת פתיחה]]-הפחתה7[[#This Row],[קרן]]+הפחתה7[[#This Row],[מדד]])</f>
        <v>8439.4993374844598</v>
      </c>
      <c r="AB291" s="11">
        <f ca="1">IF(הפחתה7[[#This Row],[יתרת
סגירה]]&gt;0,LastRow3-ROW(),0)</f>
        <v>12</v>
      </c>
      <c r="AC291" s="17">
        <f>ROWS($AC$4:AC291)</f>
        <v>288</v>
      </c>
      <c r="AD291" s="18" t="str">
        <f ca="1">IF(ValuesEntered4,IF(הפחתה8[[#This Row],[מס'']]&lt;=תקופת_ההלוואה4,IF(ROW()-ROW(הפחתה8[[#Headers],[תאריך]])=1,LoanStart4,IF(AJ290&gt;0,EDATE(AD290,1),"")),""),"")</f>
        <v/>
      </c>
      <c r="AE291" s="19">
        <f ca="1">IF(ROW()-ROW(הפחתה8[[#Headers],[יתרת פתיחה]])=1,סכום_הלוואה4,IF(הפחתה8[[#This Row],[תאריך]]="",0,INDEX(הפחתה8[], ROW()-4,8)))</f>
        <v>0</v>
      </c>
      <c r="AF291" s="19">
        <f ca="1">IF(ValuesEntered4,IF(ROW()-ROW(הפחתה8[[#Headers],[ריבית]])=1,-IPMT(שיעור_ריבית4/12,1,תקופת_ההלוואה4-ROWS($C$4:AD291)+1,הפחתה8[[#This Row],[יתרת פתיחה]]),IFERROR(-IPMT(שיעור_ריבית4/12,1,הפחתה8[[#This Row],[תשלומים
שנותרו]],AE292),0)),0)</f>
        <v>0</v>
      </c>
      <c r="AG291" s="19" t="str">
        <f ca="1">IFERROR(IF(AND(ValuesEntered4,הפחתה8[[#This Row],[תאריך]]&lt;&gt;""),-PPMT(שיעור_ריבית4/12,1,תקופת_ההלוואה4-ROWS($C$4:AD291)+1,הפחתה8[[#This Row],[יתרת פתיחה]]),""),0)</f>
        <v/>
      </c>
      <c r="AH291" s="19">
        <f ca="1">(הפחתה8[[#This Row],[יתרת פתיחה]])*(מדד4/12)</f>
        <v>0</v>
      </c>
      <c r="AI291" s="19">
        <f ca="1">IF(הפחתה8[[#This Row],[תאריך]]="",0,הפחתה8[[#This Row],[ריבית]]+הפחתה8[[#This Row],[קרן]]+הפחתה8[[#This Row],[מדד]])</f>
        <v>0</v>
      </c>
      <c r="AJ291" s="19">
        <f ca="1">IF(הפחתה8[[#This Row],[תאריך]]="",0,הפחתה8[[#This Row],[יתרת פתיחה]]-הפחתה8[[#This Row],[קרן]])</f>
        <v>0</v>
      </c>
      <c r="AK291" s="20">
        <f ca="1">IF(הפחתה8[[#This Row],[יתרת
סגירה]]&gt;0,LastRow4-ROW(),0)</f>
        <v>0</v>
      </c>
    </row>
    <row r="292" spans="1:37" ht="15" customHeight="1" x14ac:dyDescent="0.25">
      <c r="A292" s="8"/>
      <c r="B292" s="11">
        <f>ROWS($B$4:B292)</f>
        <v>289</v>
      </c>
      <c r="C292" s="12">
        <f>IF(ValuesEntered,IF(הפחתה[[#This Row],[מס'']]&lt;=תקופת_ההלוואה,IF(ROW()-ROW(הפחתה[[#Headers],[תאריך]])=1,LoanStart,IF(I291&gt;0,EDATE(C291,1),"")),""),"")</f>
        <v>54149</v>
      </c>
      <c r="D292" s="13">
        <f>IF(ROW()-ROW(הפחתה[[#Headers],[יתרת פתיחה]])=1,סכום_הלוואה,IF(הפחתה[[#This Row],[תאריך]]="",0,INDEX(הפחתה[], ROW()-4,8)))</f>
        <v>205105.49602984253</v>
      </c>
      <c r="E292" s="13">
        <f>IF(ValuesEntered,IF(ROW()-ROW(הפחתה[[#Headers],[ריבית]])=1,-IPMT(שיעור_ריבית/12,1,תקופת_ההלוואה-ROWS($C$4:C292)+1,הפחתה[[#This Row],[יתרת פתיחה]]),IFERROR(-IPMT(שיעור_ריבית/12,1,הפחתה[[#This Row],[תשלומים
שנותרו]],D293),0)),0)</f>
        <v>895.1680156929076</v>
      </c>
      <c r="F292" s="13">
        <f>IFERROR(IF(AND(ValuesEntered,הפחתה[[#This Row],[תאריך]]&lt;&gt;""),-PPMT(שיעור_ריבית/12,1,תקופת_ההלוואה-ROWS($C$4:C292)+1,הפחתה[[#This Row],[יתרת פתיחה]]),""),0)</f>
        <v>2425.9453069200808</v>
      </c>
      <c r="G292" s="13">
        <f>(הפחתה[[#This Row],[יתרת פתיחה]])*(מדד/12)</f>
        <v>0</v>
      </c>
      <c r="H292" s="13">
        <f>IF(הפחתה[[#This Row],[תאריך]]="",0,הפחתה[[#This Row],[ריבית]]+הפחתה[[#This Row],[קרן]]+הפחתה[[#This Row],[מדד]])</f>
        <v>3321.1133226129887</v>
      </c>
      <c r="I292" s="13">
        <f>IF(הפחתה[[#This Row],[תאריך]]="",0,הפחתה[[#This Row],[יתרת פתיחה]]-הפחתה[[#This Row],[קרן]]+הפחתה[[#This Row],[מדד]])</f>
        <v>202679.55072292246</v>
      </c>
      <c r="J292" s="11">
        <f>IF(הפחתה[[#This Row],[יתרת
סגירה]]&gt;0,LastRow-ROW(),0)</f>
        <v>71</v>
      </c>
      <c r="K292" s="11">
        <f>ROWS($K$4:K292)</f>
        <v>289</v>
      </c>
      <c r="L292" s="12">
        <f>IF(ValuesEntered2,IF(הפחתה5[[#This Row],[מס'']]&lt;=תקופת_ההלוואה2,IF(ROW()-ROW(הפחתה5[[#Headers],[תאריך]])=1,LoanStart2,IF(R291&gt;0,EDATE(L291,1),"")),""),"")</f>
        <v>54149</v>
      </c>
      <c r="M292" s="13">
        <f>IF(ROW()-ROW(הפחתה5[[#Headers],[יתרת פתיחה]])=1,סכום_הלוואה2,IF(הפחתה5[[#This Row],[תאריך]]="",0,INDEX(הפחתה5[], ROW()-4,8)))</f>
        <v>19910.313952534525</v>
      </c>
      <c r="N292" s="13">
        <f>IF(ValuesEntered2,IF(ROW()-ROW(הפחתה5[[#Headers],[ריבית]])=1,-IPMT(שיעור_ריבית2/12,1,תקופת_ההלוואה2-ROWS($L$4:L292)+1,הפחתה5[[#This Row],[יתרת פתיחה]]),IFERROR(-IPMT(שיעור_ריבית2/12,1,הפחתה5[[#This Row],[תשלומים
שנותרו]],M293),0)),0)</f>
        <v>71.62236077129829</v>
      </c>
      <c r="O292" s="13">
        <f>IFERROR(IF(AND(ValuesEntered2,הפחתה5[[#This Row],[תאריך]]&lt;&gt;""),-PPMT(שיעור_ריבית2/12,1,תקופת_ההלוואה2-ROWS($L$4:L292)+1,הפחתה5[[#This Row],[יתרת פתיחה]]),""),0)</f>
        <v>1623.7537556072989</v>
      </c>
      <c r="P292" s="13">
        <f>(הפחתה5[[#This Row],[יתרת פתיחה]])*(מדד2/12)</f>
        <v>0</v>
      </c>
      <c r="Q292" s="13">
        <f>IF(הפחתה5[[#This Row],[תאריך]]="",0,הפחתה5[[#This Row],[ריבית]]+הפחתה5[[#This Row],[קרן]]+הפחתה5[[#This Row],[מדד]])</f>
        <v>1695.3761163785971</v>
      </c>
      <c r="R292" s="13">
        <f>IF(הפחתה5[[#This Row],[תאריך]]="",0,הפחתה5[[#This Row],[יתרת פתיחה]]-הפחתה5[[#This Row],[קרן]]+הפחתה5[[#This Row],[מדד]])</f>
        <v>18286.560196927225</v>
      </c>
      <c r="S292" s="11">
        <f>IF(הפחתה5[[#This Row],[יתרת
סגירה]]&gt;0,LastRow2-ROW(),0)</f>
        <v>11</v>
      </c>
      <c r="T292" s="11">
        <f>ROWS($T$4:T292)</f>
        <v>289</v>
      </c>
      <c r="U292" s="12">
        <f ca="1">IF(ValuesEntered3,IF(הפחתה7[[#This Row],[מס'']]&lt;=תקופת_ההלוואה3,IF(ROW()-ROW(הפחתה7[[#Headers],[תאריך]])=1,LoanStart3,IF(AA291&gt;0,EDATE(U291,1),"")),""),"")</f>
        <v>54387</v>
      </c>
      <c r="V292" s="13">
        <f ca="1">IF(ROW()-ROW(הפחתה7[[#Headers],[יתרת פתיחה]])=1,סכום_הלוואה3,IF(הפחתה7[[#This Row],[תאריך]]="",0,INDEX(הפחתה7[], ROW()-4,8)))</f>
        <v>8439.4993374844598</v>
      </c>
      <c r="W292" s="13">
        <f ca="1">IF(ValuesEntered3,IF(ROW()-ROW(הפחתה7[[#Headers],[ריבית]])=1,-IPMT(שיעור_ריבית3/12,1,תקופת_ההלוואה3-ROWS($C$4:U292)+1,הפחתה7[[#This Row],[יתרת פתיחה]]),IFERROR(-IPMT(שיעור_ריבית3/12,1,הפחתה7[[#This Row],[תשלומים
שנותרו]],V293),0)),0)</f>
        <v>14.868841942394864</v>
      </c>
      <c r="X292" s="13">
        <f ca="1">IFERROR(IF(AND(ValuesEntered3,הפחתה7[[#This Row],[תאריך]]&lt;&gt;""),-PPMT(שיעור_ריבית3/12,1,תקופת_ההלוואה3-ROWS($C$4:U292)+1,הפחתה7[[#This Row],[יתרת פתיחה]]),""),0)</f>
        <v>695.90850411628026</v>
      </c>
      <c r="Y292" s="13">
        <f ca="1">(הפחתה7[[#This Row],[יתרת פתיחה]])*(מדד3/12)</f>
        <v>14.065832229140767</v>
      </c>
      <c r="Z292" s="13">
        <f ca="1">IF(הפחתה7[[#This Row],[תאריך]]="",0,הפחתה7[[#This Row],[ריבית]]+הפחתה7[[#This Row],[קרן]]+הפחתה7[[#This Row],[מדד]])</f>
        <v>724.84317828781582</v>
      </c>
      <c r="AA292" s="13">
        <f ca="1">IF(הפחתה7[[#This Row],[תאריך]]="",0,הפחתה7[[#This Row],[יתרת פתיחה]]-הפחתה7[[#This Row],[קרן]]+הפחתה7[[#This Row],[מדד]])</f>
        <v>7757.6566655973211</v>
      </c>
      <c r="AB292" s="11">
        <f ca="1">IF(הפחתה7[[#This Row],[יתרת
סגירה]]&gt;0,LastRow3-ROW(),0)</f>
        <v>11</v>
      </c>
      <c r="AC292" s="17">
        <f>ROWS($AC$4:AC292)</f>
        <v>289</v>
      </c>
      <c r="AD292" s="18" t="str">
        <f ca="1">IF(ValuesEntered4,IF(הפחתה8[[#This Row],[מס'']]&lt;=תקופת_ההלוואה4,IF(ROW()-ROW(הפחתה8[[#Headers],[תאריך]])=1,LoanStart4,IF(AJ291&gt;0,EDATE(AD291,1),"")),""),"")</f>
        <v/>
      </c>
      <c r="AE292" s="19">
        <f ca="1">IF(ROW()-ROW(הפחתה8[[#Headers],[יתרת פתיחה]])=1,סכום_הלוואה4,IF(הפחתה8[[#This Row],[תאריך]]="",0,INDEX(הפחתה8[], ROW()-4,8)))</f>
        <v>0</v>
      </c>
      <c r="AF292" s="19">
        <f ca="1">IF(ValuesEntered4,IF(ROW()-ROW(הפחתה8[[#Headers],[ריבית]])=1,-IPMT(שיעור_ריבית4/12,1,תקופת_ההלוואה4-ROWS($C$4:AD292)+1,הפחתה8[[#This Row],[יתרת פתיחה]]),IFERROR(-IPMT(שיעור_ריבית4/12,1,הפחתה8[[#This Row],[תשלומים
שנותרו]],AE293),0)),0)</f>
        <v>0</v>
      </c>
      <c r="AG292" s="19" t="str">
        <f ca="1">IFERROR(IF(AND(ValuesEntered4,הפחתה8[[#This Row],[תאריך]]&lt;&gt;""),-PPMT(שיעור_ריבית4/12,1,תקופת_ההלוואה4-ROWS($C$4:AD292)+1,הפחתה8[[#This Row],[יתרת פתיחה]]),""),0)</f>
        <v/>
      </c>
      <c r="AH292" s="19">
        <f ca="1">(הפחתה8[[#This Row],[יתרת פתיחה]])*(מדד4/12)</f>
        <v>0</v>
      </c>
      <c r="AI292" s="19">
        <f ca="1">IF(הפחתה8[[#This Row],[תאריך]]="",0,הפחתה8[[#This Row],[ריבית]]+הפחתה8[[#This Row],[קרן]]+הפחתה8[[#This Row],[מדד]])</f>
        <v>0</v>
      </c>
      <c r="AJ292" s="19">
        <f ca="1">IF(הפחתה8[[#This Row],[תאריך]]="",0,הפחתה8[[#This Row],[יתרת פתיחה]]-הפחתה8[[#This Row],[קרן]])</f>
        <v>0</v>
      </c>
      <c r="AK292" s="20">
        <f ca="1">IF(הפחתה8[[#This Row],[יתרת
סגירה]]&gt;0,LastRow4-ROW(),0)</f>
        <v>0</v>
      </c>
    </row>
    <row r="293" spans="1:37" ht="15" customHeight="1" x14ac:dyDescent="0.25">
      <c r="A293" s="8"/>
      <c r="B293" s="11">
        <f>ROWS($B$4:B293)</f>
        <v>290</v>
      </c>
      <c r="C293" s="12">
        <f>IF(ValuesEntered,IF(הפחתה[[#This Row],[מס'']]&lt;=תקופת_ההלוואה,IF(ROW()-ROW(הפחתה[[#Headers],[תאריך]])=1,LoanStart,IF(I292&gt;0,EDATE(C292,1),"")),""),"")</f>
        <v>54179</v>
      </c>
      <c r="D293" s="13">
        <f>IF(ROW()-ROW(הפחתה[[#Headers],[יתרת פתיחה]])=1,סכום_הלוואה,IF(הפחתה[[#This Row],[תאריך]]="",0,INDEX(הפחתה[], ROW()-4,8)))</f>
        <v>202679.55072292246</v>
      </c>
      <c r="E293" s="13">
        <f>IF(ValuesEntered,IF(ROW()-ROW(הפחתה[[#Headers],[ריבית]])=1,-IPMT(שיעור_ריבית/12,1,תקופת_ההלוואה-ROWS($C$4:C293)+1,הפחתה[[#This Row],[יתרת פתיחה]]),IFERROR(-IPMT(שיעור_ריבית/12,1,הפחתה[[#This Row],[תשלומים
שנותרו]],D294),0)),0)</f>
        <v>884.40610114034985</v>
      </c>
      <c r="F293" s="13">
        <f>IFERROR(IF(AND(ValuesEntered,הפחתה[[#This Row],[תאריך]]&lt;&gt;""),-PPMT(שיעור_ריבית/12,1,תקופת_ההלוואה-ROWS($C$4:C293)+1,הפחתה[[#This Row],[יתרת פתיחה]]),""),0)</f>
        <v>2436.6598986923109</v>
      </c>
      <c r="G293" s="13">
        <f>(הפחתה[[#This Row],[יתרת פתיחה]])*(מדד/12)</f>
        <v>0</v>
      </c>
      <c r="H293" s="13">
        <f>IF(הפחתה[[#This Row],[תאריך]]="",0,הפחתה[[#This Row],[ריבית]]+הפחתה[[#This Row],[קרן]]+הפחתה[[#This Row],[מדד]])</f>
        <v>3321.065999832661</v>
      </c>
      <c r="I293" s="13">
        <f>IF(הפחתה[[#This Row],[תאריך]]="",0,הפחתה[[#This Row],[יתרת פתיחה]]-הפחתה[[#This Row],[קרן]]+הפחתה[[#This Row],[מדד]])</f>
        <v>200242.89082423015</v>
      </c>
      <c r="J293" s="11">
        <f>IF(הפחתה[[#This Row],[יתרת
סגירה]]&gt;0,LastRow-ROW(),0)</f>
        <v>70</v>
      </c>
      <c r="K293" s="11">
        <f>ROWS($K$4:K293)</f>
        <v>290</v>
      </c>
      <c r="L293" s="12">
        <f>IF(ValuesEntered2,IF(הפחתה5[[#This Row],[מס'']]&lt;=תקופת_ההלוואה2,IF(ROW()-ROW(הפחתה5[[#Headers],[תאריך]])=1,LoanStart2,IF(R292&gt;0,EDATE(L292,1),"")),""),"")</f>
        <v>54179</v>
      </c>
      <c r="M293" s="13">
        <f>IF(ROW()-ROW(הפחתה5[[#Headers],[יתרת פתיחה]])=1,סכום_הלוואה2,IF(הפחתה5[[#This Row],[תאריך]]="",0,INDEX(הפחתה5[], ROW()-4,8)))</f>
        <v>18286.560196927225</v>
      </c>
      <c r="N293" s="13">
        <f>IF(ValuesEntered2,IF(ROW()-ROW(הפחתה5[[#Headers],[ריבית]])=1,-IPMT(שיעור_ריבית2/12,1,תקופת_ההלוואה2-ROWS($L$4:L293)+1,הפחתה5[[#This Row],[יתרת פתיחה]]),IFERROR(-IPMT(שיעור_ריבית2/12,1,הפחתה5[[#This Row],[תשלומים
שנותרו]],M294),0)),0)</f>
        <v>65.237749728182635</v>
      </c>
      <c r="O293" s="13">
        <f>IFERROR(IF(AND(ValuesEntered2,הפחתה5[[#This Row],[תאריך]]&lt;&gt;""),-PPMT(שיעור_ריבית2/12,1,תקופת_ההלוואה2-ROWS($L$4:L293)+1,הפחתה5[[#This Row],[יתרת פתיחה]]),""),0)</f>
        <v>1630.113457816761</v>
      </c>
      <c r="P293" s="13">
        <f>(הפחתה5[[#This Row],[יתרת פתיחה]])*(מדד2/12)</f>
        <v>0</v>
      </c>
      <c r="Q293" s="13">
        <f>IF(הפחתה5[[#This Row],[תאריך]]="",0,הפחתה5[[#This Row],[ריבית]]+הפחתה5[[#This Row],[קרן]]+הפחתה5[[#This Row],[מדד]])</f>
        <v>1695.3512075449437</v>
      </c>
      <c r="R293" s="13">
        <f>IF(הפחתה5[[#This Row],[תאריך]]="",0,הפחתה5[[#This Row],[יתרת פתיחה]]-הפחתה5[[#This Row],[קרן]]+הפחתה5[[#This Row],[מדד]])</f>
        <v>16656.446739110463</v>
      </c>
      <c r="S293" s="11">
        <f>IF(הפחתה5[[#This Row],[יתרת
סגירה]]&gt;0,LastRow2-ROW(),0)</f>
        <v>10</v>
      </c>
      <c r="T293" s="11">
        <f>ROWS($T$4:T293)</f>
        <v>290</v>
      </c>
      <c r="U293" s="12">
        <f ca="1">IF(ValuesEntered3,IF(הפחתה7[[#This Row],[מס'']]&lt;=תקופת_ההלוואה3,IF(ROW()-ROW(הפחתה7[[#Headers],[תאריך]])=1,LoanStart3,IF(AA292&gt;0,EDATE(U292,1),"")),""),"")</f>
        <v>54417</v>
      </c>
      <c r="V293" s="13">
        <f ca="1">IF(ROW()-ROW(הפחתה7[[#Headers],[יתרת פתיחה]])=1,סכום_הלוואה3,IF(הפחתה7[[#This Row],[תאריך]]="",0,INDEX(הפחתה7[], ROW()-4,8)))</f>
        <v>7757.6566655973211</v>
      </c>
      <c r="W293" s="13">
        <f ca="1">IF(ValuesEntered3,IF(ROW()-ROW(הפחתה7[[#Headers],[ריבית]])=1,-IPMT(שיעור_ריבית3/12,1,תקופת_ההלוואה3-ROWS($C$4:U293)+1,הפחתה7[[#This Row],[יתרת פתיחה]]),IFERROR(-IPMT(שיעור_ריבית3/12,1,הפחתה7[[#This Row],[תשלומים
שנותרו]],V294),0)),0)</f>
        <v>13.554814748328065</v>
      </c>
      <c r="X293" s="13">
        <f ca="1">IFERROR(IF(AND(ValuesEntered3,הפחתה7[[#This Row],[תאריך]]&lt;&gt;""),-PPMT(שיעור_ריבית3/12,1,תקופת_ההלוואה3-ROWS($C$4:U293)+1,הפחתה7[[#This Row],[יתרת פתיחה]]),""),0)</f>
        <v>698.50883337606467</v>
      </c>
      <c r="Y293" s="13">
        <f ca="1">(הפחתה7[[#This Row],[יתרת פתיחה]])*(מדד3/12)</f>
        <v>12.929427775995537</v>
      </c>
      <c r="Z293" s="13">
        <f ca="1">IF(הפחתה7[[#This Row],[תאריך]]="",0,הפחתה7[[#This Row],[ריבית]]+הפחתה7[[#This Row],[קרן]]+הפחתה7[[#This Row],[מדד]])</f>
        <v>724.99307590038836</v>
      </c>
      <c r="AA293" s="13">
        <f ca="1">IF(הפחתה7[[#This Row],[תאריך]]="",0,הפחתה7[[#This Row],[יתרת פתיחה]]-הפחתה7[[#This Row],[קרן]]+הפחתה7[[#This Row],[מדד]])</f>
        <v>7072.0772599972515</v>
      </c>
      <c r="AB293" s="11">
        <f ca="1">IF(הפחתה7[[#This Row],[יתרת
סגירה]]&gt;0,LastRow3-ROW(),0)</f>
        <v>10</v>
      </c>
      <c r="AC293" s="17">
        <f>ROWS($AC$4:AC293)</f>
        <v>290</v>
      </c>
      <c r="AD293" s="18" t="str">
        <f ca="1">IF(ValuesEntered4,IF(הפחתה8[[#This Row],[מס'']]&lt;=תקופת_ההלוואה4,IF(ROW()-ROW(הפחתה8[[#Headers],[תאריך]])=1,LoanStart4,IF(AJ292&gt;0,EDATE(AD292,1),"")),""),"")</f>
        <v/>
      </c>
      <c r="AE293" s="19">
        <f ca="1">IF(ROW()-ROW(הפחתה8[[#Headers],[יתרת פתיחה]])=1,סכום_הלוואה4,IF(הפחתה8[[#This Row],[תאריך]]="",0,INDEX(הפחתה8[], ROW()-4,8)))</f>
        <v>0</v>
      </c>
      <c r="AF293" s="19">
        <f ca="1">IF(ValuesEntered4,IF(ROW()-ROW(הפחתה8[[#Headers],[ריבית]])=1,-IPMT(שיעור_ריבית4/12,1,תקופת_ההלוואה4-ROWS($C$4:AD293)+1,הפחתה8[[#This Row],[יתרת פתיחה]]),IFERROR(-IPMT(שיעור_ריבית4/12,1,הפחתה8[[#This Row],[תשלומים
שנותרו]],AE294),0)),0)</f>
        <v>0</v>
      </c>
      <c r="AG293" s="19" t="str">
        <f ca="1">IFERROR(IF(AND(ValuesEntered4,הפחתה8[[#This Row],[תאריך]]&lt;&gt;""),-PPMT(שיעור_ריבית4/12,1,תקופת_ההלוואה4-ROWS($C$4:AD293)+1,הפחתה8[[#This Row],[יתרת פתיחה]]),""),0)</f>
        <v/>
      </c>
      <c r="AH293" s="19">
        <f ca="1">(הפחתה8[[#This Row],[יתרת פתיחה]])*(מדד4/12)</f>
        <v>0</v>
      </c>
      <c r="AI293" s="19">
        <f ca="1">IF(הפחתה8[[#This Row],[תאריך]]="",0,הפחתה8[[#This Row],[ריבית]]+הפחתה8[[#This Row],[קרן]]+הפחתה8[[#This Row],[מדד]])</f>
        <v>0</v>
      </c>
      <c r="AJ293" s="19">
        <f ca="1">IF(הפחתה8[[#This Row],[תאריך]]="",0,הפחתה8[[#This Row],[יתרת פתיחה]]-הפחתה8[[#This Row],[קרן]])</f>
        <v>0</v>
      </c>
      <c r="AK293" s="20">
        <f ca="1">IF(הפחתה8[[#This Row],[יתרת
סגירה]]&gt;0,LastRow4-ROW(),0)</f>
        <v>0</v>
      </c>
    </row>
    <row r="294" spans="1:37" ht="15" customHeight="1" x14ac:dyDescent="0.25">
      <c r="A294" s="8"/>
      <c r="B294" s="11">
        <f>ROWS($B$4:B294)</f>
        <v>291</v>
      </c>
      <c r="C294" s="12">
        <f>IF(ValuesEntered,IF(הפחתה[[#This Row],[מס'']]&lt;=תקופת_ההלוואה,IF(ROW()-ROW(הפחתה[[#Headers],[תאריך]])=1,LoanStart,IF(I293&gt;0,EDATE(C293,1),"")),""),"")</f>
        <v>54210</v>
      </c>
      <c r="D294" s="13">
        <f>IF(ROW()-ROW(הפחתה[[#Headers],[יתרת פתיחה]])=1,סכום_הלוואה,IF(הפחתה[[#This Row],[תאריך]]="",0,INDEX(הפחתה[], ROW()-4,8)))</f>
        <v>200242.89082423015</v>
      </c>
      <c r="E294" s="13">
        <f>IF(ValuesEntered,IF(ROW()-ROW(הפחתה[[#Headers],[ריבית]])=1,-IPMT(שיעור_ריבית/12,1,תקופת_ההלוואה-ROWS($C$4:C294)+1,הפחתה[[#This Row],[יתרת פתיחה]]),IFERROR(-IPMT(שיעור_ריבית/12,1,הפחתה[[#This Row],[תשלומים
שנותרו]],D295),0)),0)</f>
        <v>873.59665479851833</v>
      </c>
      <c r="F294" s="13">
        <f>IFERROR(IF(AND(ValuesEntered,הפחתה[[#This Row],[תאריך]]&lt;&gt;""),-PPMT(שיעור_ריבית/12,1,תקופת_ההלוואה-ROWS($C$4:C294)+1,הפחתה[[#This Row],[יתרת פתיחה]]),""),0)</f>
        <v>2447.4218132448691</v>
      </c>
      <c r="G294" s="13">
        <f>(הפחתה[[#This Row],[יתרת פתיחה]])*(מדד/12)</f>
        <v>0</v>
      </c>
      <c r="H294" s="13">
        <f>IF(הפחתה[[#This Row],[תאריך]]="",0,הפחתה[[#This Row],[ריבית]]+הפחתה[[#This Row],[קרן]]+הפחתה[[#This Row],[מדד]])</f>
        <v>3321.0184680433877</v>
      </c>
      <c r="I294" s="13">
        <f>IF(הפחתה[[#This Row],[תאריך]]="",0,הפחתה[[#This Row],[יתרת פתיחה]]-הפחתה[[#This Row],[קרן]]+הפחתה[[#This Row],[מדד]])</f>
        <v>197795.46901098528</v>
      </c>
      <c r="J294" s="11">
        <f>IF(הפחתה[[#This Row],[יתרת
סגירה]]&gt;0,LastRow-ROW(),0)</f>
        <v>69</v>
      </c>
      <c r="K294" s="11">
        <f>ROWS($K$4:K294)</f>
        <v>291</v>
      </c>
      <c r="L294" s="12">
        <f>IF(ValuesEntered2,IF(הפחתה5[[#This Row],[מס'']]&lt;=תקופת_ההלוואה2,IF(ROW()-ROW(הפחתה5[[#Headers],[תאריך]])=1,LoanStart2,IF(R293&gt;0,EDATE(L293,1),"")),""),"")</f>
        <v>54210</v>
      </c>
      <c r="M294" s="13">
        <f>IF(ROW()-ROW(הפחתה5[[#Headers],[יתרת פתיחה]])=1,סכום_הלוואה2,IF(הפחתה5[[#This Row],[תאריך]]="",0,INDEX(הפחתה5[], ROW()-4,8)))</f>
        <v>16656.446739110463</v>
      </c>
      <c r="N294" s="13">
        <f>IF(ValuesEntered2,IF(ROW()-ROW(הפחתה5[[#Headers],[ריבית]])=1,-IPMT(שיעור_ריבית2/12,1,תקופת_ההלוואה2-ROWS($L$4:L294)+1,הפחתה5[[#This Row],[יתרת פתיחה]]),IFERROR(-IPMT(שיעור_ריבית2/12,1,הפחתה5[[#This Row],[תשלומים
שנותרו]],M295),0)),0)</f>
        <v>58.828132291814789</v>
      </c>
      <c r="O294" s="13">
        <f>IFERROR(IF(AND(ValuesEntered2,הפחתה5[[#This Row],[תאריך]]&lt;&gt;""),-PPMT(שיעור_ריבית2/12,1,תקופת_ההלוואה2-ROWS($L$4:L294)+1,הפחתה5[[#This Row],[יתרת פתיחה]]),""),0)</f>
        <v>1636.4980688598764</v>
      </c>
      <c r="P294" s="13">
        <f>(הפחתה5[[#This Row],[יתרת פתיחה]])*(מדד2/12)</f>
        <v>0</v>
      </c>
      <c r="Q294" s="13">
        <f>IF(הפחתה5[[#This Row],[תאריך]]="",0,הפחתה5[[#This Row],[ריבית]]+הפחתה5[[#This Row],[קרן]]+הפחתה5[[#This Row],[מדד]])</f>
        <v>1695.3262011516913</v>
      </c>
      <c r="R294" s="13">
        <f>IF(הפחתה5[[#This Row],[תאריך]]="",0,הפחתה5[[#This Row],[יתרת פתיחה]]-הפחתה5[[#This Row],[קרן]]+הפחתה5[[#This Row],[מדד]])</f>
        <v>15019.948670250586</v>
      </c>
      <c r="S294" s="11">
        <f>IF(הפחתה5[[#This Row],[יתרת
סגירה]]&gt;0,LastRow2-ROW(),0)</f>
        <v>9</v>
      </c>
      <c r="T294" s="11">
        <f>ROWS($T$4:T294)</f>
        <v>291</v>
      </c>
      <c r="U294" s="12">
        <f ca="1">IF(ValuesEntered3,IF(הפחתה7[[#This Row],[מס'']]&lt;=תקופת_ההלוואה3,IF(ROW()-ROW(הפחתה7[[#Headers],[תאריך]])=1,LoanStart3,IF(AA293&gt;0,EDATE(U293,1),"")),""),"")</f>
        <v>54448</v>
      </c>
      <c r="V294" s="13">
        <f ca="1">IF(ROW()-ROW(הפחתה7[[#Headers],[יתרת פתיחה]])=1,סכום_הלוואה3,IF(הפחתה7[[#This Row],[תאריך]]="",0,INDEX(הפחתה7[], ROW()-4,8)))</f>
        <v>7072.0772599972515</v>
      </c>
      <c r="W294" s="13">
        <f ca="1">IF(ValuesEntered3,IF(ROW()-ROW(הפחתה7[[#Headers],[ריבית]])=1,-IPMT(שיעור_ריבית3/12,1,תקופת_ההלוואה3-ROWS($C$4:U294)+1,הפחתה7[[#This Row],[יתרת פתיחה]]),IFERROR(-IPMT(שיעור_ריבית3/12,1,הפחתה7[[#This Row],[תשלומים
שנותרו]],V295),0)),0)</f>
        <v>12.233574617729506</v>
      </c>
      <c r="X294" s="13">
        <f ca="1">IFERROR(IF(AND(ValuesEntered3,הפחתה7[[#This Row],[תאריך]]&lt;&gt;""),-PPMT(שיעור_ריבית3/12,1,תקופת_ההלוואה3-ROWS($C$4:U294)+1,הפחתה7[[#This Row],[יתרת פתיחה]]),""),0)</f>
        <v>701.12947226735878</v>
      </c>
      <c r="Y294" s="13">
        <f ca="1">(הפחתה7[[#This Row],[יתרת פתיחה]])*(מדד3/12)</f>
        <v>11.786795433328754</v>
      </c>
      <c r="Z294" s="13">
        <f ca="1">IF(הפחתה7[[#This Row],[תאריך]]="",0,הפחתה7[[#This Row],[ריבית]]+הפחתה7[[#This Row],[קרן]]+הפחתה7[[#This Row],[מדד]])</f>
        <v>725.14984231841697</v>
      </c>
      <c r="AA294" s="13">
        <f ca="1">IF(הפחתה7[[#This Row],[תאריך]]="",0,הפחתה7[[#This Row],[יתרת פתיחה]]-הפחתה7[[#This Row],[קרן]]+הפחתה7[[#This Row],[מדד]])</f>
        <v>6382.734583163221</v>
      </c>
      <c r="AB294" s="11">
        <f ca="1">IF(הפחתה7[[#This Row],[יתרת
סגירה]]&gt;0,LastRow3-ROW(),0)</f>
        <v>9</v>
      </c>
      <c r="AC294" s="17">
        <f>ROWS($AC$4:AC294)</f>
        <v>291</v>
      </c>
      <c r="AD294" s="18" t="str">
        <f ca="1">IF(ValuesEntered4,IF(הפחתה8[[#This Row],[מס'']]&lt;=תקופת_ההלוואה4,IF(ROW()-ROW(הפחתה8[[#Headers],[תאריך]])=1,LoanStart4,IF(AJ293&gt;0,EDATE(AD293,1),"")),""),"")</f>
        <v/>
      </c>
      <c r="AE294" s="19">
        <f ca="1">IF(ROW()-ROW(הפחתה8[[#Headers],[יתרת פתיחה]])=1,סכום_הלוואה4,IF(הפחתה8[[#This Row],[תאריך]]="",0,INDEX(הפחתה8[], ROW()-4,8)))</f>
        <v>0</v>
      </c>
      <c r="AF294" s="19">
        <f ca="1">IF(ValuesEntered4,IF(ROW()-ROW(הפחתה8[[#Headers],[ריבית]])=1,-IPMT(שיעור_ריבית4/12,1,תקופת_ההלוואה4-ROWS($C$4:AD294)+1,הפחתה8[[#This Row],[יתרת פתיחה]]),IFERROR(-IPMT(שיעור_ריבית4/12,1,הפחתה8[[#This Row],[תשלומים
שנותרו]],AE295),0)),0)</f>
        <v>0</v>
      </c>
      <c r="AG294" s="19" t="str">
        <f ca="1">IFERROR(IF(AND(ValuesEntered4,הפחתה8[[#This Row],[תאריך]]&lt;&gt;""),-PPMT(שיעור_ריבית4/12,1,תקופת_ההלוואה4-ROWS($C$4:AD294)+1,הפחתה8[[#This Row],[יתרת פתיחה]]),""),0)</f>
        <v/>
      </c>
      <c r="AH294" s="19">
        <f ca="1">(הפחתה8[[#This Row],[יתרת פתיחה]])*(מדד4/12)</f>
        <v>0</v>
      </c>
      <c r="AI294" s="19">
        <f ca="1">IF(הפחתה8[[#This Row],[תאריך]]="",0,הפחתה8[[#This Row],[ריבית]]+הפחתה8[[#This Row],[קרן]]+הפחתה8[[#This Row],[מדד]])</f>
        <v>0</v>
      </c>
      <c r="AJ294" s="19">
        <f ca="1">IF(הפחתה8[[#This Row],[תאריך]]="",0,הפחתה8[[#This Row],[יתרת פתיחה]]-הפחתה8[[#This Row],[קרן]])</f>
        <v>0</v>
      </c>
      <c r="AK294" s="20">
        <f ca="1">IF(הפחתה8[[#This Row],[יתרת
סגירה]]&gt;0,LastRow4-ROW(),0)</f>
        <v>0</v>
      </c>
    </row>
    <row r="295" spans="1:37" ht="15" customHeight="1" x14ac:dyDescent="0.25">
      <c r="A295" s="8"/>
      <c r="B295" s="11">
        <f>ROWS($B$4:B295)</f>
        <v>292</v>
      </c>
      <c r="C295" s="12">
        <f>IF(ValuesEntered,IF(הפחתה[[#This Row],[מס'']]&lt;=תקופת_ההלוואה,IF(ROW()-ROW(הפחתה[[#Headers],[תאריך]])=1,LoanStart,IF(I294&gt;0,EDATE(C294,1),"")),""),"")</f>
        <v>54240</v>
      </c>
      <c r="D295" s="13">
        <f>IF(ROW()-ROW(הפחתה[[#Headers],[יתרת פתיחה]])=1,סכום_הלוואה,IF(הפחתה[[#This Row],[תאריך]]="",0,INDEX(הפחתה[], ROW()-4,8)))</f>
        <v>197795.46901098528</v>
      </c>
      <c r="E295" s="13">
        <f>IF(ValuesEntered,IF(ROW()-ROW(הפחתה[[#Headers],[ריבית]])=1,-IPMT(שיעור_ריבית/12,1,תקופת_ההלוואה-ROWS($C$4:C295)+1,הפחתה[[#This Row],[יתרת פתיחה]]),IFERROR(-IPMT(שיעור_ריבית/12,1,הפחתה[[#This Row],[תשלומים
שנותרו]],D296),0)),0)</f>
        <v>862.73946673534374</v>
      </c>
      <c r="F295" s="13">
        <f>IFERROR(IF(AND(ValuesEntered,הפחתה[[#This Row],[תאריך]]&lt;&gt;""),-PPMT(שיעור_ריבית/12,1,תקופת_ההלוואה-ROWS($C$4:C295)+1,הפחתה[[#This Row],[יתרת פתיחה]]),""),0)</f>
        <v>2458.2312595867002</v>
      </c>
      <c r="G295" s="13">
        <f>(הפחתה[[#This Row],[יתרת פתיחה]])*(מדד/12)</f>
        <v>0</v>
      </c>
      <c r="H295" s="13">
        <f>IF(הפחתה[[#This Row],[תאריך]]="",0,הפחתה[[#This Row],[ריבית]]+הפחתה[[#This Row],[קרן]]+הפחתה[[#This Row],[מדד]])</f>
        <v>3320.9707263220439</v>
      </c>
      <c r="I295" s="13">
        <f>IF(הפחתה[[#This Row],[תאריך]]="",0,הפחתה[[#This Row],[יתרת פתיחה]]-הפחתה[[#This Row],[קרן]]+הפחתה[[#This Row],[מדד]])</f>
        <v>195337.23775139858</v>
      </c>
      <c r="J295" s="11">
        <f>IF(הפחתה[[#This Row],[יתרת
סגירה]]&gt;0,LastRow-ROW(),0)</f>
        <v>68</v>
      </c>
      <c r="K295" s="11">
        <f>ROWS($K$4:K295)</f>
        <v>292</v>
      </c>
      <c r="L295" s="12">
        <f>IF(ValuesEntered2,IF(הפחתה5[[#This Row],[מס'']]&lt;=תקופת_ההלוואה2,IF(ROW()-ROW(הפחתה5[[#Headers],[תאריך]])=1,LoanStart2,IF(R294&gt;0,EDATE(L294,1),"")),""),"")</f>
        <v>54240</v>
      </c>
      <c r="M295" s="13">
        <f>IF(ROW()-ROW(הפחתה5[[#Headers],[יתרת פתיחה]])=1,סכום_הלוואה2,IF(הפחתה5[[#This Row],[תאריך]]="",0,INDEX(הפחתה5[], ROW()-4,8)))</f>
        <v>15019.948670250586</v>
      </c>
      <c r="N295" s="13">
        <f>IF(ValuesEntered2,IF(ROW()-ROW(הפחתה5[[#Headers],[ריבית]])=1,-IPMT(שיעור_ריבית2/12,1,תקופת_ההלוואה2-ROWS($L$4:L295)+1,הפחתה5[[#This Row],[יתרת פתיחה]]),IFERROR(-IPMT(שיעור_ריבית2/12,1,הפחתה5[[#This Row],[תשלומים
שנותרו]],M296),0)),0)</f>
        <v>52.393410520487834</v>
      </c>
      <c r="O295" s="13">
        <f>IFERROR(IF(AND(ValuesEntered2,הפחתה5[[#This Row],[תאריך]]&lt;&gt;""),-PPMT(שיעור_ריבית2/12,1,תקופת_ההלוואה2-ROWS($L$4:L295)+1,הפחתה5[[#This Row],[יתרת פתיחה]]),""),0)</f>
        <v>1642.9076862962443</v>
      </c>
      <c r="P295" s="13">
        <f>(הפחתה5[[#This Row],[יתרת פתיחה]])*(מדד2/12)</f>
        <v>0</v>
      </c>
      <c r="Q295" s="13">
        <f>IF(הפחתה5[[#This Row],[תאריך]]="",0,הפחתה5[[#This Row],[ריבית]]+הפחתה5[[#This Row],[קרן]]+הפחתה5[[#This Row],[מדד]])</f>
        <v>1695.3010968167321</v>
      </c>
      <c r="R295" s="13">
        <f>IF(הפחתה5[[#This Row],[תאריך]]="",0,הפחתה5[[#This Row],[יתרת פתיחה]]-הפחתה5[[#This Row],[קרן]]+הפחתה5[[#This Row],[מדד]])</f>
        <v>13377.040983954341</v>
      </c>
      <c r="S295" s="11">
        <f>IF(הפחתה5[[#This Row],[יתרת
סגירה]]&gt;0,LastRow2-ROW(),0)</f>
        <v>8</v>
      </c>
      <c r="T295" s="11">
        <f>ROWS($T$4:T295)</f>
        <v>292</v>
      </c>
      <c r="U295" s="12">
        <f ca="1">IF(ValuesEntered3,IF(הפחתה7[[#This Row],[מס'']]&lt;=תקופת_ההלוואה3,IF(ROW()-ROW(הפחתה7[[#Headers],[תאריך]])=1,LoanStart3,IF(AA294&gt;0,EDATE(U294,1),"")),""),"")</f>
        <v>54479</v>
      </c>
      <c r="V295" s="13">
        <f ca="1">IF(ROW()-ROW(הפחתה7[[#Headers],[יתרת פתיחה]])=1,סכום_הלוואה3,IF(הפחתה7[[#This Row],[תאריך]]="",0,INDEX(הפחתה7[], ROW()-4,8)))</f>
        <v>6382.734583163221</v>
      </c>
      <c r="W295" s="13">
        <f ca="1">IF(ValuesEntered3,IF(ROW()-ROW(הפחתה7[[#Headers],[ריבית]])=1,-IPMT(שיעור_ריבית3/12,1,תקופת_ההלוואה3-ROWS($C$4:U295)+1,הפחתה7[[#This Row],[יתרת פתיחה]]),IFERROR(-IPMT(שיעור_ריבית3/12,1,הפחתה7[[#This Row],[תשלומים
שנותרו]],V296),0)),0)</f>
        <v>10.905065775421416</v>
      </c>
      <c r="X295" s="13">
        <f ca="1">IFERROR(IF(AND(ValuesEntered3,הפחתה7[[#This Row],[תאריך]]&lt;&gt;""),-PPMT(שיעור_ריבית3/12,1,תקופת_ההלוואה3-ROWS($C$4:U295)+1,הפחתה7[[#This Row],[יתרת פתיחה]]),""),0)</f>
        <v>703.77293913268147</v>
      </c>
      <c r="Y295" s="13">
        <f ca="1">(הפחתה7[[#This Row],[יתרת פתיחה]])*(מדד3/12)</f>
        <v>10.637890971938702</v>
      </c>
      <c r="Z295" s="13">
        <f ca="1">IF(הפחתה7[[#This Row],[תאריך]]="",0,הפחתה7[[#This Row],[ריבית]]+הפחתה7[[#This Row],[קרן]]+הפחתה7[[#This Row],[מדד]])</f>
        <v>725.31589588004158</v>
      </c>
      <c r="AA295" s="13">
        <f ca="1">IF(הפחתה7[[#This Row],[תאריך]]="",0,הפחתה7[[#This Row],[יתרת פתיחה]]-הפחתה7[[#This Row],[קרן]]+הפחתה7[[#This Row],[מדד]])</f>
        <v>5689.5995350024787</v>
      </c>
      <c r="AB295" s="11">
        <f ca="1">IF(הפחתה7[[#This Row],[יתרת
סגירה]]&gt;0,LastRow3-ROW(),0)</f>
        <v>8</v>
      </c>
      <c r="AC295" s="17">
        <f>ROWS($AC$4:AC295)</f>
        <v>292</v>
      </c>
      <c r="AD295" s="18" t="str">
        <f ca="1">IF(ValuesEntered4,IF(הפחתה8[[#This Row],[מס'']]&lt;=תקופת_ההלוואה4,IF(ROW()-ROW(הפחתה8[[#Headers],[תאריך]])=1,LoanStart4,IF(AJ294&gt;0,EDATE(AD294,1),"")),""),"")</f>
        <v/>
      </c>
      <c r="AE295" s="19">
        <f ca="1">IF(ROW()-ROW(הפחתה8[[#Headers],[יתרת פתיחה]])=1,סכום_הלוואה4,IF(הפחתה8[[#This Row],[תאריך]]="",0,INDEX(הפחתה8[], ROW()-4,8)))</f>
        <v>0</v>
      </c>
      <c r="AF295" s="19">
        <f ca="1">IF(ValuesEntered4,IF(ROW()-ROW(הפחתה8[[#Headers],[ריבית]])=1,-IPMT(שיעור_ריבית4/12,1,תקופת_ההלוואה4-ROWS($C$4:AD295)+1,הפחתה8[[#This Row],[יתרת פתיחה]]),IFERROR(-IPMT(שיעור_ריבית4/12,1,הפחתה8[[#This Row],[תשלומים
שנותרו]],AE296),0)),0)</f>
        <v>0</v>
      </c>
      <c r="AG295" s="19" t="str">
        <f ca="1">IFERROR(IF(AND(ValuesEntered4,הפחתה8[[#This Row],[תאריך]]&lt;&gt;""),-PPMT(שיעור_ריבית4/12,1,תקופת_ההלוואה4-ROWS($C$4:AD295)+1,הפחתה8[[#This Row],[יתרת פתיחה]]),""),0)</f>
        <v/>
      </c>
      <c r="AH295" s="19">
        <f ca="1">(הפחתה8[[#This Row],[יתרת פתיחה]])*(מדד4/12)</f>
        <v>0</v>
      </c>
      <c r="AI295" s="19">
        <f ca="1">IF(הפחתה8[[#This Row],[תאריך]]="",0,הפחתה8[[#This Row],[ריבית]]+הפחתה8[[#This Row],[קרן]]+הפחתה8[[#This Row],[מדד]])</f>
        <v>0</v>
      </c>
      <c r="AJ295" s="19">
        <f ca="1">IF(הפחתה8[[#This Row],[תאריך]]="",0,הפחתה8[[#This Row],[יתרת פתיחה]]-הפחתה8[[#This Row],[קרן]])</f>
        <v>0</v>
      </c>
      <c r="AK295" s="20">
        <f ca="1">IF(הפחתה8[[#This Row],[יתרת
סגירה]]&gt;0,LastRow4-ROW(),0)</f>
        <v>0</v>
      </c>
    </row>
    <row r="296" spans="1:37" ht="15" customHeight="1" x14ac:dyDescent="0.25">
      <c r="A296" s="8"/>
      <c r="B296" s="11">
        <f>ROWS($B$4:B296)</f>
        <v>293</v>
      </c>
      <c r="C296" s="12">
        <f>IF(ValuesEntered,IF(הפחתה[[#This Row],[מס'']]&lt;=תקופת_ההלוואה,IF(ROW()-ROW(הפחתה[[#Headers],[תאריך]])=1,LoanStart,IF(I295&gt;0,EDATE(C295,1),"")),""),"")</f>
        <v>54271</v>
      </c>
      <c r="D296" s="13">
        <f>IF(ROW()-ROW(הפחתה[[#Headers],[יתרת פתיחה]])=1,סכום_הלוואה,IF(הפחתה[[#This Row],[תאריך]]="",0,INDEX(הפחתה[], ROW()-4,8)))</f>
        <v>195337.23775139858</v>
      </c>
      <c r="E296" s="13">
        <f>IF(ValuesEntered,IF(ROW()-ROW(הפחתה[[#Headers],[ריבית]])=1,-IPMT(שיעור_ריבית/12,1,תקופת_ההלוואה-ROWS($C$4:C296)+1,הפחתה[[#This Row],[יתרת פתיחה]]),IFERROR(-IPMT(שיעור_ריבית/12,1,הפחתה[[#This Row],[תשלומים
שנותרו]],D297),0)),0)</f>
        <v>851.83432609155682</v>
      </c>
      <c r="F296" s="13">
        <f>IFERROR(IF(AND(ValuesEntered,הפחתה[[#This Row],[תאריך]]&lt;&gt;""),-PPMT(שיעור_ריבית/12,1,תקופת_ההלוואה-ROWS($C$4:C296)+1,הפחתה[[#This Row],[יתרת פתיחה]]),""),0)</f>
        <v>2469.0884476498745</v>
      </c>
      <c r="G296" s="13">
        <f>(הפחתה[[#This Row],[יתרת פתיחה]])*(מדד/12)</f>
        <v>0</v>
      </c>
      <c r="H296" s="13">
        <f>IF(הפחתה[[#This Row],[תאריך]]="",0,הפחתה[[#This Row],[ריבית]]+הפחתה[[#This Row],[קרן]]+הפחתה[[#This Row],[מדד]])</f>
        <v>3320.9227737414312</v>
      </c>
      <c r="I296" s="13">
        <f>IF(הפחתה[[#This Row],[תאריך]]="",0,הפחתה[[#This Row],[יתרת פתיחה]]-הפחתה[[#This Row],[קרן]]+הפחתה[[#This Row],[מדד]])</f>
        <v>192868.14930374871</v>
      </c>
      <c r="J296" s="11">
        <f>IF(הפחתה[[#This Row],[יתרת
סגירה]]&gt;0,LastRow-ROW(),0)</f>
        <v>67</v>
      </c>
      <c r="K296" s="11">
        <f>ROWS($K$4:K296)</f>
        <v>293</v>
      </c>
      <c r="L296" s="12">
        <f>IF(ValuesEntered2,IF(הפחתה5[[#This Row],[מס'']]&lt;=תקופת_ההלוואה2,IF(ROW()-ROW(הפחתה5[[#Headers],[תאריך]])=1,LoanStart2,IF(R295&gt;0,EDATE(L295,1),"")),""),"")</f>
        <v>54271</v>
      </c>
      <c r="M296" s="13">
        <f>IF(ROW()-ROW(הפחתה5[[#Headers],[יתרת פתיחה]])=1,סכום_הלוואה2,IF(הפחתה5[[#This Row],[תאריך]]="",0,INDEX(הפחתה5[], ROW()-4,8)))</f>
        <v>13377.040983954341</v>
      </c>
      <c r="N296" s="13">
        <f>IF(ValuesEntered2,IF(ROW()-ROW(הפחתה5[[#Headers],[ריבית]])=1,-IPMT(שיעור_ריבית2/12,1,תקופת_ההלוואה2-ROWS($L$4:L296)+1,הפחתה5[[#This Row],[יתרת פתיחה]]),IFERROR(-IPMT(שיעור_ריבית2/12,1,הפחתה5[[#This Row],[תשלומים
שנותרו]],M297),0)),0)</f>
        <v>45.93348608888985</v>
      </c>
      <c r="O296" s="13">
        <f>IFERROR(IF(AND(ValuesEntered2,הפחתה5[[#This Row],[תאריך]]&lt;&gt;""),-PPMT(שיעור_ריבית2/12,1,תקופת_ההלוואה2-ROWS($L$4:L296)+1,הפחתה5[[#This Row],[יתרת פתיחה]]),""),0)</f>
        <v>1649.3424080675713</v>
      </c>
      <c r="P296" s="13">
        <f>(הפחתה5[[#This Row],[יתרת פתיחה]])*(מדד2/12)</f>
        <v>0</v>
      </c>
      <c r="Q296" s="13">
        <f>IF(הפחתה5[[#This Row],[תאריך]]="",0,הפחתה5[[#This Row],[ריבית]]+הפחתה5[[#This Row],[קרן]]+הפחתה5[[#This Row],[מדד]])</f>
        <v>1695.2758941564612</v>
      </c>
      <c r="R296" s="13">
        <f>IF(הפחתה5[[#This Row],[תאריך]]="",0,הפחתה5[[#This Row],[יתרת פתיחה]]-הפחתה5[[#This Row],[קרן]]+הפחתה5[[#This Row],[מדד]])</f>
        <v>11727.69857588677</v>
      </c>
      <c r="S296" s="11">
        <f>IF(הפחתה5[[#This Row],[יתרת
סגירה]]&gt;0,LastRow2-ROW(),0)</f>
        <v>7</v>
      </c>
      <c r="T296" s="11">
        <f>ROWS($T$4:T296)</f>
        <v>293</v>
      </c>
      <c r="U296" s="12">
        <f ca="1">IF(ValuesEntered3,IF(הפחתה7[[#This Row],[מס'']]&lt;=תקופת_ההלוואה3,IF(ROW()-ROW(הפחתה7[[#Headers],[תאריך]])=1,LoanStart3,IF(AA295&gt;0,EDATE(U295,1),"")),""),"")</f>
        <v>54507</v>
      </c>
      <c r="V296" s="13">
        <f ca="1">IF(ROW()-ROW(הפחתה7[[#Headers],[יתרת פתיחה]])=1,סכום_הלוואה3,IF(הפחתה7[[#This Row],[תאריך]]="",0,INDEX(הפחתה7[], ROW()-4,8)))</f>
        <v>5689.5995350024787</v>
      </c>
      <c r="W296" s="13">
        <f ca="1">IF(ValuesEntered3,IF(ROW()-ROW(הפחתה7[[#Headers],[ריבית]])=1,-IPMT(שיעור_ריבית3/12,1,תקופת_ההלוואה3-ROWS($C$4:U296)+1,הפחתה7[[#This Row],[יתרת פתיחה]]),IFERROR(-IPMT(שיעור_ריבית3/12,1,הפחתה7[[#This Row],[תשלומים
שנותרו]],V297),0)),0)</f>
        <v>9.569225750404561</v>
      </c>
      <c r="X296" s="13">
        <f ca="1">IFERROR(IF(AND(ValuesEntered3,הפחתה7[[#This Row],[תאריך]]&lt;&gt;""),-PPMT(שיעור_ריבית3/12,1,תקופת_ההלוואה3-ROWS($C$4:U296)+1,הפחתה7[[#This Row],[יתרת פתיחה]]),""),0)</f>
        <v>706.44267894394352</v>
      </c>
      <c r="Y296" s="13">
        <f ca="1">(הפחתה7[[#This Row],[יתרת פתיחה]])*(מדד3/12)</f>
        <v>9.4826658916707984</v>
      </c>
      <c r="Z296" s="13">
        <f ca="1">IF(הפחתה7[[#This Row],[תאריך]]="",0,הפחתה7[[#This Row],[ריבית]]+הפחתה7[[#This Row],[קרן]]+הפחתה7[[#This Row],[מדד]])</f>
        <v>725.49457058601888</v>
      </c>
      <c r="AA296" s="13">
        <f ca="1">IF(הפחתה7[[#This Row],[תאריך]]="",0,הפחתה7[[#This Row],[יתרת פתיחה]]-הפחתה7[[#This Row],[קרן]]+הפחתה7[[#This Row],[מדד]])</f>
        <v>4992.6395219502056</v>
      </c>
      <c r="AB296" s="11">
        <f ca="1">IF(הפחתה7[[#This Row],[יתרת
סגירה]]&gt;0,LastRow3-ROW(),0)</f>
        <v>7</v>
      </c>
      <c r="AC296" s="17">
        <f>ROWS($AC$4:AC296)</f>
        <v>293</v>
      </c>
      <c r="AD296" s="18" t="str">
        <f ca="1">IF(ValuesEntered4,IF(הפחתה8[[#This Row],[מס'']]&lt;=תקופת_ההלוואה4,IF(ROW()-ROW(הפחתה8[[#Headers],[תאריך]])=1,LoanStart4,IF(AJ295&gt;0,EDATE(AD295,1),"")),""),"")</f>
        <v/>
      </c>
      <c r="AE296" s="19">
        <f ca="1">IF(ROW()-ROW(הפחתה8[[#Headers],[יתרת פתיחה]])=1,סכום_הלוואה4,IF(הפחתה8[[#This Row],[תאריך]]="",0,INDEX(הפחתה8[], ROW()-4,8)))</f>
        <v>0</v>
      </c>
      <c r="AF296" s="19">
        <f ca="1">IF(ValuesEntered4,IF(ROW()-ROW(הפחתה8[[#Headers],[ריבית]])=1,-IPMT(שיעור_ריבית4/12,1,תקופת_ההלוואה4-ROWS($C$4:AD296)+1,הפחתה8[[#This Row],[יתרת פתיחה]]),IFERROR(-IPMT(שיעור_ריבית4/12,1,הפחתה8[[#This Row],[תשלומים
שנותרו]],AE297),0)),0)</f>
        <v>0</v>
      </c>
      <c r="AG296" s="19" t="str">
        <f ca="1">IFERROR(IF(AND(ValuesEntered4,הפחתה8[[#This Row],[תאריך]]&lt;&gt;""),-PPMT(שיעור_ריבית4/12,1,תקופת_ההלוואה4-ROWS($C$4:AD296)+1,הפחתה8[[#This Row],[יתרת פתיחה]]),""),0)</f>
        <v/>
      </c>
      <c r="AH296" s="19">
        <f ca="1">(הפחתה8[[#This Row],[יתרת פתיחה]])*(מדד4/12)</f>
        <v>0</v>
      </c>
      <c r="AI296" s="19">
        <f ca="1">IF(הפחתה8[[#This Row],[תאריך]]="",0,הפחתה8[[#This Row],[ריבית]]+הפחתה8[[#This Row],[קרן]]+הפחתה8[[#This Row],[מדד]])</f>
        <v>0</v>
      </c>
      <c r="AJ296" s="19">
        <f ca="1">IF(הפחתה8[[#This Row],[תאריך]]="",0,הפחתה8[[#This Row],[יתרת פתיחה]]-הפחתה8[[#This Row],[קרן]])</f>
        <v>0</v>
      </c>
      <c r="AK296" s="20">
        <f ca="1">IF(הפחתה8[[#This Row],[יתרת
סגירה]]&gt;0,LastRow4-ROW(),0)</f>
        <v>0</v>
      </c>
    </row>
    <row r="297" spans="1:37" ht="15" customHeight="1" x14ac:dyDescent="0.25">
      <c r="A297" s="8"/>
      <c r="B297" s="11">
        <f>ROWS($B$4:B297)</f>
        <v>294</v>
      </c>
      <c r="C297" s="12">
        <f>IF(ValuesEntered,IF(הפחתה[[#This Row],[מס'']]&lt;=תקופת_ההלוואה,IF(ROW()-ROW(הפחתה[[#Headers],[תאריך]])=1,LoanStart,IF(I296&gt;0,EDATE(C296,1),"")),""),"")</f>
        <v>54302</v>
      </c>
      <c r="D297" s="13">
        <f>IF(ROW()-ROW(הפחתה[[#Headers],[יתרת פתיחה]])=1,סכום_הלוואה,IF(הפחתה[[#This Row],[תאריך]]="",0,INDEX(הפחתה[], ROW()-4,8)))</f>
        <v>192868.14930374871</v>
      </c>
      <c r="E297" s="13">
        <f>IF(ValuesEntered,IF(ROW()-ROW(הפחתה[[#Headers],[ריבית]])=1,-IPMT(שיעור_ריבית/12,1,תקופת_ההלוואה-ROWS($C$4:C297)+1,הפחתה[[#This Row],[יתרת פתיחה]]),IFERROR(-IPMT(שיעור_ריבית/12,1,הפחתה[[#This Row],[תשלומים
שנותרו]],D298),0)),0)</f>
        <v>840.88102107659313</v>
      </c>
      <c r="F297" s="13">
        <f>IFERROR(IF(AND(ValuesEntered,הפחתה[[#This Row],[תאריך]]&lt;&gt;""),-PPMT(שיעור_ריבית/12,1,תקופת_ההלוואה-ROWS($C$4:C297)+1,הפחתה[[#This Row],[יתרת פתיחה]]),""),0)</f>
        <v>2479.9935882936616</v>
      </c>
      <c r="G297" s="13">
        <f>(הפחתה[[#This Row],[יתרת פתיחה]])*(מדד/12)</f>
        <v>0</v>
      </c>
      <c r="H297" s="13">
        <f>IF(הפחתה[[#This Row],[תאריך]]="",0,הפחתה[[#This Row],[ריבית]]+הפחתה[[#This Row],[קרן]]+הפחתה[[#This Row],[מדד]])</f>
        <v>3320.8746093702548</v>
      </c>
      <c r="I297" s="13">
        <f>IF(הפחתה[[#This Row],[תאריך]]="",0,הפחתה[[#This Row],[יתרת פתיחה]]-הפחתה[[#This Row],[קרן]]+הפחתה[[#This Row],[מדד]])</f>
        <v>190388.15571545504</v>
      </c>
      <c r="J297" s="11">
        <f>IF(הפחתה[[#This Row],[יתרת
סגירה]]&gt;0,LastRow-ROW(),0)</f>
        <v>66</v>
      </c>
      <c r="K297" s="11">
        <f>ROWS($K$4:K297)</f>
        <v>294</v>
      </c>
      <c r="L297" s="12">
        <f>IF(ValuesEntered2,IF(הפחתה5[[#This Row],[מס'']]&lt;=תקופת_ההלוואה2,IF(ROW()-ROW(הפחתה5[[#Headers],[תאריך]])=1,LoanStart2,IF(R296&gt;0,EDATE(L296,1),"")),""),"")</f>
        <v>54302</v>
      </c>
      <c r="M297" s="13">
        <f>IF(ROW()-ROW(הפחתה5[[#Headers],[יתרת פתיחה]])=1,סכום_הלוואה2,IF(הפחתה5[[#This Row],[תאריך]]="",0,INDEX(הפחתה5[], ROW()-4,8)))</f>
        <v>11727.69857588677</v>
      </c>
      <c r="N297" s="13">
        <f>IF(ValuesEntered2,IF(ROW()-ROW(הפחתה5[[#Headers],[ריבית]])=1,-IPMT(שיעור_ריבית2/12,1,תקופת_ההלוואה2-ROWS($L$4:L297)+1,הפחתה5[[#This Row],[יתרת פתיחה]]),IFERROR(-IPMT(שיעור_ריבית2/12,1,הפחתה5[[#This Row],[תשלומים
שנותרו]],M298),0)),0)</f>
        <v>39.448260286601432</v>
      </c>
      <c r="O297" s="13">
        <f>IFERROR(IF(AND(ValuesEntered2,הפחתה5[[#This Row],[תאריך]]&lt;&gt;""),-PPMT(שיעור_ריבית2/12,1,תקופת_ההלוואה2-ROWS($L$4:L297)+1,הפחתה5[[#This Row],[יתרת פתיחה]]),""),0)</f>
        <v>1655.8023324991693</v>
      </c>
      <c r="P297" s="13">
        <f>(הפחתה5[[#This Row],[יתרת פתיחה]])*(מדד2/12)</f>
        <v>0</v>
      </c>
      <c r="Q297" s="13">
        <f>IF(הפחתה5[[#This Row],[תאריך]]="",0,הפחתה5[[#This Row],[ריבית]]+הפחתה5[[#This Row],[קרן]]+הפחתה5[[#This Row],[מדד]])</f>
        <v>1695.2505927857708</v>
      </c>
      <c r="R297" s="13">
        <f>IF(הפחתה5[[#This Row],[תאריך]]="",0,הפחתה5[[#This Row],[יתרת פתיחה]]-הפחתה5[[#This Row],[קרן]]+הפחתה5[[#This Row],[מדד]])</f>
        <v>10071.8962433876</v>
      </c>
      <c r="S297" s="11">
        <f>IF(הפחתה5[[#This Row],[יתרת
סגירה]]&gt;0,LastRow2-ROW(),0)</f>
        <v>6</v>
      </c>
      <c r="T297" s="11">
        <f>ROWS($T$4:T297)</f>
        <v>294</v>
      </c>
      <c r="U297" s="12">
        <f ca="1">IF(ValuesEntered3,IF(הפחתה7[[#This Row],[מס'']]&lt;=תקופת_ההלוואה3,IF(ROW()-ROW(הפחתה7[[#Headers],[תאריך]])=1,LoanStart3,IF(AA296&gt;0,EDATE(U296,1),"")),""),"")</f>
        <v>54538</v>
      </c>
      <c r="V297" s="13">
        <f ca="1">IF(ROW()-ROW(הפחתה7[[#Headers],[יתרת פתיחה]])=1,סכום_הלוואה3,IF(הפחתה7[[#This Row],[תאריך]]="",0,INDEX(הפחתה7[], ROW()-4,8)))</f>
        <v>4992.6395219502056</v>
      </c>
      <c r="W297" s="13">
        <f ca="1">IF(ValuesEntered3,IF(ROW()-ROW(הפחתה7[[#Headers],[ריבית]])=1,-IPMT(שיעור_ריבית3/12,1,תקופת_ההלוואה3-ROWS($C$4:U297)+1,הפחתה7[[#This Row],[יתרת פתיחה]]),IFERROR(-IPMT(שיעור_ריבית3/12,1,הפחתה7[[#This Row],[תשלומים
שנותרו]],V298),0)),0)</f>
        <v>8.2259825768766994</v>
      </c>
      <c r="X297" s="13">
        <f ca="1">IFERROR(IF(AND(ValuesEntered3,הפחתה7[[#This Row],[תאריך]]&lt;&gt;""),-PPMT(שיעור_ריבית3/12,1,תקופת_ההלוואה3-ROWS($C$4:U297)+1,הפחתה7[[#This Row],[יתרת פתיחה]]),""),0)</f>
        <v>709.14359118880157</v>
      </c>
      <c r="Y297" s="13">
        <f ca="1">(הפחתה7[[#This Row],[יתרת פתיחה]])*(מדד3/12)</f>
        <v>8.3210658699170104</v>
      </c>
      <c r="Z297" s="13">
        <f ca="1">IF(הפחתה7[[#This Row],[תאריך]]="",0,הפחתה7[[#This Row],[ריבית]]+הפחתה7[[#This Row],[קרן]]+הפחתה7[[#This Row],[מדד]])</f>
        <v>725.69063963559529</v>
      </c>
      <c r="AA297" s="13">
        <f ca="1">IF(הפחתה7[[#This Row],[תאריך]]="",0,הפחתה7[[#This Row],[יתרת פתיחה]]-הפחתה7[[#This Row],[קרן]]+הפחתה7[[#This Row],[מדד]])</f>
        <v>4291.8169966313217</v>
      </c>
      <c r="AB297" s="11">
        <f ca="1">IF(הפחתה7[[#This Row],[יתרת
סגירה]]&gt;0,LastRow3-ROW(),0)</f>
        <v>6</v>
      </c>
      <c r="AC297" s="17">
        <f>ROWS($AC$4:AC297)</f>
        <v>294</v>
      </c>
      <c r="AD297" s="18" t="str">
        <f ca="1">IF(ValuesEntered4,IF(הפחתה8[[#This Row],[מס'']]&lt;=תקופת_ההלוואה4,IF(ROW()-ROW(הפחתה8[[#Headers],[תאריך]])=1,LoanStart4,IF(AJ296&gt;0,EDATE(AD296,1),"")),""),"")</f>
        <v/>
      </c>
      <c r="AE297" s="19">
        <f ca="1">IF(ROW()-ROW(הפחתה8[[#Headers],[יתרת פתיחה]])=1,סכום_הלוואה4,IF(הפחתה8[[#This Row],[תאריך]]="",0,INDEX(הפחתה8[], ROW()-4,8)))</f>
        <v>0</v>
      </c>
      <c r="AF297" s="19">
        <f ca="1">IF(ValuesEntered4,IF(ROW()-ROW(הפחתה8[[#Headers],[ריבית]])=1,-IPMT(שיעור_ריבית4/12,1,תקופת_ההלוואה4-ROWS($C$4:AD297)+1,הפחתה8[[#This Row],[יתרת פתיחה]]),IFERROR(-IPMT(שיעור_ריבית4/12,1,הפחתה8[[#This Row],[תשלומים
שנותרו]],AE298),0)),0)</f>
        <v>0</v>
      </c>
      <c r="AG297" s="19" t="str">
        <f ca="1">IFERROR(IF(AND(ValuesEntered4,הפחתה8[[#This Row],[תאריך]]&lt;&gt;""),-PPMT(שיעור_ריבית4/12,1,תקופת_ההלוואה4-ROWS($C$4:AD297)+1,הפחתה8[[#This Row],[יתרת פתיחה]]),""),0)</f>
        <v/>
      </c>
      <c r="AH297" s="19">
        <f ca="1">(הפחתה8[[#This Row],[יתרת פתיחה]])*(מדד4/12)</f>
        <v>0</v>
      </c>
      <c r="AI297" s="19">
        <f ca="1">IF(הפחתה8[[#This Row],[תאריך]]="",0,הפחתה8[[#This Row],[ריבית]]+הפחתה8[[#This Row],[קרן]]+הפחתה8[[#This Row],[מדד]])</f>
        <v>0</v>
      </c>
      <c r="AJ297" s="19">
        <f ca="1">IF(הפחתה8[[#This Row],[תאריך]]="",0,הפחתה8[[#This Row],[יתרת פתיחה]]-הפחתה8[[#This Row],[קרן]])</f>
        <v>0</v>
      </c>
      <c r="AK297" s="20">
        <f ca="1">IF(הפחתה8[[#This Row],[יתרת
סגירה]]&gt;0,LastRow4-ROW(),0)</f>
        <v>0</v>
      </c>
    </row>
    <row r="298" spans="1:37" ht="15" customHeight="1" x14ac:dyDescent="0.25">
      <c r="A298" s="8"/>
      <c r="B298" s="11">
        <f>ROWS($B$4:B298)</f>
        <v>295</v>
      </c>
      <c r="C298" s="12">
        <f>IF(ValuesEntered,IF(הפחתה[[#This Row],[מס'']]&lt;=תקופת_ההלוואה,IF(ROW()-ROW(הפחתה[[#Headers],[תאריך]])=1,LoanStart,IF(I297&gt;0,EDATE(C297,1),"")),""),"")</f>
        <v>54332</v>
      </c>
      <c r="D298" s="13">
        <f>IF(ROW()-ROW(הפחתה[[#Headers],[יתרת פתיחה]])=1,סכום_הלוואה,IF(הפחתה[[#This Row],[תאריך]]="",0,INDEX(הפחתה[], ROW()-4,8)))</f>
        <v>190388.15571545504</v>
      </c>
      <c r="E298" s="13">
        <f>IF(ValuesEntered,IF(ROW()-ROW(הפחתה[[#Headers],[ריבית]])=1,-IPMT(שיעור_ריבית/12,1,תקופת_ההלוואה-ROWS($C$4:C298)+1,הפחתה[[#This Row],[יתרת פתיחה]]),IFERROR(-IPMT(שיעור_ריבית/12,1,הפחתה[[#This Row],[תשלומים
שנותרו]],D299),0)),0)</f>
        <v>829.87933896447998</v>
      </c>
      <c r="F298" s="13">
        <f>IFERROR(IF(AND(ValuesEntered,הפחתה[[#This Row],[תאריך]]&lt;&gt;""),-PPMT(שיעור_ריבית/12,1,תקופת_ההלוואה-ROWS($C$4:C298)+1,הפחתה[[#This Row],[יתרת פתיחה]]),""),0)</f>
        <v>2490.9468933086255</v>
      </c>
      <c r="G298" s="13">
        <f>(הפחתה[[#This Row],[יתרת פתיחה]])*(מדד/12)</f>
        <v>0</v>
      </c>
      <c r="H298" s="13">
        <f>IF(הפחתה[[#This Row],[תאריך]]="",0,הפחתה[[#This Row],[ריבית]]+הפחתה[[#This Row],[קרן]]+הפחתה[[#This Row],[מדד]])</f>
        <v>3320.8262322731052</v>
      </c>
      <c r="I298" s="13">
        <f>IF(הפחתה[[#This Row],[תאריך]]="",0,הפחתה[[#This Row],[יתרת פתיחה]]-הפחתה[[#This Row],[קרן]]+הפחתה[[#This Row],[מדד]])</f>
        <v>187897.20882214641</v>
      </c>
      <c r="J298" s="11">
        <f>IF(הפחתה[[#This Row],[יתרת
סגירה]]&gt;0,LastRow-ROW(),0)</f>
        <v>65</v>
      </c>
      <c r="K298" s="11">
        <f>ROWS($K$4:K298)</f>
        <v>295</v>
      </c>
      <c r="L298" s="12">
        <f>IF(ValuesEntered2,IF(הפחתה5[[#This Row],[מס'']]&lt;=תקופת_ההלוואה2,IF(ROW()-ROW(הפחתה5[[#Headers],[תאריך]])=1,LoanStart2,IF(R297&gt;0,EDATE(L297,1),"")),""),"")</f>
        <v>54332</v>
      </c>
      <c r="M298" s="13">
        <f>IF(ROW()-ROW(הפחתה5[[#Headers],[יתרת פתיחה]])=1,סכום_הלוואה2,IF(הפחתה5[[#This Row],[תאריך]]="",0,INDEX(הפחתה5[], ROW()-4,8)))</f>
        <v>10071.8962433876</v>
      </c>
      <c r="N298" s="13">
        <f>IF(ValuesEntered2,IF(ROW()-ROW(הפחתה5[[#Headers],[ריבית]])=1,-IPMT(שיעור_ריבית2/12,1,תקופת_ההלוואה2-ROWS($L$4:L298)+1,הפחתה5[[#This Row],[יתרת פתיחה]]),IFERROR(-IPMT(שיעור_ריבית2/12,1,הפחתה5[[#This Row],[תשלומים
שנותרו]],M299),0)),0)</f>
        <v>32.937634016587388</v>
      </c>
      <c r="O298" s="13">
        <f>IFERROR(IF(AND(ValuesEntered2,הפחתה5[[#This Row],[תאריך]]&lt;&gt;""),-PPMT(שיעור_ריבית2/12,1,תקופת_ההלוואה2-ROWS($L$4:L298)+1,הפחתה5[[#This Row],[יתרת פתיחה]]),""),0)</f>
        <v>1662.2875583014577</v>
      </c>
      <c r="P298" s="13">
        <f>(הפחתה5[[#This Row],[יתרת פתיחה]])*(מדד2/12)</f>
        <v>0</v>
      </c>
      <c r="Q298" s="13">
        <f>IF(הפחתה5[[#This Row],[תאריך]]="",0,הפחתה5[[#This Row],[ריבית]]+הפחתה5[[#This Row],[קרן]]+הפחתה5[[#This Row],[מדד]])</f>
        <v>1695.2251923180452</v>
      </c>
      <c r="R298" s="13">
        <f>IF(הפחתה5[[#This Row],[תאריך]]="",0,הפחתה5[[#This Row],[יתרת פתיחה]]-הפחתה5[[#This Row],[קרן]]+הפחתה5[[#This Row],[מדד]])</f>
        <v>8409.6086850861429</v>
      </c>
      <c r="S298" s="11">
        <f>IF(הפחתה5[[#This Row],[יתרת
סגירה]]&gt;0,LastRow2-ROW(),0)</f>
        <v>5</v>
      </c>
      <c r="T298" s="11">
        <f>ROWS($T$4:T298)</f>
        <v>295</v>
      </c>
      <c r="U298" s="12">
        <f ca="1">IF(ValuesEntered3,IF(הפחתה7[[#This Row],[מס'']]&lt;=תקופת_ההלוואה3,IF(ROW()-ROW(הפחתה7[[#Headers],[תאריך]])=1,LoanStart3,IF(AA297&gt;0,EDATE(U297,1),"")),""),"")</f>
        <v>54568</v>
      </c>
      <c r="V298" s="13">
        <f ca="1">IF(ROW()-ROW(הפחתה7[[#Headers],[יתרת פתיחה]])=1,סכום_הלוואה3,IF(הפחתה7[[#This Row],[תאריך]]="",0,INDEX(הפחתה7[], ROW()-4,8)))</f>
        <v>4291.8169966313217</v>
      </c>
      <c r="W298" s="13">
        <f ca="1">IF(ValuesEntered3,IF(ROW()-ROW(הפחתה7[[#Headers],[ריבית]])=1,-IPMT(שיעור_ריבית3/12,1,תקופת_ההלוואה3-ROWS($C$4:U298)+1,הפחתה7[[#This Row],[יתרת פתיחה]]),IFERROR(-IPMT(שיעור_ריבית3/12,1,הפחתה7[[#This Row],[תשלומים
שנותרו]],V299),0)),0)</f>
        <v>6.8752501370493926</v>
      </c>
      <c r="X298" s="13">
        <f ca="1">IFERROR(IF(AND(ValuesEntered3,הפחתה7[[#This Row],[תאריך]]&lt;&gt;""),-PPMT(שיעור_ריבית3/12,1,תקופת_ההלוואה3-ROWS($C$4:U298)+1,הפחתה7[[#This Row],[יתרת פתיחה]]),""),0)</f>
        <v>711.88299693326996</v>
      </c>
      <c r="Y298" s="13">
        <f ca="1">(הפחתה7[[#This Row],[יתרת פתיחה]])*(מדד3/12)</f>
        <v>7.1530283277188698</v>
      </c>
      <c r="Z298" s="13">
        <f ca="1">IF(הפחתה7[[#This Row],[תאריך]]="",0,הפחתה7[[#This Row],[ריבית]]+הפחתה7[[#This Row],[קרן]]+הפחתה7[[#This Row],[מדד]])</f>
        <v>725.91127539803824</v>
      </c>
      <c r="AA298" s="13">
        <f ca="1">IF(הפחתה7[[#This Row],[תאריך]]="",0,הפחתה7[[#This Row],[יתרת פתיחה]]-הפחתה7[[#This Row],[קרן]]+הפחתה7[[#This Row],[מדד]])</f>
        <v>3587.0870280257705</v>
      </c>
      <c r="AB298" s="11">
        <f ca="1">IF(הפחתה7[[#This Row],[יתרת
סגירה]]&gt;0,LastRow3-ROW(),0)</f>
        <v>5</v>
      </c>
      <c r="AC298" s="17">
        <f>ROWS($AC$4:AC298)</f>
        <v>295</v>
      </c>
      <c r="AD298" s="18" t="str">
        <f ca="1">IF(ValuesEntered4,IF(הפחתה8[[#This Row],[מס'']]&lt;=תקופת_ההלוואה4,IF(ROW()-ROW(הפחתה8[[#Headers],[תאריך]])=1,LoanStart4,IF(AJ297&gt;0,EDATE(AD297,1),"")),""),"")</f>
        <v/>
      </c>
      <c r="AE298" s="19">
        <f ca="1">IF(ROW()-ROW(הפחתה8[[#Headers],[יתרת פתיחה]])=1,סכום_הלוואה4,IF(הפחתה8[[#This Row],[תאריך]]="",0,INDEX(הפחתה8[], ROW()-4,8)))</f>
        <v>0</v>
      </c>
      <c r="AF298" s="19">
        <f ca="1">IF(ValuesEntered4,IF(ROW()-ROW(הפחתה8[[#Headers],[ריבית]])=1,-IPMT(שיעור_ריבית4/12,1,תקופת_ההלוואה4-ROWS($C$4:AD298)+1,הפחתה8[[#This Row],[יתרת פתיחה]]),IFERROR(-IPMT(שיעור_ריבית4/12,1,הפחתה8[[#This Row],[תשלומים
שנותרו]],AE299),0)),0)</f>
        <v>0</v>
      </c>
      <c r="AG298" s="19" t="str">
        <f ca="1">IFERROR(IF(AND(ValuesEntered4,הפחתה8[[#This Row],[תאריך]]&lt;&gt;""),-PPMT(שיעור_ריבית4/12,1,תקופת_ההלוואה4-ROWS($C$4:AD298)+1,הפחתה8[[#This Row],[יתרת פתיחה]]),""),0)</f>
        <v/>
      </c>
      <c r="AH298" s="19">
        <f ca="1">(הפחתה8[[#This Row],[יתרת פתיחה]])*(מדד4/12)</f>
        <v>0</v>
      </c>
      <c r="AI298" s="19">
        <f ca="1">IF(הפחתה8[[#This Row],[תאריך]]="",0,הפחתה8[[#This Row],[ריבית]]+הפחתה8[[#This Row],[קרן]]+הפחתה8[[#This Row],[מדד]])</f>
        <v>0</v>
      </c>
      <c r="AJ298" s="19">
        <f ca="1">IF(הפחתה8[[#This Row],[תאריך]]="",0,הפחתה8[[#This Row],[יתרת פתיחה]]-הפחתה8[[#This Row],[קרן]])</f>
        <v>0</v>
      </c>
      <c r="AK298" s="20">
        <f ca="1">IF(הפחתה8[[#This Row],[יתרת
סגירה]]&gt;0,LastRow4-ROW(),0)</f>
        <v>0</v>
      </c>
    </row>
    <row r="299" spans="1:37" ht="15" customHeight="1" x14ac:dyDescent="0.25">
      <c r="A299" s="8"/>
      <c r="B299" s="11">
        <f>ROWS($B$4:B299)</f>
        <v>296</v>
      </c>
      <c r="C299" s="12">
        <f>IF(ValuesEntered,IF(הפחתה[[#This Row],[מס'']]&lt;=תקופת_ההלוואה,IF(ROW()-ROW(הפחתה[[#Headers],[תאריך]])=1,LoanStart,IF(I298&gt;0,EDATE(C298,1),"")),""),"")</f>
        <v>54363</v>
      </c>
      <c r="D299" s="13">
        <f>IF(ROW()-ROW(הפחתה[[#Headers],[יתרת פתיחה]])=1,סכום_הלוואה,IF(הפחתה[[#This Row],[תאריך]]="",0,INDEX(הפחתה[], ROW()-4,8)))</f>
        <v>187897.20882214641</v>
      </c>
      <c r="E299" s="13">
        <f>IF(ValuesEntered,IF(ROW()-ROW(הפחתה[[#Headers],[ריבית]])=1,-IPMT(שיעור_ריבית/12,1,תקופת_ההלוואה-ROWS($C$4:C299)+1,הפחתה[[#This Row],[יתרת פתיחה]]),IFERROR(-IPMT(שיעור_ריבית/12,1,הפחתה[[#This Row],[תשלומים
שנותרו]],D300),0)),0)</f>
        <v>818.82906608970507</v>
      </c>
      <c r="F299" s="13">
        <f>IFERROR(IF(AND(ValuesEntered,הפחתה[[#This Row],[תאריך]]&lt;&gt;""),-PPMT(שיעור_ריבית/12,1,תקופת_ההלוואה-ROWS($C$4:C299)+1,הפחתה[[#This Row],[יתרת פתיחה]]),""),0)</f>
        <v>2501.9485754207385</v>
      </c>
      <c r="G299" s="13">
        <f>(הפחתה[[#This Row],[יתרת פתיחה]])*(מדד/12)</f>
        <v>0</v>
      </c>
      <c r="H299" s="13">
        <f>IF(הפחתה[[#This Row],[תאריך]]="",0,הפחתה[[#This Row],[ריבית]]+הפחתה[[#This Row],[קרן]]+הפחתה[[#This Row],[מדד]])</f>
        <v>3320.7776415104436</v>
      </c>
      <c r="I299" s="13">
        <f>IF(הפחתה[[#This Row],[תאריך]]="",0,הפחתה[[#This Row],[יתרת פתיחה]]-הפחתה[[#This Row],[קרן]]+הפחתה[[#This Row],[מדד]])</f>
        <v>185395.26024672567</v>
      </c>
      <c r="J299" s="11">
        <f>IF(הפחתה[[#This Row],[יתרת
סגירה]]&gt;0,LastRow-ROW(),0)</f>
        <v>64</v>
      </c>
      <c r="K299" s="11">
        <f>ROWS($K$4:K299)</f>
        <v>296</v>
      </c>
      <c r="L299" s="12">
        <f>IF(ValuesEntered2,IF(הפחתה5[[#This Row],[מס'']]&lt;=תקופת_ההלוואה2,IF(ROW()-ROW(הפחתה5[[#Headers],[תאריך]])=1,LoanStart2,IF(R298&gt;0,EDATE(L298,1),"")),""),"")</f>
        <v>54363</v>
      </c>
      <c r="M299" s="13">
        <f>IF(ROW()-ROW(הפחתה5[[#Headers],[יתרת פתיחה]])=1,סכום_הלוואה2,IF(הפחתה5[[#This Row],[תאריך]]="",0,INDEX(הפחתה5[], ROW()-4,8)))</f>
        <v>8409.6086850861429</v>
      </c>
      <c r="N299" s="13">
        <f>IF(ValuesEntered2,IF(ROW()-ROW(הפחתה5[[#Headers],[ריבית]])=1,-IPMT(שיעור_ריבית2/12,1,תקופת_ההלוואה2-ROWS($L$4:L299)+1,הפחתה5[[#This Row],[יתרת פתיחה]]),IFERROR(-IPMT(שיעור_ריבית2/12,1,הפחתה5[[#This Row],[תשלומים
שנותרו]],M300),0)),0)</f>
        <v>26.401507793682459</v>
      </c>
      <c r="O299" s="13">
        <f>IFERROR(IF(AND(ValuesEntered2,הפחתה5[[#This Row],[תאריך]]&lt;&gt;""),-PPMT(שיעור_ריבית2/12,1,תקופת_ההלוואה2-ROWS($L$4:L299)+1,הפחתה5[[#This Row],[יתרת פתיחה]]),""),0)</f>
        <v>1668.7981845714721</v>
      </c>
      <c r="P299" s="13">
        <f>(הפחתה5[[#This Row],[יתרת פתיחה]])*(מדד2/12)</f>
        <v>0</v>
      </c>
      <c r="Q299" s="13">
        <f>IF(הפחתה5[[#This Row],[תאריך]]="",0,הפחתה5[[#This Row],[ריבית]]+הפחתה5[[#This Row],[קרן]]+הפחתה5[[#This Row],[מדד]])</f>
        <v>1695.1996923651545</v>
      </c>
      <c r="R299" s="13">
        <f>IF(הפחתה5[[#This Row],[תאריך]]="",0,הפחתה5[[#This Row],[יתרת פתיחה]]-הפחתה5[[#This Row],[קרן]]+הפחתה5[[#This Row],[מדד]])</f>
        <v>6740.8105005146708</v>
      </c>
      <c r="S299" s="11">
        <f>IF(הפחתה5[[#This Row],[יתרת
סגירה]]&gt;0,LastRow2-ROW(),0)</f>
        <v>4</v>
      </c>
      <c r="T299" s="11">
        <f>ROWS($T$4:T299)</f>
        <v>296</v>
      </c>
      <c r="U299" s="12">
        <f ca="1">IF(ValuesEntered3,IF(הפחתה7[[#This Row],[מס'']]&lt;=תקופת_ההלוואה3,IF(ROW()-ROW(הפחתה7[[#Headers],[תאריך]])=1,LoanStart3,IF(AA298&gt;0,EDATE(U298,1),"")),""),"")</f>
        <v>54599</v>
      </c>
      <c r="V299" s="13">
        <f ca="1">IF(ROW()-ROW(הפחתה7[[#Headers],[יתרת פתיחה]])=1,סכום_הלוואה3,IF(הפחתה7[[#This Row],[תאריך]]="",0,INDEX(הפחתה7[], ROW()-4,8)))</f>
        <v>3587.0870280257705</v>
      </c>
      <c r="W299" s="13">
        <f ca="1">IF(ValuesEntered3,IF(ROW()-ROW(הפחתה7[[#Headers],[ריבית]])=1,-IPMT(שיעור_ריבית3/12,1,תקופת_ההלוואה3-ROWS($C$4:U299)+1,הפחתה7[[#This Row],[יתרת פתיחה]]),IFERROR(-IPMT(שיעור_ריבית3/12,1,הפחתה7[[#This Row],[תשלומים
שנותרו]],V300),0)),0)</f>
        <v>5.5169197918604134</v>
      </c>
      <c r="X299" s="13">
        <f ca="1">IFERROR(IF(AND(ValuesEntered3,הפחתה7[[#This Row],[תאריך]]&lt;&gt;""),-PPMT(שיעור_ריבית3/12,1,תקופת_ההלוואה3-ROWS($C$4:U299)+1,הפחתה7[[#This Row],[יתרת פתיחה]]),""),0)</f>
        <v>714.67257152211891</v>
      </c>
      <c r="Y299" s="13">
        <f ca="1">(הפחתה7[[#This Row],[יתרת פתיחה]])*(מדד3/12)</f>
        <v>5.9784783800429508</v>
      </c>
      <c r="Z299" s="13">
        <f ca="1">IF(הפחתה7[[#This Row],[תאריך]]="",0,הפחתה7[[#This Row],[ריבית]]+הפחתה7[[#This Row],[קרן]]+הפחתה7[[#This Row],[מדד]])</f>
        <v>726.1679696940223</v>
      </c>
      <c r="AA299" s="13">
        <f ca="1">IF(הפחתה7[[#This Row],[תאריך]]="",0,הפחתה7[[#This Row],[יתרת פתיחה]]-הפחתה7[[#This Row],[קרן]]+הפחתה7[[#This Row],[מדד]])</f>
        <v>2878.3929348836941</v>
      </c>
      <c r="AB299" s="11">
        <f ca="1">IF(הפחתה7[[#This Row],[יתרת
סגירה]]&gt;0,LastRow3-ROW(),0)</f>
        <v>4</v>
      </c>
      <c r="AC299" s="17">
        <f>ROWS($AC$4:AC299)</f>
        <v>296</v>
      </c>
      <c r="AD299" s="18" t="str">
        <f ca="1">IF(ValuesEntered4,IF(הפחתה8[[#This Row],[מס'']]&lt;=תקופת_ההלוואה4,IF(ROW()-ROW(הפחתה8[[#Headers],[תאריך]])=1,LoanStart4,IF(AJ298&gt;0,EDATE(AD298,1),"")),""),"")</f>
        <v/>
      </c>
      <c r="AE299" s="19">
        <f ca="1">IF(ROW()-ROW(הפחתה8[[#Headers],[יתרת פתיחה]])=1,סכום_הלוואה4,IF(הפחתה8[[#This Row],[תאריך]]="",0,INDEX(הפחתה8[], ROW()-4,8)))</f>
        <v>0</v>
      </c>
      <c r="AF299" s="19">
        <f ca="1">IF(ValuesEntered4,IF(ROW()-ROW(הפחתה8[[#Headers],[ריבית]])=1,-IPMT(שיעור_ריבית4/12,1,תקופת_ההלוואה4-ROWS($C$4:AD299)+1,הפחתה8[[#This Row],[יתרת פתיחה]]),IFERROR(-IPMT(שיעור_ריבית4/12,1,הפחתה8[[#This Row],[תשלומים
שנותרו]],AE300),0)),0)</f>
        <v>0</v>
      </c>
      <c r="AG299" s="19" t="str">
        <f ca="1">IFERROR(IF(AND(ValuesEntered4,הפחתה8[[#This Row],[תאריך]]&lt;&gt;""),-PPMT(שיעור_ריבית4/12,1,תקופת_ההלוואה4-ROWS($C$4:AD299)+1,הפחתה8[[#This Row],[יתרת פתיחה]]),""),0)</f>
        <v/>
      </c>
      <c r="AH299" s="19">
        <f ca="1">(הפחתה8[[#This Row],[יתרת פתיחה]])*(מדד4/12)</f>
        <v>0</v>
      </c>
      <c r="AI299" s="19">
        <f ca="1">IF(הפחתה8[[#This Row],[תאריך]]="",0,הפחתה8[[#This Row],[ריבית]]+הפחתה8[[#This Row],[קרן]]+הפחתה8[[#This Row],[מדד]])</f>
        <v>0</v>
      </c>
      <c r="AJ299" s="19">
        <f ca="1">IF(הפחתה8[[#This Row],[תאריך]]="",0,הפחתה8[[#This Row],[יתרת פתיחה]]-הפחתה8[[#This Row],[קרן]])</f>
        <v>0</v>
      </c>
      <c r="AK299" s="20">
        <f ca="1">IF(הפחתה8[[#This Row],[יתרת
סגירה]]&gt;0,LastRow4-ROW(),0)</f>
        <v>0</v>
      </c>
    </row>
    <row r="300" spans="1:37" ht="15" customHeight="1" x14ac:dyDescent="0.25">
      <c r="A300" s="8"/>
      <c r="B300" s="11">
        <f>ROWS($B$4:B300)</f>
        <v>297</v>
      </c>
      <c r="C300" s="12">
        <f>IF(ValuesEntered,IF(הפחתה[[#This Row],[מס'']]&lt;=תקופת_ההלוואה,IF(ROW()-ROW(הפחתה[[#Headers],[תאריך]])=1,LoanStart,IF(I299&gt;0,EDATE(C299,1),"")),""),"")</f>
        <v>54393</v>
      </c>
      <c r="D300" s="13">
        <f>IF(ROW()-ROW(הפחתה[[#Headers],[יתרת פתיחה]])=1,סכום_הלוואה,IF(הפחתה[[#This Row],[תאריך]]="",0,INDEX(הפחתה[], ROW()-4,8)))</f>
        <v>185395.26024672567</v>
      </c>
      <c r="E300" s="13">
        <f>IF(ValuesEntered,IF(ROW()-ROW(הפחתה[[#Headers],[ריבית]])=1,-IPMT(שיעור_ריבית/12,1,תקופת_ההלוואה-ROWS($C$4:C300)+1,הפחתה[[#This Row],[יתרת פתיחה]]),IFERROR(-IPMT(שיעור_ריבית/12,1,הפחתה[[#This Row],[תשלומים
שנותרו]],D301),0)),0)</f>
        <v>807.72998784306651</v>
      </c>
      <c r="F300" s="13">
        <f>IFERROR(IF(AND(ValuesEntered,הפחתה[[#This Row],[תאריך]]&lt;&gt;""),-PPMT(שיעור_ריבית/12,1,תקופת_ההלוואה-ROWS($C$4:C300)+1,הפחתה[[#This Row],[יתרת פתיחה]]),""),0)</f>
        <v>2512.9988482955137</v>
      </c>
      <c r="G300" s="13">
        <f>(הפחתה[[#This Row],[יתרת פתיחה]])*(מדד/12)</f>
        <v>0</v>
      </c>
      <c r="H300" s="13">
        <f>IF(הפחתה[[#This Row],[תאריך]]="",0,הפחתה[[#This Row],[ריבית]]+הפחתה[[#This Row],[קרן]]+הפחתה[[#This Row],[מדד]])</f>
        <v>3320.7288361385799</v>
      </c>
      <c r="I300" s="13">
        <f>IF(הפחתה[[#This Row],[תאריך]]="",0,הפחתה[[#This Row],[יתרת פתיחה]]-הפחתה[[#This Row],[קרן]]+הפחתה[[#This Row],[מדד]])</f>
        <v>182882.26139843016</v>
      </c>
      <c r="J300" s="11">
        <f>IF(הפחתה[[#This Row],[יתרת
סגירה]]&gt;0,LastRow-ROW(),0)</f>
        <v>63</v>
      </c>
      <c r="K300" s="11">
        <f>ROWS($K$4:K300)</f>
        <v>297</v>
      </c>
      <c r="L300" s="12">
        <f>IF(ValuesEntered2,IF(הפחתה5[[#This Row],[מס'']]&lt;=תקופת_ההלוואה2,IF(ROW()-ROW(הפחתה5[[#Headers],[תאריך]])=1,LoanStart2,IF(R299&gt;0,EDATE(L299,1),"")),""),"")</f>
        <v>54393</v>
      </c>
      <c r="M300" s="13">
        <f>IF(ROW()-ROW(הפחתה5[[#Headers],[יתרת פתיחה]])=1,סכום_הלוואה2,IF(הפחתה5[[#This Row],[תאריך]]="",0,INDEX(הפחתה5[], ROW()-4,8)))</f>
        <v>6740.8105005146708</v>
      </c>
      <c r="N300" s="13">
        <f>IF(ValuesEntered2,IF(ROW()-ROW(הפחתה5[[#Headers],[ריבית]])=1,-IPMT(שיעור_ריבית2/12,1,תקופת_ההלוואה2-ROWS($L$4:L300)+1,הפחתה5[[#This Row],[יתרת פתיחה]]),IFERROR(-IPMT(שיעור_ריבית2/12,1,הפחתה5[[#This Row],[תשלומים
שנותרו]],M301),0)),0)</f>
        <v>19.839781743071146</v>
      </c>
      <c r="O300" s="13">
        <f>IFERROR(IF(AND(ValuesEntered2,הפחתה5[[#This Row],[תאריך]]&lt;&gt;""),-PPMT(שיעור_ריבית2/12,1,תקופת_ההלוואה2-ROWS($L$4:L300)+1,הפחתה5[[#This Row],[יתרת פתיחה]]),""),0)</f>
        <v>1675.334310794377</v>
      </c>
      <c r="P300" s="13">
        <f>(הפחתה5[[#This Row],[יתרת פתיחה]])*(מדד2/12)</f>
        <v>0</v>
      </c>
      <c r="Q300" s="13">
        <f>IF(הפחתה5[[#This Row],[תאריך]]="",0,הפחתה5[[#This Row],[ריבית]]+הפחתה5[[#This Row],[קרן]]+הפחתה5[[#This Row],[מדד]])</f>
        <v>1695.1740925374481</v>
      </c>
      <c r="R300" s="13">
        <f>IF(הפחתה5[[#This Row],[תאריך]]="",0,הפחתה5[[#This Row],[יתרת פתיחה]]-הפחתה5[[#This Row],[קרן]]+הפחתה5[[#This Row],[מדד]])</f>
        <v>5065.4761897202934</v>
      </c>
      <c r="S300" s="11">
        <f>IF(הפחתה5[[#This Row],[יתרת
סגירה]]&gt;0,LastRow2-ROW(),0)</f>
        <v>3</v>
      </c>
      <c r="T300" s="11">
        <f>ROWS($T$4:T300)</f>
        <v>297</v>
      </c>
      <c r="U300" s="12">
        <f ca="1">IF(ValuesEntered3,IF(הפחתה7[[#This Row],[מס'']]&lt;=תקופת_ההלוואה3,IF(ROW()-ROW(הפחתה7[[#Headers],[תאריך]])=1,LoanStart3,IF(AA299&gt;0,EDATE(U299,1),"")),""),"")</f>
        <v>54629</v>
      </c>
      <c r="V300" s="13">
        <f ca="1">IF(ROW()-ROW(הפחתה7[[#Headers],[יתרת פתיחה]])=1,סכום_הלוואה3,IF(הפחתה7[[#This Row],[תאריך]]="",0,INDEX(הפחתה7[], ROW()-4,8)))</f>
        <v>2878.3929348836941</v>
      </c>
      <c r="W300" s="13">
        <f ca="1">IF(ValuesEntered3,IF(ROW()-ROW(הפחתה7[[#Headers],[ריבית]])=1,-IPMT(שיעור_ריבית3/12,1,תקופת_ההלוואה3-ROWS($C$4:U300)+1,הפחתה7[[#This Row],[יתרת פתיחה]]),IFERROR(-IPMT(שיעור_ריבית3/12,1,הפחתה7[[#This Row],[תשלומים
שנותרו]],V301),0)),0)</f>
        <v>4.1508436689407784</v>
      </c>
      <c r="X300" s="13">
        <f ca="1">IFERROR(IF(AND(ValuesEntered3,הפחתה7[[#This Row],[תאריך]]&lt;&gt;""),-PPMT(שיעור_ריבית3/12,1,תקופת_ההלוואה3-ROWS($C$4:U300)+1,הפחתה7[[#This Row],[יתרת פתיחה]]),""),0)</f>
        <v>717.53269003794901</v>
      </c>
      <c r="Y300" s="13">
        <f ca="1">(הפחתה7[[#This Row],[יתרת פתיחה]])*(מדד3/12)</f>
        <v>4.7973215581394903</v>
      </c>
      <c r="Z300" s="13">
        <f ca="1">IF(הפחתה7[[#This Row],[תאריך]]="",0,הפחתה7[[#This Row],[ריבית]]+הפחתה7[[#This Row],[קרן]]+הפחתה7[[#This Row],[מדד]])</f>
        <v>726.48085526502928</v>
      </c>
      <c r="AA300" s="13">
        <f ca="1">IF(הפחתה7[[#This Row],[תאריך]]="",0,הפחתה7[[#This Row],[יתרת פתיחה]]-הפחתה7[[#This Row],[קרן]]+הפחתה7[[#This Row],[מדד]])</f>
        <v>2165.6575664038846</v>
      </c>
      <c r="AB300" s="11">
        <f ca="1">IF(הפחתה7[[#This Row],[יתרת
סגירה]]&gt;0,LastRow3-ROW(),0)</f>
        <v>3</v>
      </c>
      <c r="AC300" s="17">
        <f>ROWS($AC$4:AC300)</f>
        <v>297</v>
      </c>
      <c r="AD300" s="18" t="str">
        <f ca="1">IF(ValuesEntered4,IF(הפחתה8[[#This Row],[מס'']]&lt;=תקופת_ההלוואה4,IF(ROW()-ROW(הפחתה8[[#Headers],[תאריך]])=1,LoanStart4,IF(AJ299&gt;0,EDATE(AD299,1),"")),""),"")</f>
        <v/>
      </c>
      <c r="AE300" s="19">
        <f ca="1">IF(ROW()-ROW(הפחתה8[[#Headers],[יתרת פתיחה]])=1,סכום_הלוואה4,IF(הפחתה8[[#This Row],[תאריך]]="",0,INDEX(הפחתה8[], ROW()-4,8)))</f>
        <v>0</v>
      </c>
      <c r="AF300" s="19">
        <f ca="1">IF(ValuesEntered4,IF(ROW()-ROW(הפחתה8[[#Headers],[ריבית]])=1,-IPMT(שיעור_ריבית4/12,1,תקופת_ההלוואה4-ROWS($C$4:AD300)+1,הפחתה8[[#This Row],[יתרת פתיחה]]),IFERROR(-IPMT(שיעור_ריבית4/12,1,הפחתה8[[#This Row],[תשלומים
שנותרו]],AE301),0)),0)</f>
        <v>0</v>
      </c>
      <c r="AG300" s="19" t="str">
        <f ca="1">IFERROR(IF(AND(ValuesEntered4,הפחתה8[[#This Row],[תאריך]]&lt;&gt;""),-PPMT(שיעור_ריבית4/12,1,תקופת_ההלוואה4-ROWS($C$4:AD300)+1,הפחתה8[[#This Row],[יתרת פתיחה]]),""),0)</f>
        <v/>
      </c>
      <c r="AH300" s="19">
        <f ca="1">(הפחתה8[[#This Row],[יתרת פתיחה]])*(מדד4/12)</f>
        <v>0</v>
      </c>
      <c r="AI300" s="19">
        <f ca="1">IF(הפחתה8[[#This Row],[תאריך]]="",0,הפחתה8[[#This Row],[ריבית]]+הפחתה8[[#This Row],[קרן]]+הפחתה8[[#This Row],[מדד]])</f>
        <v>0</v>
      </c>
      <c r="AJ300" s="19">
        <f ca="1">IF(הפחתה8[[#This Row],[תאריך]]="",0,הפחתה8[[#This Row],[יתרת פתיחה]]-הפחתה8[[#This Row],[קרן]])</f>
        <v>0</v>
      </c>
      <c r="AK300" s="20">
        <f ca="1">IF(הפחתה8[[#This Row],[יתרת
סגירה]]&gt;0,LastRow4-ROW(),0)</f>
        <v>0</v>
      </c>
    </row>
    <row r="301" spans="1:37" ht="15" customHeight="1" x14ac:dyDescent="0.25">
      <c r="A301" s="8"/>
      <c r="B301" s="11">
        <f>ROWS($B$4:B301)</f>
        <v>298</v>
      </c>
      <c r="C301" s="12">
        <f>IF(ValuesEntered,IF(הפחתה[[#This Row],[מס'']]&lt;=תקופת_ההלוואה,IF(ROW()-ROW(הפחתה[[#Headers],[תאריך]])=1,LoanStart,IF(I300&gt;0,EDATE(C300,1),"")),""),"")</f>
        <v>54424</v>
      </c>
      <c r="D301" s="13">
        <f>IF(ROW()-ROW(הפחתה[[#Headers],[יתרת פתיחה]])=1,סכום_הלוואה,IF(הפחתה[[#This Row],[תאריך]]="",0,INDEX(הפחתה[], ROW()-4,8)))</f>
        <v>182882.26139843016</v>
      </c>
      <c r="E301" s="13">
        <f>IF(ValuesEntered,IF(ROW()-ROW(הפחתה[[#Headers],[ריבית]])=1,-IPMT(שיעור_ריבית/12,1,תקופת_ההלוואה-ROWS($C$4:C301)+1,הפחתה[[#This Row],[יתרת פתיחה]]),IFERROR(-IPMT(שיעור_ריבית/12,1,הפחתה[[#This Row],[תשלומים
שנותרו]],D302),0)),0)</f>
        <v>796.58188866750538</v>
      </c>
      <c r="F301" s="13">
        <f>IFERROR(IF(AND(ValuesEntered,הפחתה[[#This Row],[תאריך]]&lt;&gt;""),-PPMT(שיעור_ריבית/12,1,תקופת_ההלוואה-ROWS($C$4:C301)+1,הפחתה[[#This Row],[יתרת פתיחה]]),""),0)</f>
        <v>2524.097926542152</v>
      </c>
      <c r="G301" s="13">
        <f>(הפחתה[[#This Row],[יתרת פתיחה]])*(מדד/12)</f>
        <v>0</v>
      </c>
      <c r="H301" s="13">
        <f>IF(הפחתה[[#This Row],[תאריך]]="",0,הפחתה[[#This Row],[ריבית]]+הפחתה[[#This Row],[קרן]]+הפחתה[[#This Row],[מדד]])</f>
        <v>3320.6798152096571</v>
      </c>
      <c r="I301" s="13">
        <f>IF(הפחתה[[#This Row],[תאריך]]="",0,הפחתה[[#This Row],[יתרת פתיחה]]-הפחתה[[#This Row],[קרן]]+הפחתה[[#This Row],[מדד]])</f>
        <v>180358.16347188799</v>
      </c>
      <c r="J301" s="11">
        <f>IF(הפחתה[[#This Row],[יתרת
סגירה]]&gt;0,LastRow-ROW(),0)</f>
        <v>62</v>
      </c>
      <c r="K301" s="11">
        <f>ROWS($K$4:K301)</f>
        <v>298</v>
      </c>
      <c r="L301" s="12">
        <f>IF(ValuesEntered2,IF(הפחתה5[[#This Row],[מס'']]&lt;=תקופת_ההלוואה2,IF(ROW()-ROW(הפחתה5[[#Headers],[תאריך]])=1,LoanStart2,IF(R300&gt;0,EDATE(L300,1),"")),""),"")</f>
        <v>54424</v>
      </c>
      <c r="M301" s="13">
        <f>IF(ROW()-ROW(הפחתה5[[#Headers],[יתרת פתיחה]])=1,סכום_הלוואה2,IF(הפחתה5[[#This Row],[תאריך]]="",0,INDEX(הפחתה5[], ROW()-4,8)))</f>
        <v>5065.4761897202934</v>
      </c>
      <c r="N301" s="13">
        <f>IF(ValuesEntered2,IF(ROW()-ROW(הפחתה5[[#Headers],[ריבית]])=1,-IPMT(שיעור_ריבית2/12,1,תקופת_ההלוואה2-ROWS($L$4:L301)+1,הפחתה5[[#This Row],[יתרת פתיחה]]),IFERROR(-IPMT(שיעור_ריבית2/12,1,הפחתה5[[#This Row],[תשלומים
שנותרו]],M302),0)),0)</f>
        <v>13.252355598761612</v>
      </c>
      <c r="O301" s="13">
        <f>IFERROR(IF(AND(ValuesEntered2,הפחתה5[[#This Row],[תאריך]]&lt;&gt;""),-PPMT(שיעור_ריבית2/12,1,תקופת_ההלוואה2-ROWS($L$4:L301)+1,הפחתה5[[#This Row],[יתרת פתיחה]]),""),0)</f>
        <v>1681.8960368449882</v>
      </c>
      <c r="P301" s="13">
        <f>(הפחתה5[[#This Row],[יתרת פתיחה]])*(מדד2/12)</f>
        <v>0</v>
      </c>
      <c r="Q301" s="13">
        <f>IF(הפחתה5[[#This Row],[תאריך]]="",0,הפחתה5[[#This Row],[ריבית]]+הפחתה5[[#This Row],[קרן]]+הפחתה5[[#This Row],[מדד]])</f>
        <v>1695.1483924437498</v>
      </c>
      <c r="R301" s="13">
        <f>IF(הפחתה5[[#This Row],[תאריך]]="",0,הפחתה5[[#This Row],[יתרת פתיחה]]-הפחתה5[[#This Row],[קרן]]+הפחתה5[[#This Row],[מדד]])</f>
        <v>3383.5801528753054</v>
      </c>
      <c r="S301" s="11">
        <f>IF(הפחתה5[[#This Row],[יתרת
סגירה]]&gt;0,LastRow2-ROW(),0)</f>
        <v>2</v>
      </c>
      <c r="T301" s="11">
        <f>ROWS($T$4:T301)</f>
        <v>298</v>
      </c>
      <c r="U301" s="12">
        <f ca="1">IF(ValuesEntered3,IF(הפחתה7[[#This Row],[מס'']]&lt;=תקופת_ההלוואה3,IF(ROW()-ROW(הפחתה7[[#Headers],[תאריך]])=1,LoanStart3,IF(AA300&gt;0,EDATE(U300,1),"")),""),"")</f>
        <v>54660</v>
      </c>
      <c r="V301" s="13">
        <f ca="1">IF(ROW()-ROW(הפחתה7[[#Headers],[יתרת פתיחה]])=1,סכום_הלוואה3,IF(הפחתה7[[#This Row],[תאריך]]="",0,INDEX(הפחתה7[], ROW()-4,8)))</f>
        <v>2165.6575664038846</v>
      </c>
      <c r="W301" s="13">
        <f ca="1">IF(ValuesEntered3,IF(ROW()-ROW(הפחתה7[[#Headers],[ריבית]])=1,-IPMT(שיעור_ריבית3/12,1,תקופת_ההלוואה3-ROWS($C$4:U301)+1,הפחתה7[[#This Row],[יתרת פתיחה]]),IFERROR(-IPMT(שיעור_ריבית3/12,1,הפחתה7[[#This Row],[תשלומים
שנותרו]],V302),0)),0)</f>
        <v>2.7767957279791258</v>
      </c>
      <c r="X301" s="13">
        <f ca="1">IFERROR(IF(AND(ValuesEntered3,הפחתה7[[#This Row],[תאריך]]&lt;&gt;""),-PPMT(שיעור_ריבית3/12,1,תקופת_ההלוואה3-ROWS($C$4:U301)+1,הפחתה7[[#This Row],[יתרת פתיחה]]),""),0)</f>
        <v>720.50400717037621</v>
      </c>
      <c r="Y301" s="13">
        <f ca="1">(הפחתה7[[#This Row],[יתרת פתיחה]])*(מדד3/12)</f>
        <v>3.609429277339808</v>
      </c>
      <c r="Z301" s="13">
        <f ca="1">IF(הפחתה7[[#This Row],[תאריך]]="",0,הפחתה7[[#This Row],[ריבית]]+הפחתה7[[#This Row],[קרן]]+הפחתה7[[#This Row],[מדד]])</f>
        <v>726.89023217569513</v>
      </c>
      <c r="AA301" s="13">
        <f ca="1">IF(הפחתה7[[#This Row],[תאריך]]="",0,הפחתה7[[#This Row],[יתרת פתיחה]]-הפחתה7[[#This Row],[קרן]]+הפחתה7[[#This Row],[מדד]])</f>
        <v>1448.7629885108483</v>
      </c>
      <c r="AB301" s="11">
        <f ca="1">IF(הפחתה7[[#This Row],[יתרת
סגירה]]&gt;0,LastRow3-ROW(),0)</f>
        <v>2</v>
      </c>
      <c r="AC301" s="17">
        <f>ROWS($AC$4:AC301)</f>
        <v>298</v>
      </c>
      <c r="AD301" s="18" t="str">
        <f ca="1">IF(ValuesEntered4,IF(הפחתה8[[#This Row],[מס'']]&lt;=תקופת_ההלוואה4,IF(ROW()-ROW(הפחתה8[[#Headers],[תאריך]])=1,LoanStart4,IF(AJ300&gt;0,EDATE(AD300,1),"")),""),"")</f>
        <v/>
      </c>
      <c r="AE301" s="19">
        <f ca="1">IF(ROW()-ROW(הפחתה8[[#Headers],[יתרת פתיחה]])=1,סכום_הלוואה4,IF(הפחתה8[[#This Row],[תאריך]]="",0,INDEX(הפחתה8[], ROW()-4,8)))</f>
        <v>0</v>
      </c>
      <c r="AF301" s="19">
        <f ca="1">IF(ValuesEntered4,IF(ROW()-ROW(הפחתה8[[#Headers],[ריבית]])=1,-IPMT(שיעור_ריבית4/12,1,תקופת_ההלוואה4-ROWS($C$4:AD301)+1,הפחתה8[[#This Row],[יתרת פתיחה]]),IFERROR(-IPMT(שיעור_ריבית4/12,1,הפחתה8[[#This Row],[תשלומים
שנותרו]],AE302),0)),0)</f>
        <v>0</v>
      </c>
      <c r="AG301" s="19" t="str">
        <f ca="1">IFERROR(IF(AND(ValuesEntered4,הפחתה8[[#This Row],[תאריך]]&lt;&gt;""),-PPMT(שיעור_ריבית4/12,1,תקופת_ההלוואה4-ROWS($C$4:AD301)+1,הפחתה8[[#This Row],[יתרת פתיחה]]),""),0)</f>
        <v/>
      </c>
      <c r="AH301" s="19">
        <f ca="1">(הפחתה8[[#This Row],[יתרת פתיחה]])*(מדד4/12)</f>
        <v>0</v>
      </c>
      <c r="AI301" s="19">
        <f ca="1">IF(הפחתה8[[#This Row],[תאריך]]="",0,הפחתה8[[#This Row],[ריבית]]+הפחתה8[[#This Row],[קרן]]+הפחתה8[[#This Row],[מדד]])</f>
        <v>0</v>
      </c>
      <c r="AJ301" s="19">
        <f ca="1">IF(הפחתה8[[#This Row],[תאריך]]="",0,הפחתה8[[#This Row],[יתרת פתיחה]]-הפחתה8[[#This Row],[קרן]])</f>
        <v>0</v>
      </c>
      <c r="AK301" s="20">
        <f ca="1">IF(הפחתה8[[#This Row],[יתרת
סגירה]]&gt;0,LastRow4-ROW(),0)</f>
        <v>0</v>
      </c>
    </row>
    <row r="302" spans="1:37" ht="15" customHeight="1" x14ac:dyDescent="0.25">
      <c r="A302" s="8"/>
      <c r="B302" s="11">
        <f>ROWS($B$4:B302)</f>
        <v>299</v>
      </c>
      <c r="C302" s="12">
        <f>IF(ValuesEntered,IF(הפחתה[[#This Row],[מס'']]&lt;=תקופת_ההלוואה,IF(ROW()-ROW(הפחתה[[#Headers],[תאריך]])=1,LoanStart,IF(I301&gt;0,EDATE(C301,1),"")),""),"")</f>
        <v>54455</v>
      </c>
      <c r="D302" s="13">
        <f>IF(ROW()-ROW(הפחתה[[#Headers],[יתרת פתיחה]])=1,סכום_הלוואה,IF(הפחתה[[#This Row],[תאריך]]="",0,INDEX(הפחתה[], ROW()-4,8)))</f>
        <v>180358.16347188799</v>
      </c>
      <c r="E302" s="13">
        <f>IF(ValuesEntered,IF(ROW()-ROW(הפחתה[[#Headers],[ריבית]])=1,-IPMT(שיעור_ריבית/12,1,תקופת_ההלוואה-ROWS($C$4:C302)+1,הפחתה[[#This Row],[יתרת פתיחה]]),IFERROR(-IPMT(שיעור_ריבית/12,1,הפחתה[[#This Row],[תשלומים
שנותרו]],D303),0)),0)</f>
        <v>785.38455205391881</v>
      </c>
      <c r="F302" s="13">
        <f>IFERROR(IF(AND(ValuesEntered,הפחתה[[#This Row],[תאריך]]&lt;&gt;""),-PPMT(שיעור_ריבית/12,1,תקופת_ההלוואה-ROWS($C$4:C302)+1,הפחתה[[#This Row],[יתרת פתיחה]]),""),0)</f>
        <v>2535.2460257177131</v>
      </c>
      <c r="G302" s="13">
        <f>(הפחתה[[#This Row],[יתרת פתיחה]])*(מדד/12)</f>
        <v>0</v>
      </c>
      <c r="H302" s="13">
        <f>IF(הפחתה[[#This Row],[תאריך]]="",0,הפחתה[[#This Row],[ריבית]]+הפחתה[[#This Row],[קרן]]+הפחתה[[#This Row],[מדד]])</f>
        <v>3320.630577771632</v>
      </c>
      <c r="I302" s="13">
        <f>IF(הפחתה[[#This Row],[תאריך]]="",0,הפחתה[[#This Row],[יתרת פתיחה]]-הפחתה[[#This Row],[קרן]]+הפחתה[[#This Row],[מדד]])</f>
        <v>177822.91744617029</v>
      </c>
      <c r="J302" s="11">
        <f>IF(הפחתה[[#This Row],[יתרת
סגירה]]&gt;0,LastRow-ROW(),0)</f>
        <v>61</v>
      </c>
      <c r="K302" s="11">
        <f>ROWS($K$4:K302)</f>
        <v>299</v>
      </c>
      <c r="L302" s="12">
        <f>IF(ValuesEntered2,IF(הפחתה5[[#This Row],[מס'']]&lt;=תקופת_ההלוואה2,IF(ROW()-ROW(הפחתה5[[#Headers],[תאריך]])=1,LoanStart2,IF(R301&gt;0,EDATE(L301,1),"")),""),"")</f>
        <v>54455</v>
      </c>
      <c r="M302" s="13">
        <f>IF(ROW()-ROW(הפחתה5[[#Headers],[יתרת פתיחה]])=1,סכום_הלוואה2,IF(הפחתה5[[#This Row],[תאריך]]="",0,INDEX(הפחתה5[], ROW()-4,8)))</f>
        <v>3383.5801528753054</v>
      </c>
      <c r="N302" s="13">
        <f>IF(ValuesEntered2,IF(ROW()-ROW(הפחתה5[[#Headers],[ריבית]])=1,-IPMT(שיעור_ריבית2/12,1,תקופת_ההלוואה2-ROWS($L$4:L302)+1,הפחתה5[[#This Row],[יתרת פתיחה]]),IFERROR(-IPMT(שיעור_ריבית2/12,1,הפחתה5[[#This Row],[תשלומים
שנותרו]],M303),0)),0)</f>
        <v>6.6391287020535277</v>
      </c>
      <c r="O302" s="13">
        <f>IFERROR(IF(AND(ValuesEntered2,הפחתה5[[#This Row],[תאריך]]&lt;&gt;""),-PPMT(שיעור_ריבית2/12,1,תקופת_ההלוואה2-ROWS($L$4:L302)+1,הפחתה5[[#This Row],[יתרת פתיחה]]),""),0)</f>
        <v>1688.4834629892982</v>
      </c>
      <c r="P302" s="13">
        <f>(הפחתה5[[#This Row],[יתרת פתיחה]])*(מדד2/12)</f>
        <v>0</v>
      </c>
      <c r="Q302" s="13">
        <f>IF(הפחתה5[[#This Row],[תאריך]]="",0,הפחתה5[[#This Row],[ריבית]]+הפחתה5[[#This Row],[קרן]]+הפחתה5[[#This Row],[מדד]])</f>
        <v>1695.1225916913518</v>
      </c>
      <c r="R302" s="13">
        <f>IF(הפחתה5[[#This Row],[תאריך]]="",0,הפחתה5[[#This Row],[יתרת פתיחה]]-הפחתה5[[#This Row],[קרן]]+הפחתה5[[#This Row],[מדד]])</f>
        <v>1695.0966898860072</v>
      </c>
      <c r="S302" s="11">
        <f>IF(הפחתה5[[#This Row],[יתרת
סגירה]]&gt;0,LastRow2-ROW(),0)</f>
        <v>1</v>
      </c>
      <c r="T302" s="11">
        <f>ROWS($T$4:T302)</f>
        <v>299</v>
      </c>
      <c r="U302" s="12">
        <f ca="1">IF(ValuesEntered3,IF(הפחתה7[[#This Row],[מס'']]&lt;=תקופת_ההלוואה3,IF(ROW()-ROW(הפחתה7[[#Headers],[תאריך]])=1,LoanStart3,IF(AA301&gt;0,EDATE(U301,1),"")),""),"")</f>
        <v>54691</v>
      </c>
      <c r="V302" s="13">
        <f ca="1">IF(ROW()-ROW(הפחתה7[[#Headers],[יתרת פתיחה]])=1,סכום_הלוואה3,IF(הפחתה7[[#This Row],[תאריך]]="",0,INDEX(הפחתה7[], ROW()-4,8)))</f>
        <v>1448.7629885108483</v>
      </c>
      <c r="W302" s="13">
        <f ca="1">IF(ValuesEntered3,IF(ROW()-ROW(הפחתה7[[#Headers],[ריבית]])=1,-IPMT(שיעור_ריבית3/12,1,תקופת_ההלוואה3-ROWS($C$4:U302)+1,הפחתה7[[#This Row],[יתרת פתיחה]]),IFERROR(-IPMT(שיעור_ריבית3/12,1,הפחתה7[[#This Row],[תשלומים
שנותרו]],V303),0)),0)</f>
        <v>1.3943551309348723</v>
      </c>
      <c r="X302" s="13">
        <f ca="1">IFERROR(IF(AND(ValuesEntered3,הפחתה7[[#This Row],[תאריך]]&lt;&gt;""),-PPMT(שיעור_ריבית3/12,1,תקופת_ההלוואה3-ROWS($C$4:U302)+1,הפחתה7[[#This Row],[יתרת פתיחה]]),""),0)</f>
        <v>723.68795996046208</v>
      </c>
      <c r="Y302" s="13">
        <f ca="1">(הפחתה7[[#This Row],[יתרת פתיחה]])*(מדד3/12)</f>
        <v>2.4146049808514141</v>
      </c>
      <c r="Z302" s="13">
        <f ca="1">IF(הפחתה7[[#This Row],[תאריך]]="",0,הפחתה7[[#This Row],[ריבית]]+הפחתה7[[#This Row],[קרן]]+הפחתה7[[#This Row],[מדד]])</f>
        <v>727.49692007224837</v>
      </c>
      <c r="AA302" s="13">
        <f ca="1">IF(הפחתה7[[#This Row],[תאריך]]="",0,הפחתה7[[#This Row],[יתרת פתיחה]]-הפחתה7[[#This Row],[קרן]]+הפחתה7[[#This Row],[מדד]])</f>
        <v>727.4896335312377</v>
      </c>
      <c r="AB302" s="11">
        <f ca="1">IF(הפחתה7[[#This Row],[יתרת
סגירה]]&gt;0,LastRow3-ROW(),0)</f>
        <v>1</v>
      </c>
      <c r="AC302" s="17">
        <f>ROWS($AC$4:AC302)</f>
        <v>299</v>
      </c>
      <c r="AD302" s="18" t="str">
        <f ca="1">IF(ValuesEntered4,IF(הפחתה8[[#This Row],[מס'']]&lt;=תקופת_ההלוואה4,IF(ROW()-ROW(הפחתה8[[#Headers],[תאריך]])=1,LoanStart4,IF(AJ301&gt;0,EDATE(AD301,1),"")),""),"")</f>
        <v/>
      </c>
      <c r="AE302" s="19">
        <f ca="1">IF(ROW()-ROW(הפחתה8[[#Headers],[יתרת פתיחה]])=1,סכום_הלוואה4,IF(הפחתה8[[#This Row],[תאריך]]="",0,INDEX(הפחתה8[], ROW()-4,8)))</f>
        <v>0</v>
      </c>
      <c r="AF302" s="19">
        <f ca="1">IF(ValuesEntered4,IF(ROW()-ROW(הפחתה8[[#Headers],[ריבית]])=1,-IPMT(שיעור_ריבית4/12,1,תקופת_ההלוואה4-ROWS($C$4:AD302)+1,הפחתה8[[#This Row],[יתרת פתיחה]]),IFERROR(-IPMT(שיעור_ריבית4/12,1,הפחתה8[[#This Row],[תשלומים
שנותרו]],AE303),0)),0)</f>
        <v>0</v>
      </c>
      <c r="AG302" s="19" t="str">
        <f ca="1">IFERROR(IF(AND(ValuesEntered4,הפחתה8[[#This Row],[תאריך]]&lt;&gt;""),-PPMT(שיעור_ריבית4/12,1,תקופת_ההלוואה4-ROWS($C$4:AD302)+1,הפחתה8[[#This Row],[יתרת פתיחה]]),""),0)</f>
        <v/>
      </c>
      <c r="AH302" s="19">
        <f ca="1">(הפחתה8[[#This Row],[יתרת פתיחה]])*(מדד4/12)</f>
        <v>0</v>
      </c>
      <c r="AI302" s="19">
        <f ca="1">IF(הפחתה8[[#This Row],[תאריך]]="",0,הפחתה8[[#This Row],[ריבית]]+הפחתה8[[#This Row],[קרן]]+הפחתה8[[#This Row],[מדד]])</f>
        <v>0</v>
      </c>
      <c r="AJ302" s="19">
        <f ca="1">IF(הפחתה8[[#This Row],[תאריך]]="",0,הפחתה8[[#This Row],[יתרת פתיחה]]-הפחתה8[[#This Row],[קרן]])</f>
        <v>0</v>
      </c>
      <c r="AK302" s="20">
        <f ca="1">IF(הפחתה8[[#This Row],[יתרת
סגירה]]&gt;0,LastRow4-ROW(),0)</f>
        <v>0</v>
      </c>
    </row>
    <row r="303" spans="1:37" ht="15" customHeight="1" x14ac:dyDescent="0.25">
      <c r="A303" s="8"/>
      <c r="B303" s="11">
        <f>ROWS($B$4:B303)</f>
        <v>300</v>
      </c>
      <c r="C303" s="12">
        <f>IF(ValuesEntered,IF(הפחתה[[#This Row],[מס'']]&lt;=תקופת_ההלוואה,IF(ROW()-ROW(הפחתה[[#Headers],[תאריך]])=1,LoanStart,IF(I302&gt;0,EDATE(C302,1),"")),""),"")</f>
        <v>54483</v>
      </c>
      <c r="D303" s="13">
        <f>IF(ROW()-ROW(הפחתה[[#Headers],[יתרת פתיחה]])=1,סכום_הלוואה,IF(הפחתה[[#This Row],[תאריך]]="",0,INDEX(הפחתה[], ROW()-4,8)))</f>
        <v>177822.91744617029</v>
      </c>
      <c r="E303" s="13">
        <f>IF(ValuesEntered,IF(ROW()-ROW(הפחתה[[#Headers],[ריבית]])=1,-IPMT(שיעור_ריבית/12,1,תקופת_ההלוואה-ROWS($C$4:C303)+1,הפחתה[[#This Row],[יתרת פתיחה]]),IFERROR(-IPMT(שיעור_ריבית/12,1,הפחתה[[#This Row],[תשלומים
שנותרו]],D304),0)),0)</f>
        <v>774.13776053695551</v>
      </c>
      <c r="F303" s="13">
        <f>IFERROR(IF(AND(ValuesEntered,הפחתה[[#This Row],[תאריך]]&lt;&gt;""),-PPMT(שיעור_ריבית/12,1,תקופת_ההלוואה-ROWS($C$4:C303)+1,הפחתה[[#This Row],[יתרת פתיחה]]),""),0)</f>
        <v>2546.4433623313002</v>
      </c>
      <c r="G303" s="13">
        <f>(הפחתה[[#This Row],[יתרת פתיחה]])*(מדד/12)</f>
        <v>0</v>
      </c>
      <c r="H303" s="13">
        <f>IF(הפחתה[[#This Row],[תאריך]]="",0,הפחתה[[#This Row],[ריבית]]+הפחתה[[#This Row],[קרן]]+הפחתה[[#This Row],[מדד]])</f>
        <v>3320.581122868256</v>
      </c>
      <c r="I303" s="13">
        <f>IF(הפחתה[[#This Row],[תאריך]]="",0,הפחתה[[#This Row],[יתרת פתיחה]]-הפחתה[[#This Row],[קרן]]+הפחתה[[#This Row],[מדד]])</f>
        <v>175276.47408383898</v>
      </c>
      <c r="J303" s="11">
        <f>IF(הפחתה[[#This Row],[יתרת
סגירה]]&gt;0,LastRow-ROW(),0)</f>
        <v>60</v>
      </c>
      <c r="K303" s="11">
        <f>ROWS($K$4:K303)</f>
        <v>300</v>
      </c>
      <c r="L303" s="12">
        <f>IF(ValuesEntered2,IF(הפחתה5[[#This Row],[מס'']]&lt;=תקופת_ההלוואה2,IF(ROW()-ROW(הפחתה5[[#Headers],[תאריך]])=1,LoanStart2,IF(R302&gt;0,EDATE(L302,1),"")),""),"")</f>
        <v>54483</v>
      </c>
      <c r="M303" s="13">
        <f>IF(ROW()-ROW(הפחתה5[[#Headers],[יתרת פתיחה]])=1,סכום_הלוואה2,IF(הפחתה5[[#This Row],[תאריך]]="",0,INDEX(הפחתה5[], ROW()-4,8)))</f>
        <v>1695.0966898860072</v>
      </c>
      <c r="N303" s="13">
        <f>IF(ValuesEntered2,IF(ROW()-ROW(הפחתה5[[#Headers],[ריבית]])=1,-IPMT(שיעור_ריבית2/12,1,תקופת_ההלוואה2-ROWS($L$4:L303)+1,הפחתה5[[#This Row],[יתרת פתיחה]]),IFERROR(-IPMT(שיעור_ריבית2/12,1,הפחתה5[[#This Row],[תשלומים
שנותרו]],M304),0)),0)</f>
        <v>0</v>
      </c>
      <c r="O303" s="13">
        <f>IFERROR(IF(AND(ValuesEntered2,הפחתה5[[#This Row],[תאריך]]&lt;&gt;""),-PPMT(שיעור_ריבית2/12,1,תקופת_ההלוואה2-ROWS($L$4:L303)+1,הפחתה5[[#This Row],[יתרת פתיחה]]),""),0)</f>
        <v>1695.0966898860067</v>
      </c>
      <c r="P303" s="13">
        <f>(הפחתה5[[#This Row],[יתרת פתיחה]])*(מדד2/12)</f>
        <v>0</v>
      </c>
      <c r="Q303" s="13">
        <f>IF(הפחתה5[[#This Row],[תאריך]]="",0,הפחתה5[[#This Row],[ריבית]]+הפחתה5[[#This Row],[קרן]]+הפחתה5[[#This Row],[מדד]])</f>
        <v>1695.0966898860067</v>
      </c>
      <c r="R303" s="13">
        <f>IF(הפחתה5[[#This Row],[תאריך]]="",0,הפחתה5[[#This Row],[יתרת פתיחה]]-הפחתה5[[#This Row],[קרן]]+הפחתה5[[#This Row],[מדד]])</f>
        <v>4.5474735088646412E-13</v>
      </c>
      <c r="S303" s="11">
        <f>IF(הפחתה5[[#This Row],[יתרת
סגירה]]&gt;0,LastRow2-ROW(),0)</f>
        <v>0</v>
      </c>
      <c r="T303" s="11">
        <f>ROWS($T$4:T303)</f>
        <v>300</v>
      </c>
      <c r="U303" s="12">
        <f ca="1">IF(ValuesEntered3,IF(הפחתה7[[#This Row],[מס'']]&lt;=תקופת_ההלוואה3,IF(ROW()-ROW(הפחתה7[[#Headers],[תאריך]])=1,LoanStart3,IF(AA302&gt;0,EDATE(U302,1),"")),""),"")</f>
        <v>54721</v>
      </c>
      <c r="V303" s="13">
        <f ca="1">IF(ROW()-ROW(הפחתה7[[#Headers],[יתרת פתיחה]])=1,סכום_הלוואה3,IF(הפחתה7[[#This Row],[תאריך]]="",0,INDEX(הפחתה7[], ROW()-4,8)))</f>
        <v>727.4896335312377</v>
      </c>
      <c r="W303" s="13">
        <f ca="1">IF(ValuesEntered3,IF(ROW()-ROW(הפחתה7[[#Headers],[ריבית]])=1,-IPMT(שיעור_ריבית3/12,1,תקופת_ההלוואה3-ROWS($C$4:U303)+1,הפחתה7[[#This Row],[יתרת פתיחה]]),IFERROR(-IPMT(שיעור_ריבית3/12,1,הפחתה7[[#This Row],[תשלומים
שנותרו]],V304),0)),0)</f>
        <v>0</v>
      </c>
      <c r="X303" s="13">
        <f ca="1">IFERROR(IF(AND(ValuesEntered3,הפחתה7[[#This Row],[תאריך]]&lt;&gt;""),-PPMT(שיעור_ריבית3/12,1,תקופת_ההלוואה3-ROWS($C$4:U303)+1,הפחתה7[[#This Row],[יתרת פתיחה]]),""),0)</f>
        <v>727.48963353123759</v>
      </c>
      <c r="Y303" s="13">
        <f ca="1">(הפחתה7[[#This Row],[יתרת פתיחה]])*(מדד3/12)</f>
        <v>1.2124827225520629</v>
      </c>
      <c r="Z303" s="13">
        <f ca="1">IF(הפחתה7[[#This Row],[תאריך]]="",0,הפחתה7[[#This Row],[ריבית]]+הפחתה7[[#This Row],[קרן]]+הפחתה7[[#This Row],[מדד]])</f>
        <v>728.70211625378965</v>
      </c>
      <c r="AA303" s="13">
        <f ca="1">IF(הפחתה7[[#This Row],[תאריך]]="",0,הפחתה7[[#This Row],[יתרת פתיחה]]-הפחתה7[[#This Row],[קרן]]+הפחתה7[[#This Row],[מדד]])</f>
        <v>1.2124827225521766</v>
      </c>
      <c r="AB303" s="11">
        <f ca="1">IF(הפחתה7[[#This Row],[יתרת
סגירה]]&gt;0,LastRow3-ROW(),0)</f>
        <v>0</v>
      </c>
      <c r="AC303" s="17">
        <f>ROWS($AC$4:AC303)</f>
        <v>300</v>
      </c>
      <c r="AD303" s="18" t="str">
        <f ca="1">IF(ValuesEntered4,IF(הפחתה8[[#This Row],[מס'']]&lt;=תקופת_ההלוואה4,IF(ROW()-ROW(הפחתה8[[#Headers],[תאריך]])=1,LoanStart4,IF(AJ302&gt;0,EDATE(AD302,1),"")),""),"")</f>
        <v/>
      </c>
      <c r="AE303" s="19">
        <f ca="1">IF(ROW()-ROW(הפחתה8[[#Headers],[יתרת פתיחה]])=1,סכום_הלוואה4,IF(הפחתה8[[#This Row],[תאריך]]="",0,INDEX(הפחתה8[], ROW()-4,8)))</f>
        <v>0</v>
      </c>
      <c r="AF303" s="19">
        <f ca="1">IF(ValuesEntered4,IF(ROW()-ROW(הפחתה8[[#Headers],[ריבית]])=1,-IPMT(שיעור_ריבית4/12,1,תקופת_ההלוואה4-ROWS($C$4:AD303)+1,הפחתה8[[#This Row],[יתרת פתיחה]]),IFERROR(-IPMT(שיעור_ריבית4/12,1,הפחתה8[[#This Row],[תשלומים
שנותרו]],AE304),0)),0)</f>
        <v>0</v>
      </c>
      <c r="AG303" s="19" t="str">
        <f ca="1">IFERROR(IF(AND(ValuesEntered4,הפחתה8[[#This Row],[תאריך]]&lt;&gt;""),-PPMT(שיעור_ריבית4/12,1,תקופת_ההלוואה4-ROWS($C$4:AD303)+1,הפחתה8[[#This Row],[יתרת פתיחה]]),""),0)</f>
        <v/>
      </c>
      <c r="AH303" s="19">
        <f ca="1">(הפחתה8[[#This Row],[יתרת פתיחה]])*(מדד4/12)</f>
        <v>0</v>
      </c>
      <c r="AI303" s="19">
        <f ca="1">IF(הפחתה8[[#This Row],[תאריך]]="",0,הפחתה8[[#This Row],[ריבית]]+הפחתה8[[#This Row],[קרן]]+הפחתה8[[#This Row],[מדד]])</f>
        <v>0</v>
      </c>
      <c r="AJ303" s="19">
        <f ca="1">IF(הפחתה8[[#This Row],[תאריך]]="",0,הפחתה8[[#This Row],[יתרת פתיחה]]-הפחתה8[[#This Row],[קרן]])</f>
        <v>0</v>
      </c>
      <c r="AK303" s="20">
        <f ca="1">IF(הפחתה8[[#This Row],[יתרת
סגירה]]&gt;0,LastRow4-ROW(),0)</f>
        <v>0</v>
      </c>
    </row>
    <row r="304" spans="1:37" ht="15" customHeight="1" x14ac:dyDescent="0.25">
      <c r="A304" s="8"/>
      <c r="B304" s="11">
        <f>ROWS($B$4:B304)</f>
        <v>301</v>
      </c>
      <c r="C304" s="12">
        <f>IF(ValuesEntered,IF(הפחתה[[#This Row],[מס'']]&lt;=תקופת_ההלוואה,IF(ROW()-ROW(הפחתה[[#Headers],[תאריך]])=1,LoanStart,IF(I303&gt;0,EDATE(C303,1),"")),""),"")</f>
        <v>54514</v>
      </c>
      <c r="D304" s="13">
        <f>IF(ROW()-ROW(הפחתה[[#Headers],[יתרת פתיחה]])=1,סכום_הלוואה,IF(הפחתה[[#This Row],[תאריך]]="",0,INDEX(הפחתה[], ROW()-4,8)))</f>
        <v>175276.47408383898</v>
      </c>
      <c r="E304" s="13">
        <f>IF(ValuesEntered,IF(ROW()-ROW(הפחתה[[#Headers],[ריבית]])=1,-IPMT(שיעור_ריבית/12,1,תקופת_ההלוואה-ROWS($C$4:C304)+1,הפחתה[[#This Row],[יתרת פתיחה]]),IFERROR(-IPMT(שיעור_ריבית/12,1,הפחתה[[#This Row],[תשלומים
שנותרו]],D305),0)),0)</f>
        <v>762.84129569079244</v>
      </c>
      <c r="F304" s="13">
        <f>IFERROR(IF(AND(ValuesEntered,הפחתה[[#This Row],[תאריך]]&lt;&gt;""),-PPMT(שיעור_ריבית/12,1,תקופת_ההלוואה-ROWS($C$4:C304)+1,הפחתה[[#This Row],[יתרת פתיחה]]),""),0)</f>
        <v>2557.6901538482634</v>
      </c>
      <c r="G304" s="13">
        <f>(הפחתה[[#This Row],[יתרת פתיחה]])*(מדד/12)</f>
        <v>0</v>
      </c>
      <c r="H304" s="13">
        <f>IF(הפחתה[[#This Row],[תאריך]]="",0,הפחתה[[#This Row],[ריבית]]+הפחתה[[#This Row],[קרן]]+הפחתה[[#This Row],[מדד]])</f>
        <v>3320.5314495390558</v>
      </c>
      <c r="I304" s="13">
        <f>IF(הפחתה[[#This Row],[תאריך]]="",0,הפחתה[[#This Row],[יתרת פתיחה]]-הפחתה[[#This Row],[קרן]]+הפחתה[[#This Row],[מדד]])</f>
        <v>172718.78392999072</v>
      </c>
      <c r="J304" s="11">
        <f>IF(הפחתה[[#This Row],[יתרת
סגירה]]&gt;0,LastRow-ROW(),0)</f>
        <v>59</v>
      </c>
      <c r="K304" s="11">
        <f>ROWS($K$4:K304)</f>
        <v>301</v>
      </c>
      <c r="L304" s="12" t="str">
        <f>IF(ValuesEntered2,IF(הפחתה5[[#This Row],[מס'']]&lt;=תקופת_ההלוואה2,IF(ROW()-ROW(הפחתה5[[#Headers],[תאריך]])=1,LoanStart2,IF(R303&gt;0,EDATE(L303,1),"")),""),"")</f>
        <v/>
      </c>
      <c r="M304" s="13">
        <f>IF(ROW()-ROW(הפחתה5[[#Headers],[יתרת פתיחה]])=1,סכום_הלוואה2,IF(הפחתה5[[#This Row],[תאריך]]="",0,INDEX(הפחתה5[], ROW()-4,8)))</f>
        <v>0</v>
      </c>
      <c r="N304" s="13">
        <f>IF(ValuesEntered2,IF(ROW()-ROW(הפחתה5[[#Headers],[ריבית]])=1,-IPMT(שיעור_ריבית2/12,1,תקופת_ההלוואה2-ROWS($L$4:L304)+1,הפחתה5[[#This Row],[יתרת פתיחה]]),IFERROR(-IPMT(שיעור_ריבית2/12,1,הפחתה5[[#This Row],[תשלומים
שנותרו]],M305),0)),0)</f>
        <v>0</v>
      </c>
      <c r="O304" s="13" t="str">
        <f>IFERROR(IF(AND(ValuesEntered2,הפחתה5[[#This Row],[תאריך]]&lt;&gt;""),-PPMT(שיעור_ריבית2/12,1,תקופת_ההלוואה2-ROWS($L$4:L304)+1,הפחתה5[[#This Row],[יתרת פתיחה]]),""),0)</f>
        <v/>
      </c>
      <c r="P304" s="13">
        <f>(הפחתה5[[#This Row],[יתרת פתיחה]])*(מדד2/12)</f>
        <v>0</v>
      </c>
      <c r="Q304" s="13">
        <f>IF(הפחתה5[[#This Row],[תאריך]]="",0,הפחתה5[[#This Row],[ריבית]]+הפחתה5[[#This Row],[קרן]]+הפחתה5[[#This Row],[מדד]])</f>
        <v>0</v>
      </c>
      <c r="R304" s="13">
        <f>IF(הפחתה5[[#This Row],[תאריך]]="",0,הפחתה5[[#This Row],[יתרת פתיחה]]-הפחתה5[[#This Row],[קרן]]+הפחתה5[[#This Row],[מדד]])</f>
        <v>0</v>
      </c>
      <c r="S304" s="11">
        <f>IF(הפחתה5[[#This Row],[יתרת
סגירה]]&gt;0,LastRow2-ROW(),0)</f>
        <v>0</v>
      </c>
      <c r="T304" s="11">
        <f>ROWS($T$4:T304)</f>
        <v>301</v>
      </c>
      <c r="U304" s="12" t="str">
        <f ca="1">IF(ValuesEntered3,IF(הפחתה7[[#This Row],[מס'']]&lt;=תקופת_ההלוואה3,IF(ROW()-ROW(הפחתה7[[#Headers],[תאריך]])=1,LoanStart3,IF(AA303&gt;0,EDATE(U303,1),"")),""),"")</f>
        <v/>
      </c>
      <c r="V304" s="13">
        <f ca="1">IF(ROW()-ROW(הפחתה7[[#Headers],[יתרת פתיחה]])=1,סכום_הלוואה3,IF(הפחתה7[[#This Row],[תאריך]]="",0,INDEX(הפחתה7[], ROW()-4,8)))</f>
        <v>0</v>
      </c>
      <c r="W304" s="13">
        <f ca="1">IF(ValuesEntered3,IF(ROW()-ROW(הפחתה7[[#Headers],[ריבית]])=1,-IPMT(שיעור_ריבית3/12,1,תקופת_ההלוואה3-ROWS($C$4:U304)+1,הפחתה7[[#This Row],[יתרת פתיחה]]),IFERROR(-IPMT(שיעור_ריבית3/12,1,הפחתה7[[#This Row],[תשלומים
שנותרו]],V305),0)),0)</f>
        <v>0</v>
      </c>
      <c r="X304" s="13" t="str">
        <f ca="1">IFERROR(IF(AND(ValuesEntered3,הפחתה7[[#This Row],[תאריך]]&lt;&gt;""),-PPMT(שיעור_ריבית3/12,1,תקופת_ההלוואה3-ROWS($C$4:U304)+1,הפחתה7[[#This Row],[יתרת פתיחה]]),""),0)</f>
        <v/>
      </c>
      <c r="Y304" s="13">
        <f ca="1">(הפחתה7[[#This Row],[יתרת פתיחה]])*(מדד3/12)</f>
        <v>0</v>
      </c>
      <c r="Z304" s="13">
        <f ca="1">IF(הפחתה7[[#This Row],[תאריך]]="",0,הפחתה7[[#This Row],[ריבית]]+הפחתה7[[#This Row],[קרן]]+הפחתה7[[#This Row],[מדד]])</f>
        <v>0</v>
      </c>
      <c r="AA304" s="13">
        <f ca="1">IF(הפחתה7[[#This Row],[תאריך]]="",0,הפחתה7[[#This Row],[יתרת פתיחה]]-הפחתה7[[#This Row],[קרן]]+הפחתה7[[#This Row],[מדד]])</f>
        <v>0</v>
      </c>
      <c r="AB304" s="11">
        <f ca="1">IF(הפחתה7[[#This Row],[יתרת
סגירה]]&gt;0,LastRow3-ROW(),0)</f>
        <v>0</v>
      </c>
      <c r="AC304" s="17">
        <f>ROWS($AC$4:AC304)</f>
        <v>301</v>
      </c>
      <c r="AD304" s="18" t="str">
        <f ca="1">IF(ValuesEntered4,IF(הפחתה8[[#This Row],[מס'']]&lt;=תקופת_ההלוואה4,IF(ROW()-ROW(הפחתה8[[#Headers],[תאריך]])=1,LoanStart4,IF(AJ303&gt;0,EDATE(AD303,1),"")),""),"")</f>
        <v/>
      </c>
      <c r="AE304" s="19">
        <f ca="1">IF(ROW()-ROW(הפחתה8[[#Headers],[יתרת פתיחה]])=1,סכום_הלוואה4,IF(הפחתה8[[#This Row],[תאריך]]="",0,INDEX(הפחתה8[], ROW()-4,8)))</f>
        <v>0</v>
      </c>
      <c r="AF304" s="19">
        <f ca="1">IF(ValuesEntered4,IF(ROW()-ROW(הפחתה8[[#Headers],[ריבית]])=1,-IPMT(שיעור_ריבית4/12,1,תקופת_ההלוואה4-ROWS($C$4:AD304)+1,הפחתה8[[#This Row],[יתרת פתיחה]]),IFERROR(-IPMT(שיעור_ריבית4/12,1,הפחתה8[[#This Row],[תשלומים
שנותרו]],AE305),0)),0)</f>
        <v>0</v>
      </c>
      <c r="AG304" s="19" t="str">
        <f ca="1">IFERROR(IF(AND(ValuesEntered4,הפחתה8[[#This Row],[תאריך]]&lt;&gt;""),-PPMT(שיעור_ריבית4/12,1,תקופת_ההלוואה4-ROWS($C$4:AD304)+1,הפחתה8[[#This Row],[יתרת פתיחה]]),""),0)</f>
        <v/>
      </c>
      <c r="AH304" s="19">
        <f ca="1">(הפחתה8[[#This Row],[יתרת פתיחה]])*(מדד4/12)</f>
        <v>0</v>
      </c>
      <c r="AI304" s="19">
        <f ca="1">IF(הפחתה8[[#This Row],[תאריך]]="",0,הפחתה8[[#This Row],[ריבית]]+הפחתה8[[#This Row],[קרן]]+הפחתה8[[#This Row],[מדד]])</f>
        <v>0</v>
      </c>
      <c r="AJ304" s="19">
        <f ca="1">IF(הפחתה8[[#This Row],[תאריך]]="",0,הפחתה8[[#This Row],[יתרת פתיחה]]-הפחתה8[[#This Row],[קרן]])</f>
        <v>0</v>
      </c>
      <c r="AK304" s="20">
        <f ca="1">IF(הפחתה8[[#This Row],[יתרת
סגירה]]&gt;0,LastRow4-ROW(),0)</f>
        <v>0</v>
      </c>
    </row>
    <row r="305" spans="1:37" ht="15" customHeight="1" x14ac:dyDescent="0.25">
      <c r="A305" s="8"/>
      <c r="B305" s="11">
        <f>ROWS($B$4:B305)</f>
        <v>302</v>
      </c>
      <c r="C305" s="12">
        <f>IF(ValuesEntered,IF(הפחתה[[#This Row],[מס'']]&lt;=תקופת_ההלוואה,IF(ROW()-ROW(הפחתה[[#Headers],[תאריך]])=1,LoanStart,IF(I304&gt;0,EDATE(C304,1),"")),""),"")</f>
        <v>54544</v>
      </c>
      <c r="D305" s="13">
        <f>IF(ROW()-ROW(הפחתה[[#Headers],[יתרת פתיחה]])=1,סכום_הלוואה,IF(הפחתה[[#This Row],[תאריך]]="",0,INDEX(הפחתה[], ROW()-4,8)))</f>
        <v>172718.78392999072</v>
      </c>
      <c r="E305" s="13">
        <f>IF(ValuesEntered,IF(ROW()-ROW(הפחתה[[#Headers],[ריבית]])=1,-IPMT(שיעור_ריבית/12,1,תקופת_ההלוואה-ROWS($C$4:C305)+1,הפחתה[[#This Row],[יתרת פתיחה]]),IFERROR(-IPMT(שיעור_ריבית/12,1,הפחתה[[#This Row],[תשלומים
שנותרו]],D306),0)),0)</f>
        <v>751.49493812489209</v>
      </c>
      <c r="F305" s="13">
        <f>IFERROR(IF(AND(ValuesEntered,הפחתה[[#This Row],[תאריך]]&lt;&gt;""),-PPMT(שיעור_ריבית/12,1,תקופת_ההלוואה-ROWS($C$4:C305)+1,הפחתה[[#This Row],[יתרת פתיחה]]),""),0)</f>
        <v>2568.9866186944259</v>
      </c>
      <c r="G305" s="13">
        <f>(הפחתה[[#This Row],[יתרת פתיחה]])*(מדד/12)</f>
        <v>0</v>
      </c>
      <c r="H305" s="13">
        <f>IF(הפחתה[[#This Row],[תאריך]]="",0,הפחתה[[#This Row],[ריבית]]+הפחתה[[#This Row],[קרן]]+הפחתה[[#This Row],[מדד]])</f>
        <v>3320.481556819318</v>
      </c>
      <c r="I305" s="13">
        <f>IF(הפחתה[[#This Row],[תאריך]]="",0,הפחתה[[#This Row],[יתרת פתיחה]]-הפחתה[[#This Row],[קרן]]+הפחתה[[#This Row],[מדד]])</f>
        <v>170149.79731129631</v>
      </c>
      <c r="J305" s="11">
        <f>IF(הפחתה[[#This Row],[יתרת
סגירה]]&gt;0,LastRow-ROW(),0)</f>
        <v>58</v>
      </c>
      <c r="K305" s="11">
        <f>ROWS($K$4:K305)</f>
        <v>302</v>
      </c>
      <c r="L305" s="12" t="str">
        <f>IF(ValuesEntered2,IF(הפחתה5[[#This Row],[מס'']]&lt;=תקופת_ההלוואה2,IF(ROW()-ROW(הפחתה5[[#Headers],[תאריך]])=1,LoanStart2,IF(R304&gt;0,EDATE(L304,1),"")),""),"")</f>
        <v/>
      </c>
      <c r="M305" s="13">
        <f>IF(ROW()-ROW(הפחתה5[[#Headers],[יתרת פתיחה]])=1,סכום_הלוואה2,IF(הפחתה5[[#This Row],[תאריך]]="",0,INDEX(הפחתה5[], ROW()-4,8)))</f>
        <v>0</v>
      </c>
      <c r="N305" s="13">
        <f>IF(ValuesEntered2,IF(ROW()-ROW(הפחתה5[[#Headers],[ריבית]])=1,-IPMT(שיעור_ריבית2/12,1,תקופת_ההלוואה2-ROWS($L$4:L305)+1,הפחתה5[[#This Row],[יתרת פתיחה]]),IFERROR(-IPMT(שיעור_ריבית2/12,1,הפחתה5[[#This Row],[תשלומים
שנותרו]],M306),0)),0)</f>
        <v>0</v>
      </c>
      <c r="O305" s="13" t="str">
        <f>IFERROR(IF(AND(ValuesEntered2,הפחתה5[[#This Row],[תאריך]]&lt;&gt;""),-PPMT(שיעור_ריבית2/12,1,תקופת_ההלוואה2-ROWS($L$4:L305)+1,הפחתה5[[#This Row],[יתרת פתיחה]]),""),0)</f>
        <v/>
      </c>
      <c r="P305" s="13">
        <f>(הפחתה5[[#This Row],[יתרת פתיחה]])*(מדד2/12)</f>
        <v>0</v>
      </c>
      <c r="Q305" s="13">
        <f>IF(הפחתה5[[#This Row],[תאריך]]="",0,הפחתה5[[#This Row],[ריבית]]+הפחתה5[[#This Row],[קרן]]+הפחתה5[[#This Row],[מדד]])</f>
        <v>0</v>
      </c>
      <c r="R305" s="13">
        <f>IF(הפחתה5[[#This Row],[תאריך]]="",0,הפחתה5[[#This Row],[יתרת פתיחה]]-הפחתה5[[#This Row],[קרן]]+הפחתה5[[#This Row],[מדד]])</f>
        <v>0</v>
      </c>
      <c r="S305" s="11">
        <f>IF(הפחתה5[[#This Row],[יתרת
סגירה]]&gt;0,LastRow2-ROW(),0)</f>
        <v>0</v>
      </c>
      <c r="T305" s="11">
        <f>ROWS($T$4:T305)</f>
        <v>302</v>
      </c>
      <c r="U305" s="12" t="str">
        <f ca="1">IF(ValuesEntered3,IF(הפחתה7[[#This Row],[מס'']]&lt;=תקופת_ההלוואה3,IF(ROW()-ROW(הפחתה7[[#Headers],[תאריך]])=1,LoanStart3,IF(AA304&gt;0,EDATE(U304,1),"")),""),"")</f>
        <v/>
      </c>
      <c r="V305" s="13">
        <f ca="1">IF(ROW()-ROW(הפחתה7[[#Headers],[יתרת פתיחה]])=1,סכום_הלוואה3,IF(הפחתה7[[#This Row],[תאריך]]="",0,INDEX(הפחתה7[], ROW()-4,8)))</f>
        <v>0</v>
      </c>
      <c r="W305" s="13">
        <f ca="1">IF(ValuesEntered3,IF(ROW()-ROW(הפחתה7[[#Headers],[ריבית]])=1,-IPMT(שיעור_ריבית3/12,1,תקופת_ההלוואה3-ROWS($C$4:U305)+1,הפחתה7[[#This Row],[יתרת פתיחה]]),IFERROR(-IPMT(שיעור_ריבית3/12,1,הפחתה7[[#This Row],[תשלומים
שנותרו]],V306),0)),0)</f>
        <v>0</v>
      </c>
      <c r="X305" s="13" t="str">
        <f ca="1">IFERROR(IF(AND(ValuesEntered3,הפחתה7[[#This Row],[תאריך]]&lt;&gt;""),-PPMT(שיעור_ריבית3/12,1,תקופת_ההלוואה3-ROWS($C$4:U305)+1,הפחתה7[[#This Row],[יתרת פתיחה]]),""),0)</f>
        <v/>
      </c>
      <c r="Y305" s="13">
        <f ca="1">(הפחתה7[[#This Row],[יתרת פתיחה]])*(מדד3/12)</f>
        <v>0</v>
      </c>
      <c r="Z305" s="13">
        <f ca="1">IF(הפחתה7[[#This Row],[תאריך]]="",0,הפחתה7[[#This Row],[ריבית]]+הפחתה7[[#This Row],[קרן]]+הפחתה7[[#This Row],[מדד]])</f>
        <v>0</v>
      </c>
      <c r="AA305" s="13">
        <f ca="1">IF(הפחתה7[[#This Row],[תאריך]]="",0,הפחתה7[[#This Row],[יתרת פתיחה]]-הפחתה7[[#This Row],[קרן]]+הפחתה7[[#This Row],[מדד]])</f>
        <v>0</v>
      </c>
      <c r="AB305" s="11">
        <f ca="1">IF(הפחתה7[[#This Row],[יתרת
סגירה]]&gt;0,LastRow3-ROW(),0)</f>
        <v>0</v>
      </c>
      <c r="AC305" s="17">
        <f>ROWS($AC$4:AC305)</f>
        <v>302</v>
      </c>
      <c r="AD305" s="18" t="str">
        <f ca="1">IF(ValuesEntered4,IF(הפחתה8[[#This Row],[מס'']]&lt;=תקופת_ההלוואה4,IF(ROW()-ROW(הפחתה8[[#Headers],[תאריך]])=1,LoanStart4,IF(AJ304&gt;0,EDATE(AD304,1),"")),""),"")</f>
        <v/>
      </c>
      <c r="AE305" s="19">
        <f ca="1">IF(ROW()-ROW(הפחתה8[[#Headers],[יתרת פתיחה]])=1,סכום_הלוואה4,IF(הפחתה8[[#This Row],[תאריך]]="",0,INDEX(הפחתה8[], ROW()-4,8)))</f>
        <v>0</v>
      </c>
      <c r="AF305" s="19">
        <f ca="1">IF(ValuesEntered4,IF(ROW()-ROW(הפחתה8[[#Headers],[ריבית]])=1,-IPMT(שיעור_ריבית4/12,1,תקופת_ההלוואה4-ROWS($C$4:AD305)+1,הפחתה8[[#This Row],[יתרת פתיחה]]),IFERROR(-IPMT(שיעור_ריבית4/12,1,הפחתה8[[#This Row],[תשלומים
שנותרו]],AE306),0)),0)</f>
        <v>0</v>
      </c>
      <c r="AG305" s="19" t="str">
        <f ca="1">IFERROR(IF(AND(ValuesEntered4,הפחתה8[[#This Row],[תאריך]]&lt;&gt;""),-PPMT(שיעור_ריבית4/12,1,תקופת_ההלוואה4-ROWS($C$4:AD305)+1,הפחתה8[[#This Row],[יתרת פתיחה]]),""),0)</f>
        <v/>
      </c>
      <c r="AH305" s="19">
        <f ca="1">(הפחתה8[[#This Row],[יתרת פתיחה]])*(מדד4/12)</f>
        <v>0</v>
      </c>
      <c r="AI305" s="19">
        <f ca="1">IF(הפחתה8[[#This Row],[תאריך]]="",0,הפחתה8[[#This Row],[ריבית]]+הפחתה8[[#This Row],[קרן]]+הפחתה8[[#This Row],[מדד]])</f>
        <v>0</v>
      </c>
      <c r="AJ305" s="19">
        <f ca="1">IF(הפחתה8[[#This Row],[תאריך]]="",0,הפחתה8[[#This Row],[יתרת פתיחה]]-הפחתה8[[#This Row],[קרן]])</f>
        <v>0</v>
      </c>
      <c r="AK305" s="20">
        <f ca="1">IF(הפחתה8[[#This Row],[יתרת
סגירה]]&gt;0,LastRow4-ROW(),0)</f>
        <v>0</v>
      </c>
    </row>
    <row r="306" spans="1:37" ht="15" customHeight="1" x14ac:dyDescent="0.25">
      <c r="A306" s="8"/>
      <c r="B306" s="11">
        <f>ROWS($B$4:B306)</f>
        <v>303</v>
      </c>
      <c r="C306" s="12">
        <f>IF(ValuesEntered,IF(הפחתה[[#This Row],[מס'']]&lt;=תקופת_ההלוואה,IF(ROW()-ROW(הפחתה[[#Headers],[תאריך]])=1,LoanStart,IF(I305&gt;0,EDATE(C305,1),"")),""),"")</f>
        <v>54575</v>
      </c>
      <c r="D306" s="13">
        <f>IF(ROW()-ROW(הפחתה[[#Headers],[יתרת פתיחה]])=1,סכום_הלוואה,IF(הפחתה[[#This Row],[תאריך]]="",0,INDEX(הפחתה[], ROW()-4,8)))</f>
        <v>170149.79731129631</v>
      </c>
      <c r="E306" s="13">
        <f>IF(ValuesEntered,IF(ROW()-ROW(הפחתה[[#Headers],[ריבית]])=1,-IPMT(שיעור_ריבית/12,1,תקופת_ההלוואה-ROWS($C$4:C306)+1,הפחתה[[#This Row],[יתרת פתיחה]]),IFERROR(-IPMT(שיעור_ריבית/12,1,הפחתה[[#This Row],[תשלומים
שנותרו]],D307),0)),0)</f>
        <v>740.09846747974223</v>
      </c>
      <c r="F306" s="13">
        <f>IFERROR(IF(AND(ValuesEntered,הפחתה[[#This Row],[תאריך]]&lt;&gt;""),-PPMT(שיעור_ריבית/12,1,תקופת_ההלוואה-ROWS($C$4:C306)+1,הפחתה[[#This Row],[יתרת פתיחה]]),""),0)</f>
        <v>2580.3329762603262</v>
      </c>
      <c r="G306" s="13">
        <f>(הפחתה[[#This Row],[יתרת פתיחה]])*(מדד/12)</f>
        <v>0</v>
      </c>
      <c r="H306" s="13">
        <f>IF(הפחתה[[#This Row],[תאריך]]="",0,הפחתה[[#This Row],[ריבית]]+הפחתה[[#This Row],[קרן]]+הפחתה[[#This Row],[מדד]])</f>
        <v>3320.4314437400685</v>
      </c>
      <c r="I306" s="13">
        <f>IF(הפחתה[[#This Row],[תאריך]]="",0,הפחתה[[#This Row],[יתרת פתיחה]]-הפחתה[[#This Row],[קרן]]+הפחתה[[#This Row],[מדד]])</f>
        <v>167569.46433503597</v>
      </c>
      <c r="J306" s="11">
        <f>IF(הפחתה[[#This Row],[יתרת
סגירה]]&gt;0,LastRow-ROW(),0)</f>
        <v>57</v>
      </c>
      <c r="K306" s="11">
        <f>ROWS($K$4:K306)</f>
        <v>303</v>
      </c>
      <c r="L306" s="12" t="str">
        <f>IF(ValuesEntered2,IF(הפחתה5[[#This Row],[מס'']]&lt;=תקופת_ההלוואה2,IF(ROW()-ROW(הפחתה5[[#Headers],[תאריך]])=1,LoanStart2,IF(R305&gt;0,EDATE(L305,1),"")),""),"")</f>
        <v/>
      </c>
      <c r="M306" s="13">
        <f>IF(ROW()-ROW(הפחתה5[[#Headers],[יתרת פתיחה]])=1,סכום_הלוואה2,IF(הפחתה5[[#This Row],[תאריך]]="",0,INDEX(הפחתה5[], ROW()-4,8)))</f>
        <v>0</v>
      </c>
      <c r="N306" s="13">
        <f>IF(ValuesEntered2,IF(ROW()-ROW(הפחתה5[[#Headers],[ריבית]])=1,-IPMT(שיעור_ריבית2/12,1,תקופת_ההלוואה2-ROWS($L$4:L306)+1,הפחתה5[[#This Row],[יתרת פתיחה]]),IFERROR(-IPMT(שיעור_ריבית2/12,1,הפחתה5[[#This Row],[תשלומים
שנותרו]],M307),0)),0)</f>
        <v>0</v>
      </c>
      <c r="O306" s="13" t="str">
        <f>IFERROR(IF(AND(ValuesEntered2,הפחתה5[[#This Row],[תאריך]]&lt;&gt;""),-PPMT(שיעור_ריבית2/12,1,תקופת_ההלוואה2-ROWS($L$4:L306)+1,הפחתה5[[#This Row],[יתרת פתיחה]]),""),0)</f>
        <v/>
      </c>
      <c r="P306" s="13">
        <f>(הפחתה5[[#This Row],[יתרת פתיחה]])*(מדד2/12)</f>
        <v>0</v>
      </c>
      <c r="Q306" s="13">
        <f>IF(הפחתה5[[#This Row],[תאריך]]="",0,הפחתה5[[#This Row],[ריבית]]+הפחתה5[[#This Row],[קרן]]+הפחתה5[[#This Row],[מדד]])</f>
        <v>0</v>
      </c>
      <c r="R306" s="13">
        <f>IF(הפחתה5[[#This Row],[תאריך]]="",0,הפחתה5[[#This Row],[יתרת פתיחה]]-הפחתה5[[#This Row],[קרן]]+הפחתה5[[#This Row],[מדד]])</f>
        <v>0</v>
      </c>
      <c r="S306" s="11">
        <f>IF(הפחתה5[[#This Row],[יתרת
סגירה]]&gt;0,LastRow2-ROW(),0)</f>
        <v>0</v>
      </c>
      <c r="T306" s="11">
        <f>ROWS($T$4:T306)</f>
        <v>303</v>
      </c>
      <c r="U306" s="12" t="str">
        <f ca="1">IF(ValuesEntered3,IF(הפחתה7[[#This Row],[מס'']]&lt;=תקופת_ההלוואה3,IF(ROW()-ROW(הפחתה7[[#Headers],[תאריך]])=1,LoanStart3,IF(AA305&gt;0,EDATE(U305,1),"")),""),"")</f>
        <v/>
      </c>
      <c r="V306" s="13">
        <f ca="1">IF(ROW()-ROW(הפחתה7[[#Headers],[יתרת פתיחה]])=1,סכום_הלוואה3,IF(הפחתה7[[#This Row],[תאריך]]="",0,INDEX(הפחתה7[], ROW()-4,8)))</f>
        <v>0</v>
      </c>
      <c r="W306" s="13">
        <f ca="1">IF(ValuesEntered3,IF(ROW()-ROW(הפחתה7[[#Headers],[ריבית]])=1,-IPMT(שיעור_ריבית3/12,1,תקופת_ההלוואה3-ROWS($C$4:U306)+1,הפחתה7[[#This Row],[יתרת פתיחה]]),IFERROR(-IPMT(שיעור_ריבית3/12,1,הפחתה7[[#This Row],[תשלומים
שנותרו]],V307),0)),0)</f>
        <v>0</v>
      </c>
      <c r="X306" s="13" t="str">
        <f ca="1">IFERROR(IF(AND(ValuesEntered3,הפחתה7[[#This Row],[תאריך]]&lt;&gt;""),-PPMT(שיעור_ריבית3/12,1,תקופת_ההלוואה3-ROWS($C$4:U306)+1,הפחתה7[[#This Row],[יתרת פתיחה]]),""),0)</f>
        <v/>
      </c>
      <c r="Y306" s="13">
        <f ca="1">(הפחתה7[[#This Row],[יתרת פתיחה]])*(מדד3/12)</f>
        <v>0</v>
      </c>
      <c r="Z306" s="13">
        <f ca="1">IF(הפחתה7[[#This Row],[תאריך]]="",0,הפחתה7[[#This Row],[ריבית]]+הפחתה7[[#This Row],[קרן]]+הפחתה7[[#This Row],[מדד]])</f>
        <v>0</v>
      </c>
      <c r="AA306" s="13">
        <f ca="1">IF(הפחתה7[[#This Row],[תאריך]]="",0,הפחתה7[[#This Row],[יתרת פתיחה]]-הפחתה7[[#This Row],[קרן]]+הפחתה7[[#This Row],[מדד]])</f>
        <v>0</v>
      </c>
      <c r="AB306" s="11">
        <f ca="1">IF(הפחתה7[[#This Row],[יתרת
סגירה]]&gt;0,LastRow3-ROW(),0)</f>
        <v>0</v>
      </c>
      <c r="AC306" s="17">
        <f>ROWS($AC$4:AC306)</f>
        <v>303</v>
      </c>
      <c r="AD306" s="18" t="str">
        <f ca="1">IF(ValuesEntered4,IF(הפחתה8[[#This Row],[מס'']]&lt;=תקופת_ההלוואה4,IF(ROW()-ROW(הפחתה8[[#Headers],[תאריך]])=1,LoanStart4,IF(AJ305&gt;0,EDATE(AD305,1),"")),""),"")</f>
        <v/>
      </c>
      <c r="AE306" s="19">
        <f ca="1">IF(ROW()-ROW(הפחתה8[[#Headers],[יתרת פתיחה]])=1,סכום_הלוואה4,IF(הפחתה8[[#This Row],[תאריך]]="",0,INDEX(הפחתה8[], ROW()-4,8)))</f>
        <v>0</v>
      </c>
      <c r="AF306" s="19">
        <f ca="1">IF(ValuesEntered4,IF(ROW()-ROW(הפחתה8[[#Headers],[ריבית]])=1,-IPMT(שיעור_ריבית4/12,1,תקופת_ההלוואה4-ROWS($C$4:AD306)+1,הפחתה8[[#This Row],[יתרת פתיחה]]),IFERROR(-IPMT(שיעור_ריבית4/12,1,הפחתה8[[#This Row],[תשלומים
שנותרו]],AE307),0)),0)</f>
        <v>0</v>
      </c>
      <c r="AG306" s="19" t="str">
        <f ca="1">IFERROR(IF(AND(ValuesEntered4,הפחתה8[[#This Row],[תאריך]]&lt;&gt;""),-PPMT(שיעור_ריבית4/12,1,תקופת_ההלוואה4-ROWS($C$4:AD306)+1,הפחתה8[[#This Row],[יתרת פתיחה]]),""),0)</f>
        <v/>
      </c>
      <c r="AH306" s="19">
        <f ca="1">(הפחתה8[[#This Row],[יתרת פתיחה]])*(מדד4/12)</f>
        <v>0</v>
      </c>
      <c r="AI306" s="19">
        <f ca="1">IF(הפחתה8[[#This Row],[תאריך]]="",0,הפחתה8[[#This Row],[ריבית]]+הפחתה8[[#This Row],[קרן]]+הפחתה8[[#This Row],[מדד]])</f>
        <v>0</v>
      </c>
      <c r="AJ306" s="19">
        <f ca="1">IF(הפחתה8[[#This Row],[תאריך]]="",0,הפחתה8[[#This Row],[יתרת פתיחה]]-הפחתה8[[#This Row],[קרן]])</f>
        <v>0</v>
      </c>
      <c r="AK306" s="20">
        <f ca="1">IF(הפחתה8[[#This Row],[יתרת
סגירה]]&gt;0,LastRow4-ROW(),0)</f>
        <v>0</v>
      </c>
    </row>
    <row r="307" spans="1:37" ht="15" customHeight="1" x14ac:dyDescent="0.25">
      <c r="A307" s="8"/>
      <c r="B307" s="11">
        <f>ROWS($B$4:B307)</f>
        <v>304</v>
      </c>
      <c r="C307" s="12">
        <f>IF(ValuesEntered,IF(הפחתה[[#This Row],[מס'']]&lt;=תקופת_ההלוואה,IF(ROW()-ROW(הפחתה[[#Headers],[תאריך]])=1,LoanStart,IF(I306&gt;0,EDATE(C306,1),"")),""),"")</f>
        <v>54605</v>
      </c>
      <c r="D307" s="13">
        <f>IF(ROW()-ROW(הפחתה[[#Headers],[יתרת פתיחה]])=1,סכום_הלוואה,IF(הפחתה[[#This Row],[תאריך]]="",0,INDEX(הפחתה[], ROW()-4,8)))</f>
        <v>167569.46433503597</v>
      </c>
      <c r="E307" s="13">
        <f>IF(ValuesEntered,IF(ROW()-ROW(הפחתה[[#Headers],[ריבית]])=1,-IPMT(שיעור_ריבית/12,1,תקופת_ההלוואה-ROWS($C$4:C307)+1,הפחתה[[#This Row],[יתרת פתיחה]]),IFERROR(-IPMT(שיעור_ריבית/12,1,הפחתה[[#This Row],[תשלומים
שנותרו]],D308),0)),0)</f>
        <v>728.65166242257646</v>
      </c>
      <c r="F307" s="13">
        <f>IFERROR(IF(AND(ValuesEntered,הפחתה[[#This Row],[תאריך]]&lt;&gt;""),-PPMT(שיעור_ריבית/12,1,תקופת_ההלוואה-ROWS($C$4:C307)+1,הפחתה[[#This Row],[יתרת פתיחה]]),""),0)</f>
        <v>2591.7294469054755</v>
      </c>
      <c r="G307" s="13">
        <f>(הפחתה[[#This Row],[יתרת פתיחה]])*(מדד/12)</f>
        <v>0</v>
      </c>
      <c r="H307" s="13">
        <f>IF(הפחתה[[#This Row],[תאריך]]="",0,הפחתה[[#This Row],[ריבית]]+הפחתה[[#This Row],[קרן]]+הפחתה[[#This Row],[מדד]])</f>
        <v>3320.3811093280519</v>
      </c>
      <c r="I307" s="13">
        <f>IF(הפחתה[[#This Row],[תאריך]]="",0,הפחתה[[#This Row],[יתרת פתיחה]]-הפחתה[[#This Row],[קרן]]+הפחתה[[#This Row],[מדד]])</f>
        <v>164977.73488813051</v>
      </c>
      <c r="J307" s="11">
        <f>IF(הפחתה[[#This Row],[יתרת
סגירה]]&gt;0,LastRow-ROW(),0)</f>
        <v>56</v>
      </c>
      <c r="K307" s="11">
        <f>ROWS($K$4:K307)</f>
        <v>304</v>
      </c>
      <c r="L307" s="12" t="str">
        <f>IF(ValuesEntered2,IF(הפחתה5[[#This Row],[מס'']]&lt;=תקופת_ההלוואה2,IF(ROW()-ROW(הפחתה5[[#Headers],[תאריך]])=1,LoanStart2,IF(R306&gt;0,EDATE(L306,1),"")),""),"")</f>
        <v/>
      </c>
      <c r="M307" s="13">
        <f>IF(ROW()-ROW(הפחתה5[[#Headers],[יתרת פתיחה]])=1,סכום_הלוואה2,IF(הפחתה5[[#This Row],[תאריך]]="",0,INDEX(הפחתה5[], ROW()-4,8)))</f>
        <v>0</v>
      </c>
      <c r="N307" s="13">
        <f>IF(ValuesEntered2,IF(ROW()-ROW(הפחתה5[[#Headers],[ריבית]])=1,-IPMT(שיעור_ריבית2/12,1,תקופת_ההלוואה2-ROWS($L$4:L307)+1,הפחתה5[[#This Row],[יתרת פתיחה]]),IFERROR(-IPMT(שיעור_ריבית2/12,1,הפחתה5[[#This Row],[תשלומים
שנותרו]],M308),0)),0)</f>
        <v>0</v>
      </c>
      <c r="O307" s="13" t="str">
        <f>IFERROR(IF(AND(ValuesEntered2,הפחתה5[[#This Row],[תאריך]]&lt;&gt;""),-PPMT(שיעור_ריבית2/12,1,תקופת_ההלוואה2-ROWS($L$4:L307)+1,הפחתה5[[#This Row],[יתרת פתיחה]]),""),0)</f>
        <v/>
      </c>
      <c r="P307" s="13">
        <f>(הפחתה5[[#This Row],[יתרת פתיחה]])*(מדד2/12)</f>
        <v>0</v>
      </c>
      <c r="Q307" s="13">
        <f>IF(הפחתה5[[#This Row],[תאריך]]="",0,הפחתה5[[#This Row],[ריבית]]+הפחתה5[[#This Row],[קרן]]+הפחתה5[[#This Row],[מדד]])</f>
        <v>0</v>
      </c>
      <c r="R307" s="13">
        <f>IF(הפחתה5[[#This Row],[תאריך]]="",0,הפחתה5[[#This Row],[יתרת פתיחה]]-הפחתה5[[#This Row],[קרן]]+הפחתה5[[#This Row],[מדד]])</f>
        <v>0</v>
      </c>
      <c r="S307" s="11">
        <f>IF(הפחתה5[[#This Row],[יתרת
סגירה]]&gt;0,LastRow2-ROW(),0)</f>
        <v>0</v>
      </c>
      <c r="T307" s="11">
        <f>ROWS($T$4:T307)</f>
        <v>304</v>
      </c>
      <c r="U307" s="12" t="str">
        <f ca="1">IF(ValuesEntered3,IF(הפחתה7[[#This Row],[מס'']]&lt;=תקופת_ההלוואה3,IF(ROW()-ROW(הפחתה7[[#Headers],[תאריך]])=1,LoanStart3,IF(AA306&gt;0,EDATE(U306,1),"")),""),"")</f>
        <v/>
      </c>
      <c r="V307" s="13">
        <f ca="1">IF(ROW()-ROW(הפחתה7[[#Headers],[יתרת פתיחה]])=1,סכום_הלוואה3,IF(הפחתה7[[#This Row],[תאריך]]="",0,INDEX(הפחתה7[], ROW()-4,8)))</f>
        <v>0</v>
      </c>
      <c r="W307" s="13">
        <f ca="1">IF(ValuesEntered3,IF(ROW()-ROW(הפחתה7[[#Headers],[ריבית]])=1,-IPMT(שיעור_ריבית3/12,1,תקופת_ההלוואה3-ROWS($C$4:U307)+1,הפחתה7[[#This Row],[יתרת פתיחה]]),IFERROR(-IPMT(שיעור_ריבית3/12,1,הפחתה7[[#This Row],[תשלומים
שנותרו]],V308),0)),0)</f>
        <v>0</v>
      </c>
      <c r="X307" s="13" t="str">
        <f ca="1">IFERROR(IF(AND(ValuesEntered3,הפחתה7[[#This Row],[תאריך]]&lt;&gt;""),-PPMT(שיעור_ריבית3/12,1,תקופת_ההלוואה3-ROWS($C$4:U307)+1,הפחתה7[[#This Row],[יתרת פתיחה]]),""),0)</f>
        <v/>
      </c>
      <c r="Y307" s="13">
        <f ca="1">(הפחתה7[[#This Row],[יתרת פתיחה]])*(מדד3/12)</f>
        <v>0</v>
      </c>
      <c r="Z307" s="13">
        <f ca="1">IF(הפחתה7[[#This Row],[תאריך]]="",0,הפחתה7[[#This Row],[ריבית]]+הפחתה7[[#This Row],[קרן]]+הפחתה7[[#This Row],[מדד]])</f>
        <v>0</v>
      </c>
      <c r="AA307" s="13">
        <f ca="1">IF(הפחתה7[[#This Row],[תאריך]]="",0,הפחתה7[[#This Row],[יתרת פתיחה]]-הפחתה7[[#This Row],[קרן]]+הפחתה7[[#This Row],[מדד]])</f>
        <v>0</v>
      </c>
      <c r="AB307" s="11">
        <f ca="1">IF(הפחתה7[[#This Row],[יתרת
סגירה]]&gt;0,LastRow3-ROW(),0)</f>
        <v>0</v>
      </c>
      <c r="AC307" s="17">
        <f>ROWS($AC$4:AC307)</f>
        <v>304</v>
      </c>
      <c r="AD307" s="18" t="str">
        <f ca="1">IF(ValuesEntered4,IF(הפחתה8[[#This Row],[מס'']]&lt;=תקופת_ההלוואה4,IF(ROW()-ROW(הפחתה8[[#Headers],[תאריך]])=1,LoanStart4,IF(AJ306&gt;0,EDATE(AD306,1),"")),""),"")</f>
        <v/>
      </c>
      <c r="AE307" s="19">
        <f ca="1">IF(ROW()-ROW(הפחתה8[[#Headers],[יתרת פתיחה]])=1,סכום_הלוואה4,IF(הפחתה8[[#This Row],[תאריך]]="",0,INDEX(הפחתה8[], ROW()-4,8)))</f>
        <v>0</v>
      </c>
      <c r="AF307" s="19">
        <f ca="1">IF(ValuesEntered4,IF(ROW()-ROW(הפחתה8[[#Headers],[ריבית]])=1,-IPMT(שיעור_ריבית4/12,1,תקופת_ההלוואה4-ROWS($C$4:AD307)+1,הפחתה8[[#This Row],[יתרת פתיחה]]),IFERROR(-IPMT(שיעור_ריבית4/12,1,הפחתה8[[#This Row],[תשלומים
שנותרו]],AE308),0)),0)</f>
        <v>0</v>
      </c>
      <c r="AG307" s="19" t="str">
        <f ca="1">IFERROR(IF(AND(ValuesEntered4,הפחתה8[[#This Row],[תאריך]]&lt;&gt;""),-PPMT(שיעור_ריבית4/12,1,תקופת_ההלוואה4-ROWS($C$4:AD307)+1,הפחתה8[[#This Row],[יתרת פתיחה]]),""),0)</f>
        <v/>
      </c>
      <c r="AH307" s="19">
        <f ca="1">(הפחתה8[[#This Row],[יתרת פתיחה]])*(מדד4/12)</f>
        <v>0</v>
      </c>
      <c r="AI307" s="19">
        <f ca="1">IF(הפחתה8[[#This Row],[תאריך]]="",0,הפחתה8[[#This Row],[ריבית]]+הפחתה8[[#This Row],[קרן]]+הפחתה8[[#This Row],[מדד]])</f>
        <v>0</v>
      </c>
      <c r="AJ307" s="19">
        <f ca="1">IF(הפחתה8[[#This Row],[תאריך]]="",0,הפחתה8[[#This Row],[יתרת פתיחה]]-הפחתה8[[#This Row],[קרן]])</f>
        <v>0</v>
      </c>
      <c r="AK307" s="20">
        <f ca="1">IF(הפחתה8[[#This Row],[יתרת
סגירה]]&gt;0,LastRow4-ROW(),0)</f>
        <v>0</v>
      </c>
    </row>
    <row r="308" spans="1:37" ht="15" customHeight="1" x14ac:dyDescent="0.25">
      <c r="A308" s="8"/>
      <c r="B308" s="11">
        <f>ROWS($B$4:B308)</f>
        <v>305</v>
      </c>
      <c r="C308" s="12">
        <f>IF(ValuesEntered,IF(הפחתה[[#This Row],[מס'']]&lt;=תקופת_ההלוואה,IF(ROW()-ROW(הפחתה[[#Headers],[תאריך]])=1,LoanStart,IF(I307&gt;0,EDATE(C307,1),"")),""),"")</f>
        <v>54636</v>
      </c>
      <c r="D308" s="13">
        <f>IF(ROW()-ROW(הפחתה[[#Headers],[יתרת פתיחה]])=1,סכום_הלוואה,IF(הפחתה[[#This Row],[תאריך]]="",0,INDEX(הפחתה[], ROW()-4,8)))</f>
        <v>164977.73488813051</v>
      </c>
      <c r="E308" s="13">
        <f>IF(ValuesEntered,IF(ROW()-ROW(הפחתה[[#Headers],[ריבית]])=1,-IPMT(שיעור_ריבית/12,1,תקופת_ההלוואה-ROWS($C$4:C308)+1,הפחתה[[#This Row],[יתרת פתיחה]]),IFERROR(-IPMT(שיעור_ריבית/12,1,הפחתה[[#This Row],[תשלומים
שנותרו]],D309),0)),0)</f>
        <v>717.15430064307475</v>
      </c>
      <c r="F308" s="13">
        <f>IFERROR(IF(AND(ValuesEntered,הפחתה[[#This Row],[תאריך]]&lt;&gt;""),-PPMT(שיעור_ריבית/12,1,תקופת_ההלוואה-ROWS($C$4:C308)+1,הפחתה[[#This Row],[יתרת פתיחה]]),""),0)</f>
        <v>2603.1762519626423</v>
      </c>
      <c r="G308" s="13">
        <f>(הפחתה[[#This Row],[יתרת פתיחה]])*(מדד/12)</f>
        <v>0</v>
      </c>
      <c r="H308" s="13">
        <f>IF(הפחתה[[#This Row],[תאריך]]="",0,הפחתה[[#This Row],[ריבית]]+הפחתה[[#This Row],[קרן]]+הפחתה[[#This Row],[מדד]])</f>
        <v>3320.330552605717</v>
      </c>
      <c r="I308" s="13">
        <f>IF(הפחתה[[#This Row],[תאריך]]="",0,הפחתה[[#This Row],[יתרת פתיחה]]-הפחתה[[#This Row],[קרן]]+הפחתה[[#This Row],[מדד]])</f>
        <v>162374.55863616787</v>
      </c>
      <c r="J308" s="11">
        <f>IF(הפחתה[[#This Row],[יתרת
סגירה]]&gt;0,LastRow-ROW(),0)</f>
        <v>55</v>
      </c>
      <c r="K308" s="11">
        <f>ROWS($K$4:K308)</f>
        <v>305</v>
      </c>
      <c r="L308" s="12" t="str">
        <f>IF(ValuesEntered2,IF(הפחתה5[[#This Row],[מס'']]&lt;=תקופת_ההלוואה2,IF(ROW()-ROW(הפחתה5[[#Headers],[תאריך]])=1,LoanStart2,IF(R307&gt;0,EDATE(L307,1),"")),""),"")</f>
        <v/>
      </c>
      <c r="M308" s="13">
        <f>IF(ROW()-ROW(הפחתה5[[#Headers],[יתרת פתיחה]])=1,סכום_הלוואה2,IF(הפחתה5[[#This Row],[תאריך]]="",0,INDEX(הפחתה5[], ROW()-4,8)))</f>
        <v>0</v>
      </c>
      <c r="N308" s="13">
        <f>IF(ValuesEntered2,IF(ROW()-ROW(הפחתה5[[#Headers],[ריבית]])=1,-IPMT(שיעור_ריבית2/12,1,תקופת_ההלוואה2-ROWS($L$4:L308)+1,הפחתה5[[#This Row],[יתרת פתיחה]]),IFERROR(-IPMT(שיעור_ריבית2/12,1,הפחתה5[[#This Row],[תשלומים
שנותרו]],M309),0)),0)</f>
        <v>0</v>
      </c>
      <c r="O308" s="13" t="str">
        <f>IFERROR(IF(AND(ValuesEntered2,הפחתה5[[#This Row],[תאריך]]&lt;&gt;""),-PPMT(שיעור_ריבית2/12,1,תקופת_ההלוואה2-ROWS($L$4:L308)+1,הפחתה5[[#This Row],[יתרת פתיחה]]),""),0)</f>
        <v/>
      </c>
      <c r="P308" s="13">
        <f>(הפחתה5[[#This Row],[יתרת פתיחה]])*(מדד2/12)</f>
        <v>0</v>
      </c>
      <c r="Q308" s="13">
        <f>IF(הפחתה5[[#This Row],[תאריך]]="",0,הפחתה5[[#This Row],[ריבית]]+הפחתה5[[#This Row],[קרן]]+הפחתה5[[#This Row],[מדד]])</f>
        <v>0</v>
      </c>
      <c r="R308" s="13">
        <f>IF(הפחתה5[[#This Row],[תאריך]]="",0,הפחתה5[[#This Row],[יתרת פתיחה]]-הפחתה5[[#This Row],[קרן]]+הפחתה5[[#This Row],[מדד]])</f>
        <v>0</v>
      </c>
      <c r="S308" s="11">
        <f>IF(הפחתה5[[#This Row],[יתרת
סגירה]]&gt;0,LastRow2-ROW(),0)</f>
        <v>0</v>
      </c>
      <c r="T308" s="11">
        <f>ROWS($T$4:T308)</f>
        <v>305</v>
      </c>
      <c r="U308" s="12" t="str">
        <f ca="1">IF(ValuesEntered3,IF(הפחתה7[[#This Row],[מס'']]&lt;=תקופת_ההלוואה3,IF(ROW()-ROW(הפחתה7[[#Headers],[תאריך]])=1,LoanStart3,IF(AA307&gt;0,EDATE(U307,1),"")),""),"")</f>
        <v/>
      </c>
      <c r="V308" s="13">
        <f ca="1">IF(ROW()-ROW(הפחתה7[[#Headers],[יתרת פתיחה]])=1,סכום_הלוואה3,IF(הפחתה7[[#This Row],[תאריך]]="",0,INDEX(הפחתה7[], ROW()-4,8)))</f>
        <v>0</v>
      </c>
      <c r="W308" s="13">
        <f ca="1">IF(ValuesEntered3,IF(ROW()-ROW(הפחתה7[[#Headers],[ריבית]])=1,-IPMT(שיעור_ריבית3/12,1,תקופת_ההלוואה3-ROWS($C$4:U308)+1,הפחתה7[[#This Row],[יתרת פתיחה]]),IFERROR(-IPMT(שיעור_ריבית3/12,1,הפחתה7[[#This Row],[תשלומים
שנותרו]],V309),0)),0)</f>
        <v>0</v>
      </c>
      <c r="X308" s="13" t="str">
        <f ca="1">IFERROR(IF(AND(ValuesEntered3,הפחתה7[[#This Row],[תאריך]]&lt;&gt;""),-PPMT(שיעור_ריבית3/12,1,תקופת_ההלוואה3-ROWS($C$4:U308)+1,הפחתה7[[#This Row],[יתרת פתיחה]]),""),0)</f>
        <v/>
      </c>
      <c r="Y308" s="13">
        <f ca="1">(הפחתה7[[#This Row],[יתרת פתיחה]])*(מדד3/12)</f>
        <v>0</v>
      </c>
      <c r="Z308" s="13">
        <f ca="1">IF(הפחתה7[[#This Row],[תאריך]]="",0,הפחתה7[[#This Row],[ריבית]]+הפחתה7[[#This Row],[קרן]]+הפחתה7[[#This Row],[מדד]])</f>
        <v>0</v>
      </c>
      <c r="AA308" s="13">
        <f ca="1">IF(הפחתה7[[#This Row],[תאריך]]="",0,הפחתה7[[#This Row],[יתרת פתיחה]]-הפחתה7[[#This Row],[קרן]]+הפחתה7[[#This Row],[מדד]])</f>
        <v>0</v>
      </c>
      <c r="AB308" s="11">
        <f ca="1">IF(הפחתה7[[#This Row],[יתרת
סגירה]]&gt;0,LastRow3-ROW(),0)</f>
        <v>0</v>
      </c>
      <c r="AC308" s="17">
        <f>ROWS($AC$4:AC308)</f>
        <v>305</v>
      </c>
      <c r="AD308" s="18" t="str">
        <f ca="1">IF(ValuesEntered4,IF(הפחתה8[[#This Row],[מס'']]&lt;=תקופת_ההלוואה4,IF(ROW()-ROW(הפחתה8[[#Headers],[תאריך]])=1,LoanStart4,IF(AJ307&gt;0,EDATE(AD307,1),"")),""),"")</f>
        <v/>
      </c>
      <c r="AE308" s="19">
        <f ca="1">IF(ROW()-ROW(הפחתה8[[#Headers],[יתרת פתיחה]])=1,סכום_הלוואה4,IF(הפחתה8[[#This Row],[תאריך]]="",0,INDEX(הפחתה8[], ROW()-4,8)))</f>
        <v>0</v>
      </c>
      <c r="AF308" s="19">
        <f ca="1">IF(ValuesEntered4,IF(ROW()-ROW(הפחתה8[[#Headers],[ריבית]])=1,-IPMT(שיעור_ריבית4/12,1,תקופת_ההלוואה4-ROWS($C$4:AD308)+1,הפחתה8[[#This Row],[יתרת פתיחה]]),IFERROR(-IPMT(שיעור_ריבית4/12,1,הפחתה8[[#This Row],[תשלומים
שנותרו]],AE309),0)),0)</f>
        <v>0</v>
      </c>
      <c r="AG308" s="19" t="str">
        <f ca="1">IFERROR(IF(AND(ValuesEntered4,הפחתה8[[#This Row],[תאריך]]&lt;&gt;""),-PPMT(שיעור_ריבית4/12,1,תקופת_ההלוואה4-ROWS($C$4:AD308)+1,הפחתה8[[#This Row],[יתרת פתיחה]]),""),0)</f>
        <v/>
      </c>
      <c r="AH308" s="19">
        <f ca="1">(הפחתה8[[#This Row],[יתרת פתיחה]])*(מדד4/12)</f>
        <v>0</v>
      </c>
      <c r="AI308" s="19">
        <f ca="1">IF(הפחתה8[[#This Row],[תאריך]]="",0,הפחתה8[[#This Row],[ריבית]]+הפחתה8[[#This Row],[קרן]]+הפחתה8[[#This Row],[מדד]])</f>
        <v>0</v>
      </c>
      <c r="AJ308" s="19">
        <f ca="1">IF(הפחתה8[[#This Row],[תאריך]]="",0,הפחתה8[[#This Row],[יתרת פתיחה]]-הפחתה8[[#This Row],[קרן]])</f>
        <v>0</v>
      </c>
      <c r="AK308" s="20">
        <f ca="1">IF(הפחתה8[[#This Row],[יתרת
סגירה]]&gt;0,LastRow4-ROW(),0)</f>
        <v>0</v>
      </c>
    </row>
    <row r="309" spans="1:37" ht="15" customHeight="1" x14ac:dyDescent="0.25">
      <c r="A309" s="8"/>
      <c r="B309" s="11">
        <f>ROWS($B$4:B309)</f>
        <v>306</v>
      </c>
      <c r="C309" s="12">
        <f>IF(ValuesEntered,IF(הפחתה[[#This Row],[מס'']]&lt;=תקופת_ההלוואה,IF(ROW()-ROW(הפחתה[[#Headers],[תאריך]])=1,LoanStart,IF(I308&gt;0,EDATE(C308,1),"")),""),"")</f>
        <v>54667</v>
      </c>
      <c r="D309" s="13">
        <f>IF(ROW()-ROW(הפחתה[[#Headers],[יתרת פתיחה]])=1,סכום_הלוואה,IF(הפחתה[[#This Row],[תאריך]]="",0,INDEX(הפחתה[], ROW()-4,8)))</f>
        <v>162374.55863616787</v>
      </c>
      <c r="E309" s="13">
        <f>IF(ValuesEntered,IF(ROW()-ROW(הפחתה[[#Headers],[ריבית]])=1,-IPMT(שיעור_ריבית/12,1,תקופת_ההלוואה-ROWS($C$4:C309)+1,הפחתה[[#This Row],[יתרת פתיחה]]),IFERROR(-IPMT(שיעור_ריבית/12,1,הפחתה[[#This Row],[תשלומים
שנותרו]],D310),0)),0)</f>
        <v>705.60615884904701</v>
      </c>
      <c r="F309" s="13">
        <f>IFERROR(IF(AND(ValuesEntered,הפחתה[[#This Row],[תאריך]]&lt;&gt;""),-PPMT(שיעור_ריבית/12,1,תקופת_ההלוואה-ROWS($C$4:C309)+1,הפחתה[[#This Row],[יתרת פתיחה]]),""),0)</f>
        <v>2614.673613742144</v>
      </c>
      <c r="G309" s="13">
        <f>(הפחתה[[#This Row],[יתרת פתיחה]])*(מדד/12)</f>
        <v>0</v>
      </c>
      <c r="H309" s="13">
        <f>IF(הפחתה[[#This Row],[תאריך]]="",0,הפחתה[[#This Row],[ריבית]]+הפחתה[[#This Row],[קרן]]+הפחתה[[#This Row],[מדד]])</f>
        <v>3320.279772591191</v>
      </c>
      <c r="I309" s="13">
        <f>IF(הפחתה[[#This Row],[תאריך]]="",0,הפחתה[[#This Row],[יתרת פתיחה]]-הפחתה[[#This Row],[קרן]]+הפחתה[[#This Row],[מדד]])</f>
        <v>159759.88502242573</v>
      </c>
      <c r="J309" s="11">
        <f>IF(הפחתה[[#This Row],[יתרת
סגירה]]&gt;0,LastRow-ROW(),0)</f>
        <v>54</v>
      </c>
      <c r="K309" s="11">
        <f>ROWS($K$4:K309)</f>
        <v>306</v>
      </c>
      <c r="L309" s="12" t="str">
        <f>IF(ValuesEntered2,IF(הפחתה5[[#This Row],[מס'']]&lt;=תקופת_ההלוואה2,IF(ROW()-ROW(הפחתה5[[#Headers],[תאריך]])=1,LoanStart2,IF(R308&gt;0,EDATE(L308,1),"")),""),"")</f>
        <v/>
      </c>
      <c r="M309" s="13">
        <f>IF(ROW()-ROW(הפחתה5[[#Headers],[יתרת פתיחה]])=1,סכום_הלוואה2,IF(הפחתה5[[#This Row],[תאריך]]="",0,INDEX(הפחתה5[], ROW()-4,8)))</f>
        <v>0</v>
      </c>
      <c r="N309" s="13">
        <f>IF(ValuesEntered2,IF(ROW()-ROW(הפחתה5[[#Headers],[ריבית]])=1,-IPMT(שיעור_ריבית2/12,1,תקופת_ההלוואה2-ROWS($L$4:L309)+1,הפחתה5[[#This Row],[יתרת פתיחה]]),IFERROR(-IPMT(שיעור_ריבית2/12,1,הפחתה5[[#This Row],[תשלומים
שנותרו]],M310),0)),0)</f>
        <v>0</v>
      </c>
      <c r="O309" s="13" t="str">
        <f>IFERROR(IF(AND(ValuesEntered2,הפחתה5[[#This Row],[תאריך]]&lt;&gt;""),-PPMT(שיעור_ריבית2/12,1,תקופת_ההלוואה2-ROWS($L$4:L309)+1,הפחתה5[[#This Row],[יתרת פתיחה]]),""),0)</f>
        <v/>
      </c>
      <c r="P309" s="13">
        <f>(הפחתה5[[#This Row],[יתרת פתיחה]])*(מדד2/12)</f>
        <v>0</v>
      </c>
      <c r="Q309" s="13">
        <f>IF(הפחתה5[[#This Row],[תאריך]]="",0,הפחתה5[[#This Row],[ריבית]]+הפחתה5[[#This Row],[קרן]]+הפחתה5[[#This Row],[מדד]])</f>
        <v>0</v>
      </c>
      <c r="R309" s="13">
        <f>IF(הפחתה5[[#This Row],[תאריך]]="",0,הפחתה5[[#This Row],[יתרת פתיחה]]-הפחתה5[[#This Row],[קרן]]+הפחתה5[[#This Row],[מדד]])</f>
        <v>0</v>
      </c>
      <c r="S309" s="11">
        <f>IF(הפחתה5[[#This Row],[יתרת
סגירה]]&gt;0,LastRow2-ROW(),0)</f>
        <v>0</v>
      </c>
      <c r="T309" s="11">
        <f>ROWS($T$4:T309)</f>
        <v>306</v>
      </c>
      <c r="U309" s="12" t="str">
        <f ca="1">IF(ValuesEntered3,IF(הפחתה7[[#This Row],[מס'']]&lt;=תקופת_ההלוואה3,IF(ROW()-ROW(הפחתה7[[#Headers],[תאריך]])=1,LoanStart3,IF(AA308&gt;0,EDATE(U308,1),"")),""),"")</f>
        <v/>
      </c>
      <c r="V309" s="13">
        <f ca="1">IF(ROW()-ROW(הפחתה7[[#Headers],[יתרת פתיחה]])=1,סכום_הלוואה3,IF(הפחתה7[[#This Row],[תאריך]]="",0,INDEX(הפחתה7[], ROW()-4,8)))</f>
        <v>0</v>
      </c>
      <c r="W309" s="13">
        <f ca="1">IF(ValuesEntered3,IF(ROW()-ROW(הפחתה7[[#Headers],[ריבית]])=1,-IPMT(שיעור_ריבית3/12,1,תקופת_ההלוואה3-ROWS($C$4:U309)+1,הפחתה7[[#This Row],[יתרת פתיחה]]),IFERROR(-IPMT(שיעור_ריבית3/12,1,הפחתה7[[#This Row],[תשלומים
שנותרו]],V310),0)),0)</f>
        <v>0</v>
      </c>
      <c r="X309" s="13" t="str">
        <f ca="1">IFERROR(IF(AND(ValuesEntered3,הפחתה7[[#This Row],[תאריך]]&lt;&gt;""),-PPMT(שיעור_ריבית3/12,1,תקופת_ההלוואה3-ROWS($C$4:U309)+1,הפחתה7[[#This Row],[יתרת פתיחה]]),""),0)</f>
        <v/>
      </c>
      <c r="Y309" s="13">
        <f ca="1">(הפחתה7[[#This Row],[יתרת פתיחה]])*(מדד3/12)</f>
        <v>0</v>
      </c>
      <c r="Z309" s="13">
        <f ca="1">IF(הפחתה7[[#This Row],[תאריך]]="",0,הפחתה7[[#This Row],[ריבית]]+הפחתה7[[#This Row],[קרן]]+הפחתה7[[#This Row],[מדד]])</f>
        <v>0</v>
      </c>
      <c r="AA309" s="13">
        <f ca="1">IF(הפחתה7[[#This Row],[תאריך]]="",0,הפחתה7[[#This Row],[יתרת פתיחה]]-הפחתה7[[#This Row],[קרן]]+הפחתה7[[#This Row],[מדד]])</f>
        <v>0</v>
      </c>
      <c r="AB309" s="11">
        <f ca="1">IF(הפחתה7[[#This Row],[יתרת
סגירה]]&gt;0,LastRow3-ROW(),0)</f>
        <v>0</v>
      </c>
      <c r="AC309" s="17">
        <f>ROWS($AC$4:AC309)</f>
        <v>306</v>
      </c>
      <c r="AD309" s="18" t="str">
        <f ca="1">IF(ValuesEntered4,IF(הפחתה8[[#This Row],[מס'']]&lt;=תקופת_ההלוואה4,IF(ROW()-ROW(הפחתה8[[#Headers],[תאריך]])=1,LoanStart4,IF(AJ308&gt;0,EDATE(AD308,1),"")),""),"")</f>
        <v/>
      </c>
      <c r="AE309" s="19">
        <f ca="1">IF(ROW()-ROW(הפחתה8[[#Headers],[יתרת פתיחה]])=1,סכום_הלוואה4,IF(הפחתה8[[#This Row],[תאריך]]="",0,INDEX(הפחתה8[], ROW()-4,8)))</f>
        <v>0</v>
      </c>
      <c r="AF309" s="19">
        <f ca="1">IF(ValuesEntered4,IF(ROW()-ROW(הפחתה8[[#Headers],[ריבית]])=1,-IPMT(שיעור_ריבית4/12,1,תקופת_ההלוואה4-ROWS($C$4:AD309)+1,הפחתה8[[#This Row],[יתרת פתיחה]]),IFERROR(-IPMT(שיעור_ריבית4/12,1,הפחתה8[[#This Row],[תשלומים
שנותרו]],AE310),0)),0)</f>
        <v>0</v>
      </c>
      <c r="AG309" s="19" t="str">
        <f ca="1">IFERROR(IF(AND(ValuesEntered4,הפחתה8[[#This Row],[תאריך]]&lt;&gt;""),-PPMT(שיעור_ריבית4/12,1,תקופת_ההלוואה4-ROWS($C$4:AD309)+1,הפחתה8[[#This Row],[יתרת פתיחה]]),""),0)</f>
        <v/>
      </c>
      <c r="AH309" s="19">
        <f ca="1">(הפחתה8[[#This Row],[יתרת פתיחה]])*(מדד4/12)</f>
        <v>0</v>
      </c>
      <c r="AI309" s="19">
        <f ca="1">IF(הפחתה8[[#This Row],[תאריך]]="",0,הפחתה8[[#This Row],[ריבית]]+הפחתה8[[#This Row],[קרן]]+הפחתה8[[#This Row],[מדד]])</f>
        <v>0</v>
      </c>
      <c r="AJ309" s="19">
        <f ca="1">IF(הפחתה8[[#This Row],[תאריך]]="",0,הפחתה8[[#This Row],[יתרת פתיחה]]-הפחתה8[[#This Row],[קרן]])</f>
        <v>0</v>
      </c>
      <c r="AK309" s="20">
        <f ca="1">IF(הפחתה8[[#This Row],[יתרת
סגירה]]&gt;0,LastRow4-ROW(),0)</f>
        <v>0</v>
      </c>
    </row>
    <row r="310" spans="1:37" ht="15" customHeight="1" x14ac:dyDescent="0.25">
      <c r="A310" s="8"/>
      <c r="B310" s="11">
        <f>ROWS($B$4:B310)</f>
        <v>307</v>
      </c>
      <c r="C310" s="12">
        <f>IF(ValuesEntered,IF(הפחתה[[#This Row],[מס'']]&lt;=תקופת_ההלוואה,IF(ROW()-ROW(הפחתה[[#Headers],[תאריך]])=1,LoanStart,IF(I309&gt;0,EDATE(C309,1),"")),""),"")</f>
        <v>54697</v>
      </c>
      <c r="D310" s="13">
        <f>IF(ROW()-ROW(הפחתה[[#Headers],[יתרת פתיחה]])=1,סכום_הלוואה,IF(הפחתה[[#This Row],[תאריך]]="",0,INDEX(הפחתה[], ROW()-4,8)))</f>
        <v>159759.88502242573</v>
      </c>
      <c r="E310" s="13">
        <f>IF(ValuesEntered,IF(ROW()-ROW(הפחתה[[#Headers],[ריבית]])=1,-IPMT(שיעור_ריבית/12,1,תקופת_ההלוואה-ROWS($C$4:C310)+1,הפחתה[[#This Row],[יתרת פתיחה]]),IFERROR(-IPMT(שיעור_ריבית/12,1,הפחתה[[#This Row],[תשלומים
שנותרו]],D311),0)),0)</f>
        <v>694.00701276209554</v>
      </c>
      <c r="F310" s="13">
        <f>IFERROR(IF(AND(ValuesEntered,הפחתה[[#This Row],[תאריך]]&lt;&gt;""),-PPMT(שיעור_ריבית/12,1,תקופת_ההלוואה-ROWS($C$4:C310)+1,הפחתה[[#This Row],[יתרת פתיחה]]),""),0)</f>
        <v>2626.2217555361722</v>
      </c>
      <c r="G310" s="13">
        <f>(הפחתה[[#This Row],[יתרת פתיחה]])*(מדד/12)</f>
        <v>0</v>
      </c>
      <c r="H310" s="13">
        <f>IF(הפחתה[[#This Row],[תאריך]]="",0,הפחתה[[#This Row],[ריבית]]+הפחתה[[#This Row],[קרן]]+הפחתה[[#This Row],[מדד]])</f>
        <v>3320.2287682982678</v>
      </c>
      <c r="I310" s="13">
        <f>IF(הפחתה[[#This Row],[תאריך]]="",0,הפחתה[[#This Row],[יתרת פתיחה]]-הפחתה[[#This Row],[קרן]]+הפחתה[[#This Row],[מדד]])</f>
        <v>157133.66326688955</v>
      </c>
      <c r="J310" s="11">
        <f>IF(הפחתה[[#This Row],[יתרת
סגירה]]&gt;0,LastRow-ROW(),0)</f>
        <v>53</v>
      </c>
      <c r="K310" s="11">
        <f>ROWS($K$4:K310)</f>
        <v>307</v>
      </c>
      <c r="L310" s="12" t="str">
        <f>IF(ValuesEntered2,IF(הפחתה5[[#This Row],[מס'']]&lt;=תקופת_ההלוואה2,IF(ROW()-ROW(הפחתה5[[#Headers],[תאריך]])=1,LoanStart2,IF(R309&gt;0,EDATE(L309,1),"")),""),"")</f>
        <v/>
      </c>
      <c r="M310" s="13">
        <f>IF(ROW()-ROW(הפחתה5[[#Headers],[יתרת פתיחה]])=1,סכום_הלוואה2,IF(הפחתה5[[#This Row],[תאריך]]="",0,INDEX(הפחתה5[], ROW()-4,8)))</f>
        <v>0</v>
      </c>
      <c r="N310" s="13">
        <f>IF(ValuesEntered2,IF(ROW()-ROW(הפחתה5[[#Headers],[ריבית]])=1,-IPMT(שיעור_ריבית2/12,1,תקופת_ההלוואה2-ROWS($L$4:L310)+1,הפחתה5[[#This Row],[יתרת פתיחה]]),IFERROR(-IPMT(שיעור_ריבית2/12,1,הפחתה5[[#This Row],[תשלומים
שנותרו]],M311),0)),0)</f>
        <v>0</v>
      </c>
      <c r="O310" s="13" t="str">
        <f>IFERROR(IF(AND(ValuesEntered2,הפחתה5[[#This Row],[תאריך]]&lt;&gt;""),-PPMT(שיעור_ריבית2/12,1,תקופת_ההלוואה2-ROWS($L$4:L310)+1,הפחתה5[[#This Row],[יתרת פתיחה]]),""),0)</f>
        <v/>
      </c>
      <c r="P310" s="13">
        <f>(הפחתה5[[#This Row],[יתרת פתיחה]])*(מדד2/12)</f>
        <v>0</v>
      </c>
      <c r="Q310" s="13">
        <f>IF(הפחתה5[[#This Row],[תאריך]]="",0,הפחתה5[[#This Row],[ריבית]]+הפחתה5[[#This Row],[קרן]]+הפחתה5[[#This Row],[מדד]])</f>
        <v>0</v>
      </c>
      <c r="R310" s="13">
        <f>IF(הפחתה5[[#This Row],[תאריך]]="",0,הפחתה5[[#This Row],[יתרת פתיחה]]-הפחתה5[[#This Row],[קרן]]+הפחתה5[[#This Row],[מדד]])</f>
        <v>0</v>
      </c>
      <c r="S310" s="11">
        <f>IF(הפחתה5[[#This Row],[יתרת
סגירה]]&gt;0,LastRow2-ROW(),0)</f>
        <v>0</v>
      </c>
      <c r="T310" s="11">
        <f>ROWS($T$4:T310)</f>
        <v>307</v>
      </c>
      <c r="U310" s="12" t="str">
        <f ca="1">IF(ValuesEntered3,IF(הפחתה7[[#This Row],[מס'']]&lt;=תקופת_ההלוואה3,IF(ROW()-ROW(הפחתה7[[#Headers],[תאריך]])=1,LoanStart3,IF(AA309&gt;0,EDATE(U309,1),"")),""),"")</f>
        <v/>
      </c>
      <c r="V310" s="13">
        <f ca="1">IF(ROW()-ROW(הפחתה7[[#Headers],[יתרת פתיחה]])=1,סכום_הלוואה3,IF(הפחתה7[[#This Row],[תאריך]]="",0,INDEX(הפחתה7[], ROW()-4,8)))</f>
        <v>0</v>
      </c>
      <c r="W310" s="13">
        <f ca="1">IF(ValuesEntered3,IF(ROW()-ROW(הפחתה7[[#Headers],[ריבית]])=1,-IPMT(שיעור_ריבית3/12,1,תקופת_ההלוואה3-ROWS($C$4:U310)+1,הפחתה7[[#This Row],[יתרת פתיחה]]),IFERROR(-IPMT(שיעור_ריבית3/12,1,הפחתה7[[#This Row],[תשלומים
שנותרו]],V311),0)),0)</f>
        <v>0</v>
      </c>
      <c r="X310" s="13" t="str">
        <f ca="1">IFERROR(IF(AND(ValuesEntered3,הפחתה7[[#This Row],[תאריך]]&lt;&gt;""),-PPMT(שיעור_ריבית3/12,1,תקופת_ההלוואה3-ROWS($C$4:U310)+1,הפחתה7[[#This Row],[יתרת פתיחה]]),""),0)</f>
        <v/>
      </c>
      <c r="Y310" s="13">
        <f ca="1">(הפחתה7[[#This Row],[יתרת פתיחה]])*(מדד3/12)</f>
        <v>0</v>
      </c>
      <c r="Z310" s="13">
        <f ca="1">IF(הפחתה7[[#This Row],[תאריך]]="",0,הפחתה7[[#This Row],[ריבית]]+הפחתה7[[#This Row],[קרן]]+הפחתה7[[#This Row],[מדד]])</f>
        <v>0</v>
      </c>
      <c r="AA310" s="13">
        <f ca="1">IF(הפחתה7[[#This Row],[תאריך]]="",0,הפחתה7[[#This Row],[יתרת פתיחה]]-הפחתה7[[#This Row],[קרן]]+הפחתה7[[#This Row],[מדד]])</f>
        <v>0</v>
      </c>
      <c r="AB310" s="11">
        <f ca="1">IF(הפחתה7[[#This Row],[יתרת
סגירה]]&gt;0,LastRow3-ROW(),0)</f>
        <v>0</v>
      </c>
      <c r="AC310" s="17">
        <f>ROWS($AC$4:AC310)</f>
        <v>307</v>
      </c>
      <c r="AD310" s="18" t="str">
        <f ca="1">IF(ValuesEntered4,IF(הפחתה8[[#This Row],[מס'']]&lt;=תקופת_ההלוואה4,IF(ROW()-ROW(הפחתה8[[#Headers],[תאריך]])=1,LoanStart4,IF(AJ309&gt;0,EDATE(AD309,1),"")),""),"")</f>
        <v/>
      </c>
      <c r="AE310" s="19">
        <f ca="1">IF(ROW()-ROW(הפחתה8[[#Headers],[יתרת פתיחה]])=1,סכום_הלוואה4,IF(הפחתה8[[#This Row],[תאריך]]="",0,INDEX(הפחתה8[], ROW()-4,8)))</f>
        <v>0</v>
      </c>
      <c r="AF310" s="19">
        <f ca="1">IF(ValuesEntered4,IF(ROW()-ROW(הפחתה8[[#Headers],[ריבית]])=1,-IPMT(שיעור_ריבית4/12,1,תקופת_ההלוואה4-ROWS($C$4:AD310)+1,הפחתה8[[#This Row],[יתרת פתיחה]]),IFERROR(-IPMT(שיעור_ריבית4/12,1,הפחתה8[[#This Row],[תשלומים
שנותרו]],AE311),0)),0)</f>
        <v>0</v>
      </c>
      <c r="AG310" s="19" t="str">
        <f ca="1">IFERROR(IF(AND(ValuesEntered4,הפחתה8[[#This Row],[תאריך]]&lt;&gt;""),-PPMT(שיעור_ריבית4/12,1,תקופת_ההלוואה4-ROWS($C$4:AD310)+1,הפחתה8[[#This Row],[יתרת פתיחה]]),""),0)</f>
        <v/>
      </c>
      <c r="AH310" s="19">
        <f ca="1">(הפחתה8[[#This Row],[יתרת פתיחה]])*(מדד4/12)</f>
        <v>0</v>
      </c>
      <c r="AI310" s="19">
        <f ca="1">IF(הפחתה8[[#This Row],[תאריך]]="",0,הפחתה8[[#This Row],[ריבית]]+הפחתה8[[#This Row],[קרן]]+הפחתה8[[#This Row],[מדד]])</f>
        <v>0</v>
      </c>
      <c r="AJ310" s="19">
        <f ca="1">IF(הפחתה8[[#This Row],[תאריך]]="",0,הפחתה8[[#This Row],[יתרת פתיחה]]-הפחתה8[[#This Row],[קרן]])</f>
        <v>0</v>
      </c>
      <c r="AK310" s="20">
        <f ca="1">IF(הפחתה8[[#This Row],[יתרת
סגירה]]&gt;0,LastRow4-ROW(),0)</f>
        <v>0</v>
      </c>
    </row>
    <row r="311" spans="1:37" ht="15" customHeight="1" x14ac:dyDescent="0.25">
      <c r="A311" s="8"/>
      <c r="B311" s="11">
        <f>ROWS($B$4:B311)</f>
        <v>308</v>
      </c>
      <c r="C311" s="12">
        <f>IF(ValuesEntered,IF(הפחתה[[#This Row],[מס'']]&lt;=תקופת_ההלוואה,IF(ROW()-ROW(הפחתה[[#Headers],[תאריך]])=1,LoanStart,IF(I310&gt;0,EDATE(C310,1),"")),""),"")</f>
        <v>54728</v>
      </c>
      <c r="D311" s="13">
        <f>IF(ROW()-ROW(הפחתה[[#Headers],[יתרת פתיחה]])=1,סכום_הלוואה,IF(הפחתה[[#This Row],[תאריך]]="",0,INDEX(הפחתה[], ROW()-4,8)))</f>
        <v>157133.66326688955</v>
      </c>
      <c r="E311" s="13">
        <f>IF(ValuesEntered,IF(ROW()-ROW(הפחתה[[#Headers],[ריבית]])=1,-IPMT(שיעור_ריבית/12,1,תקופת_ההלוואה-ROWS($C$4:C311)+1,הפחתה[[#This Row],[יתרת פתיחה]]),IFERROR(-IPMT(שיעור_ריבית/12,1,הפחתה[[#This Row],[תשלומים
שנותרו]],D312),0)),0)</f>
        <v>682.35663711326015</v>
      </c>
      <c r="F311" s="13">
        <f>IFERROR(IF(AND(ValuesEntered,הפחתה[[#This Row],[תאריך]]&lt;&gt;""),-PPMT(שיעור_ריבית/12,1,תקופת_ההלוואה-ROWS($C$4:C311)+1,הפחתה[[#This Row],[יתרת פתיחה]]),""),0)</f>
        <v>2637.8209016231231</v>
      </c>
      <c r="G311" s="13">
        <f>(הפחתה[[#This Row],[יתרת פתיחה]])*(מדד/12)</f>
        <v>0</v>
      </c>
      <c r="H311" s="13">
        <f>IF(הפחתה[[#This Row],[תאריך]]="",0,הפחתה[[#This Row],[ריבית]]+הפחתה[[#This Row],[קרן]]+הפחתה[[#This Row],[מדד]])</f>
        <v>3320.1775387363832</v>
      </c>
      <c r="I311" s="13">
        <f>IF(הפחתה[[#This Row],[תאריך]]="",0,הפחתה[[#This Row],[יתרת פתיחה]]-הפחתה[[#This Row],[קרן]]+הפחתה[[#This Row],[מדד]])</f>
        <v>154495.84236526644</v>
      </c>
      <c r="J311" s="11">
        <f>IF(הפחתה[[#This Row],[יתרת
סגירה]]&gt;0,LastRow-ROW(),0)</f>
        <v>52</v>
      </c>
      <c r="K311" s="11">
        <f>ROWS($K$4:K311)</f>
        <v>308</v>
      </c>
      <c r="L311" s="12" t="str">
        <f>IF(ValuesEntered2,IF(הפחתה5[[#This Row],[מס'']]&lt;=תקופת_ההלוואה2,IF(ROW()-ROW(הפחתה5[[#Headers],[תאריך]])=1,LoanStart2,IF(R310&gt;0,EDATE(L310,1),"")),""),"")</f>
        <v/>
      </c>
      <c r="M311" s="13">
        <f>IF(ROW()-ROW(הפחתה5[[#Headers],[יתרת פתיחה]])=1,סכום_הלוואה2,IF(הפחתה5[[#This Row],[תאריך]]="",0,INDEX(הפחתה5[], ROW()-4,8)))</f>
        <v>0</v>
      </c>
      <c r="N311" s="13">
        <f>IF(ValuesEntered2,IF(ROW()-ROW(הפחתה5[[#Headers],[ריבית]])=1,-IPMT(שיעור_ריבית2/12,1,תקופת_ההלוואה2-ROWS($L$4:L311)+1,הפחתה5[[#This Row],[יתרת פתיחה]]),IFERROR(-IPMT(שיעור_ריבית2/12,1,הפחתה5[[#This Row],[תשלומים
שנותרו]],M312),0)),0)</f>
        <v>0</v>
      </c>
      <c r="O311" s="13" t="str">
        <f>IFERROR(IF(AND(ValuesEntered2,הפחתה5[[#This Row],[תאריך]]&lt;&gt;""),-PPMT(שיעור_ריבית2/12,1,תקופת_ההלוואה2-ROWS($L$4:L311)+1,הפחתה5[[#This Row],[יתרת פתיחה]]),""),0)</f>
        <v/>
      </c>
      <c r="P311" s="13">
        <f>(הפחתה5[[#This Row],[יתרת פתיחה]])*(מדד2/12)</f>
        <v>0</v>
      </c>
      <c r="Q311" s="13">
        <f>IF(הפחתה5[[#This Row],[תאריך]]="",0,הפחתה5[[#This Row],[ריבית]]+הפחתה5[[#This Row],[קרן]]+הפחתה5[[#This Row],[מדד]])</f>
        <v>0</v>
      </c>
      <c r="R311" s="13">
        <f>IF(הפחתה5[[#This Row],[תאריך]]="",0,הפחתה5[[#This Row],[יתרת פתיחה]]-הפחתה5[[#This Row],[קרן]]+הפחתה5[[#This Row],[מדד]])</f>
        <v>0</v>
      </c>
      <c r="S311" s="11">
        <f>IF(הפחתה5[[#This Row],[יתרת
סגירה]]&gt;0,LastRow2-ROW(),0)</f>
        <v>0</v>
      </c>
      <c r="T311" s="11">
        <f>ROWS($T$4:T311)</f>
        <v>308</v>
      </c>
      <c r="U311" s="12" t="str">
        <f ca="1">IF(ValuesEntered3,IF(הפחתה7[[#This Row],[מס'']]&lt;=תקופת_ההלוואה3,IF(ROW()-ROW(הפחתה7[[#Headers],[תאריך]])=1,LoanStart3,IF(AA310&gt;0,EDATE(U310,1),"")),""),"")</f>
        <v/>
      </c>
      <c r="V311" s="13">
        <f ca="1">IF(ROW()-ROW(הפחתה7[[#Headers],[יתרת פתיחה]])=1,סכום_הלוואה3,IF(הפחתה7[[#This Row],[תאריך]]="",0,INDEX(הפחתה7[], ROW()-4,8)))</f>
        <v>0</v>
      </c>
      <c r="W311" s="13">
        <f ca="1">IF(ValuesEntered3,IF(ROW()-ROW(הפחתה7[[#Headers],[ריבית]])=1,-IPMT(שיעור_ריבית3/12,1,תקופת_ההלוואה3-ROWS($C$4:U311)+1,הפחתה7[[#This Row],[יתרת פתיחה]]),IFERROR(-IPMT(שיעור_ריבית3/12,1,הפחתה7[[#This Row],[תשלומים
שנותרו]],V312),0)),0)</f>
        <v>0</v>
      </c>
      <c r="X311" s="13" t="str">
        <f ca="1">IFERROR(IF(AND(ValuesEntered3,הפחתה7[[#This Row],[תאריך]]&lt;&gt;""),-PPMT(שיעור_ריבית3/12,1,תקופת_ההלוואה3-ROWS($C$4:U311)+1,הפחתה7[[#This Row],[יתרת פתיחה]]),""),0)</f>
        <v/>
      </c>
      <c r="Y311" s="13">
        <f ca="1">(הפחתה7[[#This Row],[יתרת פתיחה]])*(מדד3/12)</f>
        <v>0</v>
      </c>
      <c r="Z311" s="13">
        <f ca="1">IF(הפחתה7[[#This Row],[תאריך]]="",0,הפחתה7[[#This Row],[ריבית]]+הפחתה7[[#This Row],[קרן]]+הפחתה7[[#This Row],[מדד]])</f>
        <v>0</v>
      </c>
      <c r="AA311" s="13">
        <f ca="1">IF(הפחתה7[[#This Row],[תאריך]]="",0,הפחתה7[[#This Row],[יתרת פתיחה]]-הפחתה7[[#This Row],[קרן]]+הפחתה7[[#This Row],[מדד]])</f>
        <v>0</v>
      </c>
      <c r="AB311" s="11">
        <f ca="1">IF(הפחתה7[[#This Row],[יתרת
סגירה]]&gt;0,LastRow3-ROW(),0)</f>
        <v>0</v>
      </c>
      <c r="AC311" s="17">
        <f>ROWS($AC$4:AC311)</f>
        <v>308</v>
      </c>
      <c r="AD311" s="18" t="str">
        <f ca="1">IF(ValuesEntered4,IF(הפחתה8[[#This Row],[מס'']]&lt;=תקופת_ההלוואה4,IF(ROW()-ROW(הפחתה8[[#Headers],[תאריך]])=1,LoanStart4,IF(AJ310&gt;0,EDATE(AD310,1),"")),""),"")</f>
        <v/>
      </c>
      <c r="AE311" s="19">
        <f ca="1">IF(ROW()-ROW(הפחתה8[[#Headers],[יתרת פתיחה]])=1,סכום_הלוואה4,IF(הפחתה8[[#This Row],[תאריך]]="",0,INDEX(הפחתה8[], ROW()-4,8)))</f>
        <v>0</v>
      </c>
      <c r="AF311" s="19">
        <f ca="1">IF(ValuesEntered4,IF(ROW()-ROW(הפחתה8[[#Headers],[ריבית]])=1,-IPMT(שיעור_ריבית4/12,1,תקופת_ההלוואה4-ROWS($C$4:AD311)+1,הפחתה8[[#This Row],[יתרת פתיחה]]),IFERROR(-IPMT(שיעור_ריבית4/12,1,הפחתה8[[#This Row],[תשלומים
שנותרו]],AE312),0)),0)</f>
        <v>0</v>
      </c>
      <c r="AG311" s="19" t="str">
        <f ca="1">IFERROR(IF(AND(ValuesEntered4,הפחתה8[[#This Row],[תאריך]]&lt;&gt;""),-PPMT(שיעור_ריבית4/12,1,תקופת_ההלוואה4-ROWS($C$4:AD311)+1,הפחתה8[[#This Row],[יתרת פתיחה]]),""),0)</f>
        <v/>
      </c>
      <c r="AH311" s="19">
        <f ca="1">(הפחתה8[[#This Row],[יתרת פתיחה]])*(מדד4/12)</f>
        <v>0</v>
      </c>
      <c r="AI311" s="19">
        <f ca="1">IF(הפחתה8[[#This Row],[תאריך]]="",0,הפחתה8[[#This Row],[ריבית]]+הפחתה8[[#This Row],[קרן]]+הפחתה8[[#This Row],[מדד]])</f>
        <v>0</v>
      </c>
      <c r="AJ311" s="19">
        <f ca="1">IF(הפחתה8[[#This Row],[תאריך]]="",0,הפחתה8[[#This Row],[יתרת פתיחה]]-הפחתה8[[#This Row],[קרן]])</f>
        <v>0</v>
      </c>
      <c r="AK311" s="20">
        <f ca="1">IF(הפחתה8[[#This Row],[יתרת
סגירה]]&gt;0,LastRow4-ROW(),0)</f>
        <v>0</v>
      </c>
    </row>
    <row r="312" spans="1:37" ht="15" customHeight="1" x14ac:dyDescent="0.25">
      <c r="A312" s="8"/>
      <c r="B312" s="11">
        <f>ROWS($B$4:B312)</f>
        <v>309</v>
      </c>
      <c r="C312" s="12">
        <f>IF(ValuesEntered,IF(הפחתה[[#This Row],[מס'']]&lt;=תקופת_ההלוואה,IF(ROW()-ROW(הפחתה[[#Headers],[תאריך]])=1,LoanStart,IF(I311&gt;0,EDATE(C311,1),"")),""),"")</f>
        <v>54758</v>
      </c>
      <c r="D312" s="13">
        <f>IF(ROW()-ROW(הפחתה[[#Headers],[יתרת פתיחה]])=1,סכום_הלוואה,IF(הפחתה[[#This Row],[תאריך]]="",0,INDEX(הפחתה[], ROW()-4,8)))</f>
        <v>154495.84236526644</v>
      </c>
      <c r="E312" s="13">
        <f>IF(ValuesEntered,IF(ROW()-ROW(הפחתה[[#Headers],[ריבית]])=1,-IPMT(שיעור_ריבית/12,1,תקופת_ההלוואה-ROWS($C$4:C312)+1,הפחתה[[#This Row],[יתרת פתיחה]]),IFERROR(-IPMT(שיעור_ריבית/12,1,הפחתה[[#This Row],[תשלומים
שנותרו]],D313),0)),0)</f>
        <v>670.6548056386423</v>
      </c>
      <c r="F312" s="13">
        <f>IFERROR(IF(AND(ValuesEntered,הפחתה[[#This Row],[תאריך]]&lt;&gt;""),-PPMT(שיעור_ריבית/12,1,תקופת_ההלוואה-ROWS($C$4:C312)+1,הפחתה[[#This Row],[יתרת פתיחה]]),""),0)</f>
        <v>2649.4712772719595</v>
      </c>
      <c r="G312" s="13">
        <f>(הפחתה[[#This Row],[יתרת פתיחה]])*(מדד/12)</f>
        <v>0</v>
      </c>
      <c r="H312" s="13">
        <f>IF(הפחתה[[#This Row],[תאריך]]="",0,הפחתה[[#This Row],[ריבית]]+הפחתה[[#This Row],[קרן]]+הפחתה[[#This Row],[מדד]])</f>
        <v>3320.1260829106018</v>
      </c>
      <c r="I312" s="13">
        <f>IF(הפחתה[[#This Row],[תאריך]]="",0,הפחתה[[#This Row],[יתרת פתיחה]]-הפחתה[[#This Row],[קרן]]+הפחתה[[#This Row],[מדד]])</f>
        <v>151846.37108799448</v>
      </c>
      <c r="J312" s="11">
        <f>IF(הפחתה[[#This Row],[יתרת
סגירה]]&gt;0,LastRow-ROW(),0)</f>
        <v>51</v>
      </c>
      <c r="K312" s="11">
        <f>ROWS($K$4:K312)</f>
        <v>309</v>
      </c>
      <c r="L312" s="12" t="str">
        <f>IF(ValuesEntered2,IF(הפחתה5[[#This Row],[מס'']]&lt;=תקופת_ההלוואה2,IF(ROW()-ROW(הפחתה5[[#Headers],[תאריך]])=1,LoanStart2,IF(R311&gt;0,EDATE(L311,1),"")),""),"")</f>
        <v/>
      </c>
      <c r="M312" s="13">
        <f>IF(ROW()-ROW(הפחתה5[[#Headers],[יתרת פתיחה]])=1,סכום_הלוואה2,IF(הפחתה5[[#This Row],[תאריך]]="",0,INDEX(הפחתה5[], ROW()-4,8)))</f>
        <v>0</v>
      </c>
      <c r="N312" s="13">
        <f>IF(ValuesEntered2,IF(ROW()-ROW(הפחתה5[[#Headers],[ריבית]])=1,-IPMT(שיעור_ריבית2/12,1,תקופת_ההלוואה2-ROWS($L$4:L312)+1,הפחתה5[[#This Row],[יתרת פתיחה]]),IFERROR(-IPMT(שיעור_ריבית2/12,1,הפחתה5[[#This Row],[תשלומים
שנותרו]],M313),0)),0)</f>
        <v>0</v>
      </c>
      <c r="O312" s="13" t="str">
        <f>IFERROR(IF(AND(ValuesEntered2,הפחתה5[[#This Row],[תאריך]]&lt;&gt;""),-PPMT(שיעור_ריבית2/12,1,תקופת_ההלוואה2-ROWS($L$4:L312)+1,הפחתה5[[#This Row],[יתרת פתיחה]]),""),0)</f>
        <v/>
      </c>
      <c r="P312" s="13">
        <f>(הפחתה5[[#This Row],[יתרת פתיחה]])*(מדד2/12)</f>
        <v>0</v>
      </c>
      <c r="Q312" s="13">
        <f>IF(הפחתה5[[#This Row],[תאריך]]="",0,הפחתה5[[#This Row],[ריבית]]+הפחתה5[[#This Row],[קרן]]+הפחתה5[[#This Row],[מדד]])</f>
        <v>0</v>
      </c>
      <c r="R312" s="13">
        <f>IF(הפחתה5[[#This Row],[תאריך]]="",0,הפחתה5[[#This Row],[יתרת פתיחה]]-הפחתה5[[#This Row],[קרן]]+הפחתה5[[#This Row],[מדד]])</f>
        <v>0</v>
      </c>
      <c r="S312" s="11">
        <f>IF(הפחתה5[[#This Row],[יתרת
סגירה]]&gt;0,LastRow2-ROW(),0)</f>
        <v>0</v>
      </c>
      <c r="T312" s="11">
        <f>ROWS($T$4:T312)</f>
        <v>309</v>
      </c>
      <c r="U312" s="12" t="str">
        <f ca="1">IF(ValuesEntered3,IF(הפחתה7[[#This Row],[מס'']]&lt;=תקופת_ההלוואה3,IF(ROW()-ROW(הפחתה7[[#Headers],[תאריך]])=1,LoanStart3,IF(AA311&gt;0,EDATE(U311,1),"")),""),"")</f>
        <v/>
      </c>
      <c r="V312" s="13">
        <f ca="1">IF(ROW()-ROW(הפחתה7[[#Headers],[יתרת פתיחה]])=1,סכום_הלוואה3,IF(הפחתה7[[#This Row],[תאריך]]="",0,INDEX(הפחתה7[], ROW()-4,8)))</f>
        <v>0</v>
      </c>
      <c r="W312" s="13">
        <f ca="1">IF(ValuesEntered3,IF(ROW()-ROW(הפחתה7[[#Headers],[ריבית]])=1,-IPMT(שיעור_ריבית3/12,1,תקופת_ההלוואה3-ROWS($C$4:U312)+1,הפחתה7[[#This Row],[יתרת פתיחה]]),IFERROR(-IPMT(שיעור_ריבית3/12,1,הפחתה7[[#This Row],[תשלומים
שנותרו]],V313),0)),0)</f>
        <v>0</v>
      </c>
      <c r="X312" s="13" t="str">
        <f ca="1">IFERROR(IF(AND(ValuesEntered3,הפחתה7[[#This Row],[תאריך]]&lt;&gt;""),-PPMT(שיעור_ריבית3/12,1,תקופת_ההלוואה3-ROWS($C$4:U312)+1,הפחתה7[[#This Row],[יתרת פתיחה]]),""),0)</f>
        <v/>
      </c>
      <c r="Y312" s="13">
        <f ca="1">(הפחתה7[[#This Row],[יתרת פתיחה]])*(מדד3/12)</f>
        <v>0</v>
      </c>
      <c r="Z312" s="13">
        <f ca="1">IF(הפחתה7[[#This Row],[תאריך]]="",0,הפחתה7[[#This Row],[ריבית]]+הפחתה7[[#This Row],[קרן]]+הפחתה7[[#This Row],[מדד]])</f>
        <v>0</v>
      </c>
      <c r="AA312" s="13">
        <f ca="1">IF(הפחתה7[[#This Row],[תאריך]]="",0,הפחתה7[[#This Row],[יתרת פתיחה]]-הפחתה7[[#This Row],[קרן]]+הפחתה7[[#This Row],[מדד]])</f>
        <v>0</v>
      </c>
      <c r="AB312" s="11">
        <f ca="1">IF(הפחתה7[[#This Row],[יתרת
סגירה]]&gt;0,LastRow3-ROW(),0)</f>
        <v>0</v>
      </c>
      <c r="AC312" s="17">
        <f>ROWS($AC$4:AC312)</f>
        <v>309</v>
      </c>
      <c r="AD312" s="18" t="str">
        <f ca="1">IF(ValuesEntered4,IF(הפחתה8[[#This Row],[מס'']]&lt;=תקופת_ההלוואה4,IF(ROW()-ROW(הפחתה8[[#Headers],[תאריך]])=1,LoanStart4,IF(AJ311&gt;0,EDATE(AD311,1),"")),""),"")</f>
        <v/>
      </c>
      <c r="AE312" s="19">
        <f ca="1">IF(ROW()-ROW(הפחתה8[[#Headers],[יתרת פתיחה]])=1,סכום_הלוואה4,IF(הפחתה8[[#This Row],[תאריך]]="",0,INDEX(הפחתה8[], ROW()-4,8)))</f>
        <v>0</v>
      </c>
      <c r="AF312" s="19">
        <f ca="1">IF(ValuesEntered4,IF(ROW()-ROW(הפחתה8[[#Headers],[ריבית]])=1,-IPMT(שיעור_ריבית4/12,1,תקופת_ההלוואה4-ROWS($C$4:AD312)+1,הפחתה8[[#This Row],[יתרת פתיחה]]),IFERROR(-IPMT(שיעור_ריבית4/12,1,הפחתה8[[#This Row],[תשלומים
שנותרו]],AE313),0)),0)</f>
        <v>0</v>
      </c>
      <c r="AG312" s="19" t="str">
        <f ca="1">IFERROR(IF(AND(ValuesEntered4,הפחתה8[[#This Row],[תאריך]]&lt;&gt;""),-PPMT(שיעור_ריבית4/12,1,תקופת_ההלוואה4-ROWS($C$4:AD312)+1,הפחתה8[[#This Row],[יתרת פתיחה]]),""),0)</f>
        <v/>
      </c>
      <c r="AH312" s="19">
        <f ca="1">(הפחתה8[[#This Row],[יתרת פתיחה]])*(מדד4/12)</f>
        <v>0</v>
      </c>
      <c r="AI312" s="19">
        <f ca="1">IF(הפחתה8[[#This Row],[תאריך]]="",0,הפחתה8[[#This Row],[ריבית]]+הפחתה8[[#This Row],[קרן]]+הפחתה8[[#This Row],[מדד]])</f>
        <v>0</v>
      </c>
      <c r="AJ312" s="19">
        <f ca="1">IF(הפחתה8[[#This Row],[תאריך]]="",0,הפחתה8[[#This Row],[יתרת פתיחה]]-הפחתה8[[#This Row],[קרן]])</f>
        <v>0</v>
      </c>
      <c r="AK312" s="20">
        <f ca="1">IF(הפחתה8[[#This Row],[יתרת
סגירה]]&gt;0,LastRow4-ROW(),0)</f>
        <v>0</v>
      </c>
    </row>
    <row r="313" spans="1:37" ht="15" customHeight="1" x14ac:dyDescent="0.25">
      <c r="A313" s="8"/>
      <c r="B313" s="11">
        <f>ROWS($B$4:B313)</f>
        <v>310</v>
      </c>
      <c r="C313" s="12">
        <f>IF(ValuesEntered,IF(הפחתה[[#This Row],[מס'']]&lt;=תקופת_ההלוואה,IF(ROW()-ROW(הפחתה[[#Headers],[תאריך]])=1,LoanStart,IF(I312&gt;0,EDATE(C312,1),"")),""),"")</f>
        <v>54789</v>
      </c>
      <c r="D313" s="13">
        <f>IF(ROW()-ROW(הפחתה[[#Headers],[יתרת פתיחה]])=1,סכום_הלוואה,IF(הפחתה[[#This Row],[תאריך]]="",0,INDEX(הפחתה[], ROW()-4,8)))</f>
        <v>151846.37108799448</v>
      </c>
      <c r="E313" s="13">
        <f>IF(ValuesEntered,IF(ROW()-ROW(הפחתה[[#Headers],[ריבית]])=1,-IPMT(שיעור_ריבית/12,1,תקופת_ההלוואה-ROWS($C$4:C313)+1,הפחתה[[#This Row],[יתרת פתיחה]]),IFERROR(-IPMT(שיעור_ריבית/12,1,הפחתה[[#This Row],[תשלומים
שנותרו]],D314),0)),0)</f>
        <v>658.90129107501161</v>
      </c>
      <c r="F313" s="13">
        <f>IFERROR(IF(AND(ValuesEntered,הפחתה[[#This Row],[תאריך]]&lt;&gt;""),-PPMT(שיעור_ריבית/12,1,תקופת_ההלוואה-ROWS($C$4:C313)+1,הפחתה[[#This Row],[יתרת פתיחה]]),""),0)</f>
        <v>2661.1731087465773</v>
      </c>
      <c r="G313" s="13">
        <f>(הפחתה[[#This Row],[יתרת פתיחה]])*(מדד/12)</f>
        <v>0</v>
      </c>
      <c r="H313" s="13">
        <f>IF(הפחתה[[#This Row],[תאריך]]="",0,הפחתה[[#This Row],[ריבית]]+הפחתה[[#This Row],[קרן]]+הפחתה[[#This Row],[מדד]])</f>
        <v>3320.0743998215889</v>
      </c>
      <c r="I313" s="13">
        <f>IF(הפחתה[[#This Row],[תאריך]]="",0,הפחתה[[#This Row],[יתרת פתיחה]]-הפחתה[[#This Row],[קרן]]+הפחתה[[#This Row],[מדד]])</f>
        <v>149185.1979792479</v>
      </c>
      <c r="J313" s="11">
        <f>IF(הפחתה[[#This Row],[יתרת
סגירה]]&gt;0,LastRow-ROW(),0)</f>
        <v>50</v>
      </c>
      <c r="K313" s="11">
        <f>ROWS($K$4:K313)</f>
        <v>310</v>
      </c>
      <c r="L313" s="12" t="str">
        <f>IF(ValuesEntered2,IF(הפחתה5[[#This Row],[מס'']]&lt;=תקופת_ההלוואה2,IF(ROW()-ROW(הפחתה5[[#Headers],[תאריך]])=1,LoanStart2,IF(R312&gt;0,EDATE(L312,1),"")),""),"")</f>
        <v/>
      </c>
      <c r="M313" s="13">
        <f>IF(ROW()-ROW(הפחתה5[[#Headers],[יתרת פתיחה]])=1,סכום_הלוואה2,IF(הפחתה5[[#This Row],[תאריך]]="",0,INDEX(הפחתה5[], ROW()-4,8)))</f>
        <v>0</v>
      </c>
      <c r="N313" s="13">
        <f>IF(ValuesEntered2,IF(ROW()-ROW(הפחתה5[[#Headers],[ריבית]])=1,-IPMT(שיעור_ריבית2/12,1,תקופת_ההלוואה2-ROWS($L$4:L313)+1,הפחתה5[[#This Row],[יתרת פתיחה]]),IFERROR(-IPMT(שיעור_ריבית2/12,1,הפחתה5[[#This Row],[תשלומים
שנותרו]],M314),0)),0)</f>
        <v>0</v>
      </c>
      <c r="O313" s="13" t="str">
        <f>IFERROR(IF(AND(ValuesEntered2,הפחתה5[[#This Row],[תאריך]]&lt;&gt;""),-PPMT(שיעור_ריבית2/12,1,תקופת_ההלוואה2-ROWS($L$4:L313)+1,הפחתה5[[#This Row],[יתרת פתיחה]]),""),0)</f>
        <v/>
      </c>
      <c r="P313" s="13">
        <f>(הפחתה5[[#This Row],[יתרת פתיחה]])*(מדד2/12)</f>
        <v>0</v>
      </c>
      <c r="Q313" s="13">
        <f>IF(הפחתה5[[#This Row],[תאריך]]="",0,הפחתה5[[#This Row],[ריבית]]+הפחתה5[[#This Row],[קרן]]+הפחתה5[[#This Row],[מדד]])</f>
        <v>0</v>
      </c>
      <c r="R313" s="13">
        <f>IF(הפחתה5[[#This Row],[תאריך]]="",0,הפחתה5[[#This Row],[יתרת פתיחה]]-הפחתה5[[#This Row],[קרן]]+הפחתה5[[#This Row],[מדד]])</f>
        <v>0</v>
      </c>
      <c r="S313" s="11">
        <f>IF(הפחתה5[[#This Row],[יתרת
סגירה]]&gt;0,LastRow2-ROW(),0)</f>
        <v>0</v>
      </c>
      <c r="T313" s="11">
        <f>ROWS($T$4:T313)</f>
        <v>310</v>
      </c>
      <c r="U313" s="12" t="str">
        <f ca="1">IF(ValuesEntered3,IF(הפחתה7[[#This Row],[מס'']]&lt;=תקופת_ההלוואה3,IF(ROW()-ROW(הפחתה7[[#Headers],[תאריך]])=1,LoanStart3,IF(AA312&gt;0,EDATE(U312,1),"")),""),"")</f>
        <v/>
      </c>
      <c r="V313" s="13">
        <f ca="1">IF(ROW()-ROW(הפחתה7[[#Headers],[יתרת פתיחה]])=1,סכום_הלוואה3,IF(הפחתה7[[#This Row],[תאריך]]="",0,INDEX(הפחתה7[], ROW()-4,8)))</f>
        <v>0</v>
      </c>
      <c r="W313" s="13">
        <f ca="1">IF(ValuesEntered3,IF(ROW()-ROW(הפחתה7[[#Headers],[ריבית]])=1,-IPMT(שיעור_ריבית3/12,1,תקופת_ההלוואה3-ROWS($C$4:U313)+1,הפחתה7[[#This Row],[יתרת פתיחה]]),IFERROR(-IPMT(שיעור_ריבית3/12,1,הפחתה7[[#This Row],[תשלומים
שנותרו]],V314),0)),0)</f>
        <v>0</v>
      </c>
      <c r="X313" s="13" t="str">
        <f ca="1">IFERROR(IF(AND(ValuesEntered3,הפחתה7[[#This Row],[תאריך]]&lt;&gt;""),-PPMT(שיעור_ריבית3/12,1,תקופת_ההלוואה3-ROWS($C$4:U313)+1,הפחתה7[[#This Row],[יתרת פתיחה]]),""),0)</f>
        <v/>
      </c>
      <c r="Y313" s="13">
        <f ca="1">(הפחתה7[[#This Row],[יתרת פתיחה]])*(מדד3/12)</f>
        <v>0</v>
      </c>
      <c r="Z313" s="13">
        <f ca="1">IF(הפחתה7[[#This Row],[תאריך]]="",0,הפחתה7[[#This Row],[ריבית]]+הפחתה7[[#This Row],[קרן]]+הפחתה7[[#This Row],[מדד]])</f>
        <v>0</v>
      </c>
      <c r="AA313" s="13">
        <f ca="1">IF(הפחתה7[[#This Row],[תאריך]]="",0,הפחתה7[[#This Row],[יתרת פתיחה]]-הפחתה7[[#This Row],[קרן]]+הפחתה7[[#This Row],[מדד]])</f>
        <v>0</v>
      </c>
      <c r="AB313" s="11">
        <f ca="1">IF(הפחתה7[[#This Row],[יתרת
סגירה]]&gt;0,LastRow3-ROW(),0)</f>
        <v>0</v>
      </c>
      <c r="AC313" s="17">
        <f>ROWS($AC$4:AC313)</f>
        <v>310</v>
      </c>
      <c r="AD313" s="18" t="str">
        <f ca="1">IF(ValuesEntered4,IF(הפחתה8[[#This Row],[מס'']]&lt;=תקופת_ההלוואה4,IF(ROW()-ROW(הפחתה8[[#Headers],[תאריך]])=1,LoanStart4,IF(AJ312&gt;0,EDATE(AD312,1),"")),""),"")</f>
        <v/>
      </c>
      <c r="AE313" s="19">
        <f ca="1">IF(ROW()-ROW(הפחתה8[[#Headers],[יתרת פתיחה]])=1,סכום_הלוואה4,IF(הפחתה8[[#This Row],[תאריך]]="",0,INDEX(הפחתה8[], ROW()-4,8)))</f>
        <v>0</v>
      </c>
      <c r="AF313" s="19">
        <f ca="1">IF(ValuesEntered4,IF(ROW()-ROW(הפחתה8[[#Headers],[ריבית]])=1,-IPMT(שיעור_ריבית4/12,1,תקופת_ההלוואה4-ROWS($C$4:AD313)+1,הפחתה8[[#This Row],[יתרת פתיחה]]),IFERROR(-IPMT(שיעור_ריבית4/12,1,הפחתה8[[#This Row],[תשלומים
שנותרו]],AE314),0)),0)</f>
        <v>0</v>
      </c>
      <c r="AG313" s="19" t="str">
        <f ca="1">IFERROR(IF(AND(ValuesEntered4,הפחתה8[[#This Row],[תאריך]]&lt;&gt;""),-PPMT(שיעור_ריבית4/12,1,תקופת_ההלוואה4-ROWS($C$4:AD313)+1,הפחתה8[[#This Row],[יתרת פתיחה]]),""),0)</f>
        <v/>
      </c>
      <c r="AH313" s="19">
        <f ca="1">(הפחתה8[[#This Row],[יתרת פתיחה]])*(מדד4/12)</f>
        <v>0</v>
      </c>
      <c r="AI313" s="19">
        <f ca="1">IF(הפחתה8[[#This Row],[תאריך]]="",0,הפחתה8[[#This Row],[ריבית]]+הפחתה8[[#This Row],[קרן]]+הפחתה8[[#This Row],[מדד]])</f>
        <v>0</v>
      </c>
      <c r="AJ313" s="19">
        <f ca="1">IF(הפחתה8[[#This Row],[תאריך]]="",0,הפחתה8[[#This Row],[יתרת פתיחה]]-הפחתה8[[#This Row],[קרן]])</f>
        <v>0</v>
      </c>
      <c r="AK313" s="20">
        <f ca="1">IF(הפחתה8[[#This Row],[יתרת
סגירה]]&gt;0,LastRow4-ROW(),0)</f>
        <v>0</v>
      </c>
    </row>
    <row r="314" spans="1:37" ht="15" customHeight="1" x14ac:dyDescent="0.25">
      <c r="A314" s="8"/>
      <c r="B314" s="11">
        <f>ROWS($B$4:B314)</f>
        <v>311</v>
      </c>
      <c r="C314" s="12">
        <f>IF(ValuesEntered,IF(הפחתה[[#This Row],[מס'']]&lt;=תקופת_ההלוואה,IF(ROW()-ROW(הפחתה[[#Headers],[תאריך]])=1,LoanStart,IF(I313&gt;0,EDATE(C313,1),"")),""),"")</f>
        <v>54820</v>
      </c>
      <c r="D314" s="13">
        <f>IF(ROW()-ROW(הפחתה[[#Headers],[יתרת פתיחה]])=1,סכום_הלוואה,IF(הפחתה[[#This Row],[תאריך]]="",0,INDEX(הפחתה[], ROW()-4,8)))</f>
        <v>149185.1979792479</v>
      </c>
      <c r="E314" s="13">
        <f>IF(ValuesEntered,IF(ROW()-ROW(הפחתה[[#Headers],[ריבית]])=1,-IPMT(שיעור_ריבית/12,1,תקופת_ההלוואה-ROWS($C$4:C314)+1,הפחתה[[#This Row],[יתרת פתיחה]]),IFERROR(-IPMT(שיעור_ריבית/12,1,הפחתה[[#This Row],[תשלומים
שנותרו]],D315),0)),0)</f>
        <v>647.09586515539149</v>
      </c>
      <c r="F314" s="13">
        <f>IFERROR(IF(AND(ValuesEntered,הפחתה[[#This Row],[תאריך]]&lt;&gt;""),-PPMT(שיעור_ריבית/12,1,תקופת_ההלוואה-ROWS($C$4:C314)+1,הפחתה[[#This Row],[יתרת פתיחה]]),""),0)</f>
        <v>2672.9266233102067</v>
      </c>
      <c r="G314" s="13">
        <f>(הפחתה[[#This Row],[יתרת פתיחה]])*(מדד/12)</f>
        <v>0</v>
      </c>
      <c r="H314" s="13">
        <f>IF(הפחתה[[#This Row],[תאריך]]="",0,הפחתה[[#This Row],[ריבית]]+הפחתה[[#This Row],[קרן]]+הפחתה[[#This Row],[מדד]])</f>
        <v>3320.0224884655981</v>
      </c>
      <c r="I314" s="13">
        <f>IF(הפחתה[[#This Row],[תאריך]]="",0,הפחתה[[#This Row],[יתרת פתיחה]]-הפחתה[[#This Row],[קרן]]+הפחתה[[#This Row],[מדד]])</f>
        <v>146512.2713559377</v>
      </c>
      <c r="J314" s="11">
        <f>IF(הפחתה[[#This Row],[יתרת
סגירה]]&gt;0,LastRow-ROW(),0)</f>
        <v>49</v>
      </c>
      <c r="K314" s="11">
        <f>ROWS($K$4:K314)</f>
        <v>311</v>
      </c>
      <c r="L314" s="12" t="str">
        <f>IF(ValuesEntered2,IF(הפחתה5[[#This Row],[מס'']]&lt;=תקופת_ההלוואה2,IF(ROW()-ROW(הפחתה5[[#Headers],[תאריך]])=1,LoanStart2,IF(R313&gt;0,EDATE(L313,1),"")),""),"")</f>
        <v/>
      </c>
      <c r="M314" s="13">
        <f>IF(ROW()-ROW(הפחתה5[[#Headers],[יתרת פתיחה]])=1,סכום_הלוואה2,IF(הפחתה5[[#This Row],[תאריך]]="",0,INDEX(הפחתה5[], ROW()-4,8)))</f>
        <v>0</v>
      </c>
      <c r="N314" s="13">
        <f>IF(ValuesEntered2,IF(ROW()-ROW(הפחתה5[[#Headers],[ריבית]])=1,-IPMT(שיעור_ריבית2/12,1,תקופת_ההלוואה2-ROWS($L$4:L314)+1,הפחתה5[[#This Row],[יתרת פתיחה]]),IFERROR(-IPMT(שיעור_ריבית2/12,1,הפחתה5[[#This Row],[תשלומים
שנותרו]],M315),0)),0)</f>
        <v>0</v>
      </c>
      <c r="O314" s="13" t="str">
        <f>IFERROR(IF(AND(ValuesEntered2,הפחתה5[[#This Row],[תאריך]]&lt;&gt;""),-PPMT(שיעור_ריבית2/12,1,תקופת_ההלוואה2-ROWS($L$4:L314)+1,הפחתה5[[#This Row],[יתרת פתיחה]]),""),0)</f>
        <v/>
      </c>
      <c r="P314" s="13">
        <f>(הפחתה5[[#This Row],[יתרת פתיחה]])*(מדד2/12)</f>
        <v>0</v>
      </c>
      <c r="Q314" s="13">
        <f>IF(הפחתה5[[#This Row],[תאריך]]="",0,הפחתה5[[#This Row],[ריבית]]+הפחתה5[[#This Row],[קרן]]+הפחתה5[[#This Row],[מדד]])</f>
        <v>0</v>
      </c>
      <c r="R314" s="13">
        <f>IF(הפחתה5[[#This Row],[תאריך]]="",0,הפחתה5[[#This Row],[יתרת פתיחה]]-הפחתה5[[#This Row],[קרן]]+הפחתה5[[#This Row],[מדד]])</f>
        <v>0</v>
      </c>
      <c r="S314" s="11">
        <f>IF(הפחתה5[[#This Row],[יתרת
סגירה]]&gt;0,LastRow2-ROW(),0)</f>
        <v>0</v>
      </c>
      <c r="T314" s="11">
        <f>ROWS($T$4:T314)</f>
        <v>311</v>
      </c>
      <c r="U314" s="12" t="str">
        <f ca="1">IF(ValuesEntered3,IF(הפחתה7[[#This Row],[מס'']]&lt;=תקופת_ההלוואה3,IF(ROW()-ROW(הפחתה7[[#Headers],[תאריך]])=1,LoanStart3,IF(AA313&gt;0,EDATE(U313,1),"")),""),"")</f>
        <v/>
      </c>
      <c r="V314" s="13">
        <f ca="1">IF(ROW()-ROW(הפחתה7[[#Headers],[יתרת פתיחה]])=1,סכום_הלוואה3,IF(הפחתה7[[#This Row],[תאריך]]="",0,INDEX(הפחתה7[], ROW()-4,8)))</f>
        <v>0</v>
      </c>
      <c r="W314" s="13">
        <f ca="1">IF(ValuesEntered3,IF(ROW()-ROW(הפחתה7[[#Headers],[ריבית]])=1,-IPMT(שיעור_ריבית3/12,1,תקופת_ההלוואה3-ROWS($C$4:U314)+1,הפחתה7[[#This Row],[יתרת פתיחה]]),IFERROR(-IPMT(שיעור_ריבית3/12,1,הפחתה7[[#This Row],[תשלומים
שנותרו]],V315),0)),0)</f>
        <v>0</v>
      </c>
      <c r="X314" s="13" t="str">
        <f ca="1">IFERROR(IF(AND(ValuesEntered3,הפחתה7[[#This Row],[תאריך]]&lt;&gt;""),-PPMT(שיעור_ריבית3/12,1,תקופת_ההלוואה3-ROWS($C$4:U314)+1,הפחתה7[[#This Row],[יתרת פתיחה]]),""),0)</f>
        <v/>
      </c>
      <c r="Y314" s="13">
        <f ca="1">(הפחתה7[[#This Row],[יתרת פתיחה]])*(מדד3/12)</f>
        <v>0</v>
      </c>
      <c r="Z314" s="13">
        <f ca="1">IF(הפחתה7[[#This Row],[תאריך]]="",0,הפחתה7[[#This Row],[ריבית]]+הפחתה7[[#This Row],[קרן]]+הפחתה7[[#This Row],[מדד]])</f>
        <v>0</v>
      </c>
      <c r="AA314" s="13">
        <f ca="1">IF(הפחתה7[[#This Row],[תאריך]]="",0,הפחתה7[[#This Row],[יתרת פתיחה]]-הפחתה7[[#This Row],[קרן]]+הפחתה7[[#This Row],[מדד]])</f>
        <v>0</v>
      </c>
      <c r="AB314" s="11">
        <f ca="1">IF(הפחתה7[[#This Row],[יתרת
סגירה]]&gt;0,LastRow3-ROW(),0)</f>
        <v>0</v>
      </c>
      <c r="AC314" s="17">
        <f>ROWS($AC$4:AC314)</f>
        <v>311</v>
      </c>
      <c r="AD314" s="18" t="str">
        <f ca="1">IF(ValuesEntered4,IF(הפחתה8[[#This Row],[מס'']]&lt;=תקופת_ההלוואה4,IF(ROW()-ROW(הפחתה8[[#Headers],[תאריך]])=1,LoanStart4,IF(AJ313&gt;0,EDATE(AD313,1),"")),""),"")</f>
        <v/>
      </c>
      <c r="AE314" s="19">
        <f ca="1">IF(ROW()-ROW(הפחתה8[[#Headers],[יתרת פתיחה]])=1,סכום_הלוואה4,IF(הפחתה8[[#This Row],[תאריך]]="",0,INDEX(הפחתה8[], ROW()-4,8)))</f>
        <v>0</v>
      </c>
      <c r="AF314" s="19">
        <f ca="1">IF(ValuesEntered4,IF(ROW()-ROW(הפחתה8[[#Headers],[ריבית]])=1,-IPMT(שיעור_ריבית4/12,1,תקופת_ההלוואה4-ROWS($C$4:AD314)+1,הפחתה8[[#This Row],[יתרת פתיחה]]),IFERROR(-IPMT(שיעור_ריבית4/12,1,הפחתה8[[#This Row],[תשלומים
שנותרו]],AE315),0)),0)</f>
        <v>0</v>
      </c>
      <c r="AG314" s="19" t="str">
        <f ca="1">IFERROR(IF(AND(ValuesEntered4,הפחתה8[[#This Row],[תאריך]]&lt;&gt;""),-PPMT(שיעור_ריבית4/12,1,תקופת_ההלוואה4-ROWS($C$4:AD314)+1,הפחתה8[[#This Row],[יתרת פתיחה]]),""),0)</f>
        <v/>
      </c>
      <c r="AH314" s="19">
        <f ca="1">(הפחתה8[[#This Row],[יתרת פתיחה]])*(מדד4/12)</f>
        <v>0</v>
      </c>
      <c r="AI314" s="19">
        <f ca="1">IF(הפחתה8[[#This Row],[תאריך]]="",0,הפחתה8[[#This Row],[ריבית]]+הפחתה8[[#This Row],[קרן]]+הפחתה8[[#This Row],[מדד]])</f>
        <v>0</v>
      </c>
      <c r="AJ314" s="19">
        <f ca="1">IF(הפחתה8[[#This Row],[תאריך]]="",0,הפחתה8[[#This Row],[יתרת פתיחה]]-הפחתה8[[#This Row],[קרן]])</f>
        <v>0</v>
      </c>
      <c r="AK314" s="20">
        <f ca="1">IF(הפחתה8[[#This Row],[יתרת
סגירה]]&gt;0,LastRow4-ROW(),0)</f>
        <v>0</v>
      </c>
    </row>
    <row r="315" spans="1:37" ht="15" customHeight="1" x14ac:dyDescent="0.25">
      <c r="A315" s="8"/>
      <c r="B315" s="11">
        <f>ROWS($B$4:B315)</f>
        <v>312</v>
      </c>
      <c r="C315" s="12">
        <f>IF(ValuesEntered,IF(הפחתה[[#This Row],[מס'']]&lt;=תקופת_ההלוואה,IF(ROW()-ROW(הפחתה[[#Headers],[תאריך]])=1,LoanStart,IF(I314&gt;0,EDATE(C314,1),"")),""),"")</f>
        <v>54848</v>
      </c>
      <c r="D315" s="13">
        <f>IF(ROW()-ROW(הפחתה[[#Headers],[יתרת פתיחה]])=1,סכום_הלוואה,IF(הפחתה[[#This Row],[תאריך]]="",0,INDEX(הפחתה[], ROW()-4,8)))</f>
        <v>146512.2713559377</v>
      </c>
      <c r="E315" s="13">
        <f>IF(ValuesEntered,IF(ROW()-ROW(הפחתה[[#Headers],[ריבית]])=1,-IPMT(שיעור_ריבית/12,1,תקופת_ההלוואה-ROWS($C$4:C315)+1,הפחתה[[#This Row],[יתרת פתיחה]]),IFERROR(-IPMT(שיעור_ריבית/12,1,הפחתה[[#This Row],[תשלומים
שנותרו]],D316),0)),0)</f>
        <v>635.23829860462649</v>
      </c>
      <c r="F315" s="13">
        <f>IFERROR(IF(AND(ValuesEntered,הפחתה[[#This Row],[תאריך]]&lt;&gt;""),-PPMT(שיעור_ריבית/12,1,תקופת_ההלוואה-ROWS($C$4:C315)+1,הפחתה[[#This Row],[יתרת פתיחה]]),""),0)</f>
        <v>2684.7320492298272</v>
      </c>
      <c r="G315" s="13">
        <f>(הפחתה[[#This Row],[יתרת פתיחה]])*(מדד/12)</f>
        <v>0</v>
      </c>
      <c r="H315" s="13">
        <f>IF(הפחתה[[#This Row],[תאריך]]="",0,הפחתה[[#This Row],[ריבית]]+הפחתה[[#This Row],[קרן]]+הפחתה[[#This Row],[מדד]])</f>
        <v>3319.9703478344536</v>
      </c>
      <c r="I315" s="13">
        <f>IF(הפחתה[[#This Row],[תאריך]]="",0,הפחתה[[#This Row],[יתרת פתיחה]]-הפחתה[[#This Row],[קרן]]+הפחתה[[#This Row],[מדד]])</f>
        <v>143827.53930670788</v>
      </c>
      <c r="J315" s="11">
        <f>IF(הפחתה[[#This Row],[יתרת
סגירה]]&gt;0,LastRow-ROW(),0)</f>
        <v>48</v>
      </c>
      <c r="K315" s="11">
        <f>ROWS($K$4:K315)</f>
        <v>312</v>
      </c>
      <c r="L315" s="12" t="str">
        <f>IF(ValuesEntered2,IF(הפחתה5[[#This Row],[מס'']]&lt;=תקופת_ההלוואה2,IF(ROW()-ROW(הפחתה5[[#Headers],[תאריך]])=1,LoanStart2,IF(R314&gt;0,EDATE(L314,1),"")),""),"")</f>
        <v/>
      </c>
      <c r="M315" s="13">
        <f>IF(ROW()-ROW(הפחתה5[[#Headers],[יתרת פתיחה]])=1,סכום_הלוואה2,IF(הפחתה5[[#This Row],[תאריך]]="",0,INDEX(הפחתה5[], ROW()-4,8)))</f>
        <v>0</v>
      </c>
      <c r="N315" s="13">
        <f>IF(ValuesEntered2,IF(ROW()-ROW(הפחתה5[[#Headers],[ריבית]])=1,-IPMT(שיעור_ריבית2/12,1,תקופת_ההלוואה2-ROWS($L$4:L315)+1,הפחתה5[[#This Row],[יתרת פתיחה]]),IFERROR(-IPMT(שיעור_ריבית2/12,1,הפחתה5[[#This Row],[תשלומים
שנותרו]],M316),0)),0)</f>
        <v>0</v>
      </c>
      <c r="O315" s="13" t="str">
        <f>IFERROR(IF(AND(ValuesEntered2,הפחתה5[[#This Row],[תאריך]]&lt;&gt;""),-PPMT(שיעור_ריבית2/12,1,תקופת_ההלוואה2-ROWS($L$4:L315)+1,הפחתה5[[#This Row],[יתרת פתיחה]]),""),0)</f>
        <v/>
      </c>
      <c r="P315" s="13">
        <f>(הפחתה5[[#This Row],[יתרת פתיחה]])*(מדד2/12)</f>
        <v>0</v>
      </c>
      <c r="Q315" s="13">
        <f>IF(הפחתה5[[#This Row],[תאריך]]="",0,הפחתה5[[#This Row],[ריבית]]+הפחתה5[[#This Row],[קרן]]+הפחתה5[[#This Row],[מדד]])</f>
        <v>0</v>
      </c>
      <c r="R315" s="13">
        <f>IF(הפחתה5[[#This Row],[תאריך]]="",0,הפחתה5[[#This Row],[יתרת פתיחה]]-הפחתה5[[#This Row],[קרן]]+הפחתה5[[#This Row],[מדד]])</f>
        <v>0</v>
      </c>
      <c r="S315" s="11">
        <f>IF(הפחתה5[[#This Row],[יתרת
סגירה]]&gt;0,LastRow2-ROW(),0)</f>
        <v>0</v>
      </c>
      <c r="T315" s="11">
        <f>ROWS($T$4:T315)</f>
        <v>312</v>
      </c>
      <c r="U315" s="12" t="str">
        <f ca="1">IF(ValuesEntered3,IF(הפחתה7[[#This Row],[מס'']]&lt;=תקופת_ההלוואה3,IF(ROW()-ROW(הפחתה7[[#Headers],[תאריך]])=1,LoanStart3,IF(AA314&gt;0,EDATE(U314,1),"")),""),"")</f>
        <v/>
      </c>
      <c r="V315" s="13">
        <f ca="1">IF(ROW()-ROW(הפחתה7[[#Headers],[יתרת פתיחה]])=1,סכום_הלוואה3,IF(הפחתה7[[#This Row],[תאריך]]="",0,INDEX(הפחתה7[], ROW()-4,8)))</f>
        <v>0</v>
      </c>
      <c r="W315" s="13">
        <f ca="1">IF(ValuesEntered3,IF(ROW()-ROW(הפחתה7[[#Headers],[ריבית]])=1,-IPMT(שיעור_ריבית3/12,1,תקופת_ההלוואה3-ROWS($C$4:U315)+1,הפחתה7[[#This Row],[יתרת פתיחה]]),IFERROR(-IPMT(שיעור_ריבית3/12,1,הפחתה7[[#This Row],[תשלומים
שנותרו]],V316),0)),0)</f>
        <v>0</v>
      </c>
      <c r="X315" s="13" t="str">
        <f ca="1">IFERROR(IF(AND(ValuesEntered3,הפחתה7[[#This Row],[תאריך]]&lt;&gt;""),-PPMT(שיעור_ריבית3/12,1,תקופת_ההלוואה3-ROWS($C$4:U315)+1,הפחתה7[[#This Row],[יתרת פתיחה]]),""),0)</f>
        <v/>
      </c>
      <c r="Y315" s="13">
        <f ca="1">(הפחתה7[[#This Row],[יתרת פתיחה]])*(מדד3/12)</f>
        <v>0</v>
      </c>
      <c r="Z315" s="13">
        <f ca="1">IF(הפחתה7[[#This Row],[תאריך]]="",0,הפחתה7[[#This Row],[ריבית]]+הפחתה7[[#This Row],[קרן]]+הפחתה7[[#This Row],[מדד]])</f>
        <v>0</v>
      </c>
      <c r="AA315" s="13">
        <f ca="1">IF(הפחתה7[[#This Row],[תאריך]]="",0,הפחתה7[[#This Row],[יתרת פתיחה]]-הפחתה7[[#This Row],[קרן]]+הפחתה7[[#This Row],[מדד]])</f>
        <v>0</v>
      </c>
      <c r="AB315" s="11">
        <f ca="1">IF(הפחתה7[[#This Row],[יתרת
סגירה]]&gt;0,LastRow3-ROW(),0)</f>
        <v>0</v>
      </c>
      <c r="AC315" s="17">
        <f>ROWS($AC$4:AC315)</f>
        <v>312</v>
      </c>
      <c r="AD315" s="18" t="str">
        <f ca="1">IF(ValuesEntered4,IF(הפחתה8[[#This Row],[מס'']]&lt;=תקופת_ההלוואה4,IF(ROW()-ROW(הפחתה8[[#Headers],[תאריך]])=1,LoanStart4,IF(AJ314&gt;0,EDATE(AD314,1),"")),""),"")</f>
        <v/>
      </c>
      <c r="AE315" s="19">
        <f ca="1">IF(ROW()-ROW(הפחתה8[[#Headers],[יתרת פתיחה]])=1,סכום_הלוואה4,IF(הפחתה8[[#This Row],[תאריך]]="",0,INDEX(הפחתה8[], ROW()-4,8)))</f>
        <v>0</v>
      </c>
      <c r="AF315" s="19">
        <f ca="1">IF(ValuesEntered4,IF(ROW()-ROW(הפחתה8[[#Headers],[ריבית]])=1,-IPMT(שיעור_ריבית4/12,1,תקופת_ההלוואה4-ROWS($C$4:AD315)+1,הפחתה8[[#This Row],[יתרת פתיחה]]),IFERROR(-IPMT(שיעור_ריבית4/12,1,הפחתה8[[#This Row],[תשלומים
שנותרו]],AE316),0)),0)</f>
        <v>0</v>
      </c>
      <c r="AG315" s="19" t="str">
        <f ca="1">IFERROR(IF(AND(ValuesEntered4,הפחתה8[[#This Row],[תאריך]]&lt;&gt;""),-PPMT(שיעור_ריבית4/12,1,תקופת_ההלוואה4-ROWS($C$4:AD315)+1,הפחתה8[[#This Row],[יתרת פתיחה]]),""),0)</f>
        <v/>
      </c>
      <c r="AH315" s="19">
        <f ca="1">(הפחתה8[[#This Row],[יתרת פתיחה]])*(מדד4/12)</f>
        <v>0</v>
      </c>
      <c r="AI315" s="19">
        <f ca="1">IF(הפחתה8[[#This Row],[תאריך]]="",0,הפחתה8[[#This Row],[ריבית]]+הפחתה8[[#This Row],[קרן]]+הפחתה8[[#This Row],[מדד]])</f>
        <v>0</v>
      </c>
      <c r="AJ315" s="19">
        <f ca="1">IF(הפחתה8[[#This Row],[תאריך]]="",0,הפחתה8[[#This Row],[יתרת פתיחה]]-הפחתה8[[#This Row],[קרן]])</f>
        <v>0</v>
      </c>
      <c r="AK315" s="20">
        <f ca="1">IF(הפחתה8[[#This Row],[יתרת
סגירה]]&gt;0,LastRow4-ROW(),0)</f>
        <v>0</v>
      </c>
    </row>
    <row r="316" spans="1:37" ht="15" customHeight="1" x14ac:dyDescent="0.25">
      <c r="A316" s="8"/>
      <c r="B316" s="11">
        <f>ROWS($B$4:B316)</f>
        <v>313</v>
      </c>
      <c r="C316" s="12">
        <f>IF(ValuesEntered,IF(הפחתה[[#This Row],[מס'']]&lt;=תקופת_ההלוואה,IF(ROW()-ROW(הפחתה[[#Headers],[תאריך]])=1,LoanStart,IF(I315&gt;0,EDATE(C315,1),"")),""),"")</f>
        <v>54879</v>
      </c>
      <c r="D316" s="13">
        <f>IF(ROW()-ROW(הפחתה[[#Headers],[יתרת פתיחה]])=1,סכום_הלוואה,IF(הפחתה[[#This Row],[תאריך]]="",0,INDEX(הפחתה[], ROW()-4,8)))</f>
        <v>143827.53930670788</v>
      </c>
      <c r="E316" s="13">
        <f>IF(ValuesEntered,IF(ROW()-ROW(הפחתה[[#Headers],[ריבית]])=1,-IPMT(שיעור_ריבית/12,1,תקופת_ההלוואה-ROWS($C$4:C316)+1,הפחתה[[#This Row],[יתרת פתיחה]]),IFERROR(-IPMT(שיעור_ריבית/12,1,הפחתה[[#This Row],[תשלומים
שנותרו]],D317),0)),0)</f>
        <v>623.32836113492885</v>
      </c>
      <c r="F316" s="13">
        <f>IFERROR(IF(AND(ValuesEntered,הפחתה[[#This Row],[תאריך]]&lt;&gt;""),-PPMT(שיעור_ריבית/12,1,תקופת_ההלוואה-ROWS($C$4:C316)+1,הפחתה[[#This Row],[יתרת פתיחה]]),""),0)</f>
        <v>2696.5896157805928</v>
      </c>
      <c r="G316" s="13">
        <f>(הפחתה[[#This Row],[יתרת פתיחה]])*(מדד/12)</f>
        <v>0</v>
      </c>
      <c r="H316" s="13">
        <f>IF(הפחתה[[#This Row],[תאריך]]="",0,הפחתה[[#This Row],[ריבית]]+הפחתה[[#This Row],[קרן]]+הפחתה[[#This Row],[מדד]])</f>
        <v>3319.9179769155216</v>
      </c>
      <c r="I316" s="13">
        <f>IF(הפחתה[[#This Row],[תאריך]]="",0,הפחתה[[#This Row],[יתרת פתיחה]]-הפחתה[[#This Row],[קרן]]+הפחתה[[#This Row],[מדד]])</f>
        <v>141130.94969092729</v>
      </c>
      <c r="J316" s="11">
        <f>IF(הפחתה[[#This Row],[יתרת
סגירה]]&gt;0,LastRow-ROW(),0)</f>
        <v>47</v>
      </c>
      <c r="K316" s="11">
        <f>ROWS($K$4:K316)</f>
        <v>313</v>
      </c>
      <c r="L316" s="12" t="str">
        <f>IF(ValuesEntered2,IF(הפחתה5[[#This Row],[מס'']]&lt;=תקופת_ההלוואה2,IF(ROW()-ROW(הפחתה5[[#Headers],[תאריך]])=1,LoanStart2,IF(R315&gt;0,EDATE(L315,1),"")),""),"")</f>
        <v/>
      </c>
      <c r="M316" s="13">
        <f>IF(ROW()-ROW(הפחתה5[[#Headers],[יתרת פתיחה]])=1,סכום_הלוואה2,IF(הפחתה5[[#This Row],[תאריך]]="",0,INDEX(הפחתה5[], ROW()-4,8)))</f>
        <v>0</v>
      </c>
      <c r="N316" s="13">
        <f>IF(ValuesEntered2,IF(ROW()-ROW(הפחתה5[[#Headers],[ריבית]])=1,-IPMT(שיעור_ריבית2/12,1,תקופת_ההלוואה2-ROWS($L$4:L316)+1,הפחתה5[[#This Row],[יתרת פתיחה]]),IFERROR(-IPMT(שיעור_ריבית2/12,1,הפחתה5[[#This Row],[תשלומים
שנותרו]],M317),0)),0)</f>
        <v>0</v>
      </c>
      <c r="O316" s="13" t="str">
        <f>IFERROR(IF(AND(ValuesEntered2,הפחתה5[[#This Row],[תאריך]]&lt;&gt;""),-PPMT(שיעור_ריבית2/12,1,תקופת_ההלוואה2-ROWS($L$4:L316)+1,הפחתה5[[#This Row],[יתרת פתיחה]]),""),0)</f>
        <v/>
      </c>
      <c r="P316" s="13">
        <f>(הפחתה5[[#This Row],[יתרת פתיחה]])*(מדד2/12)</f>
        <v>0</v>
      </c>
      <c r="Q316" s="13">
        <f>IF(הפחתה5[[#This Row],[תאריך]]="",0,הפחתה5[[#This Row],[ריבית]]+הפחתה5[[#This Row],[קרן]]+הפחתה5[[#This Row],[מדד]])</f>
        <v>0</v>
      </c>
      <c r="R316" s="13">
        <f>IF(הפחתה5[[#This Row],[תאריך]]="",0,הפחתה5[[#This Row],[יתרת פתיחה]]-הפחתה5[[#This Row],[קרן]]+הפחתה5[[#This Row],[מדד]])</f>
        <v>0</v>
      </c>
      <c r="S316" s="11">
        <f>IF(הפחתה5[[#This Row],[יתרת
סגירה]]&gt;0,LastRow2-ROW(),0)</f>
        <v>0</v>
      </c>
      <c r="T316" s="11">
        <f>ROWS($T$4:T316)</f>
        <v>313</v>
      </c>
      <c r="U316" s="12" t="str">
        <f ca="1">IF(ValuesEntered3,IF(הפחתה7[[#This Row],[מס'']]&lt;=תקופת_ההלוואה3,IF(ROW()-ROW(הפחתה7[[#Headers],[תאריך]])=1,LoanStart3,IF(AA315&gt;0,EDATE(U315,1),"")),""),"")</f>
        <v/>
      </c>
      <c r="V316" s="13">
        <f ca="1">IF(ROW()-ROW(הפחתה7[[#Headers],[יתרת פתיחה]])=1,סכום_הלוואה3,IF(הפחתה7[[#This Row],[תאריך]]="",0,INDEX(הפחתה7[], ROW()-4,8)))</f>
        <v>0</v>
      </c>
      <c r="W316" s="13">
        <f ca="1">IF(ValuesEntered3,IF(ROW()-ROW(הפחתה7[[#Headers],[ריבית]])=1,-IPMT(שיעור_ריבית3/12,1,תקופת_ההלוואה3-ROWS($C$4:U316)+1,הפחתה7[[#This Row],[יתרת פתיחה]]),IFERROR(-IPMT(שיעור_ריבית3/12,1,הפחתה7[[#This Row],[תשלומים
שנותרו]],V317),0)),0)</f>
        <v>0</v>
      </c>
      <c r="X316" s="13" t="str">
        <f ca="1">IFERROR(IF(AND(ValuesEntered3,הפחתה7[[#This Row],[תאריך]]&lt;&gt;""),-PPMT(שיעור_ריבית3/12,1,תקופת_ההלוואה3-ROWS($C$4:U316)+1,הפחתה7[[#This Row],[יתרת פתיחה]]),""),0)</f>
        <v/>
      </c>
      <c r="Y316" s="13">
        <f ca="1">(הפחתה7[[#This Row],[יתרת פתיחה]])*(מדד3/12)</f>
        <v>0</v>
      </c>
      <c r="Z316" s="13">
        <f ca="1">IF(הפחתה7[[#This Row],[תאריך]]="",0,הפחתה7[[#This Row],[ריבית]]+הפחתה7[[#This Row],[קרן]]+הפחתה7[[#This Row],[מדד]])</f>
        <v>0</v>
      </c>
      <c r="AA316" s="13">
        <f ca="1">IF(הפחתה7[[#This Row],[תאריך]]="",0,הפחתה7[[#This Row],[יתרת פתיחה]]-הפחתה7[[#This Row],[קרן]]+הפחתה7[[#This Row],[מדד]])</f>
        <v>0</v>
      </c>
      <c r="AB316" s="11">
        <f ca="1">IF(הפחתה7[[#This Row],[יתרת
סגירה]]&gt;0,LastRow3-ROW(),0)</f>
        <v>0</v>
      </c>
      <c r="AC316" s="17">
        <f>ROWS($AC$4:AC316)</f>
        <v>313</v>
      </c>
      <c r="AD316" s="18" t="str">
        <f ca="1">IF(ValuesEntered4,IF(הפחתה8[[#This Row],[מס'']]&lt;=תקופת_ההלוואה4,IF(ROW()-ROW(הפחתה8[[#Headers],[תאריך]])=1,LoanStart4,IF(AJ315&gt;0,EDATE(AD315,1),"")),""),"")</f>
        <v/>
      </c>
      <c r="AE316" s="19">
        <f ca="1">IF(ROW()-ROW(הפחתה8[[#Headers],[יתרת פתיחה]])=1,סכום_הלוואה4,IF(הפחתה8[[#This Row],[תאריך]]="",0,INDEX(הפחתה8[], ROW()-4,8)))</f>
        <v>0</v>
      </c>
      <c r="AF316" s="19">
        <f ca="1">IF(ValuesEntered4,IF(ROW()-ROW(הפחתה8[[#Headers],[ריבית]])=1,-IPMT(שיעור_ריבית4/12,1,תקופת_ההלוואה4-ROWS($C$4:AD316)+1,הפחתה8[[#This Row],[יתרת פתיחה]]),IFERROR(-IPMT(שיעור_ריבית4/12,1,הפחתה8[[#This Row],[תשלומים
שנותרו]],AE317),0)),0)</f>
        <v>0</v>
      </c>
      <c r="AG316" s="19" t="str">
        <f ca="1">IFERROR(IF(AND(ValuesEntered4,הפחתה8[[#This Row],[תאריך]]&lt;&gt;""),-PPMT(שיעור_ריבית4/12,1,תקופת_ההלוואה4-ROWS($C$4:AD316)+1,הפחתה8[[#This Row],[יתרת פתיחה]]),""),0)</f>
        <v/>
      </c>
      <c r="AH316" s="19">
        <f ca="1">(הפחתה8[[#This Row],[יתרת פתיחה]])*(מדד4/12)</f>
        <v>0</v>
      </c>
      <c r="AI316" s="19">
        <f ca="1">IF(הפחתה8[[#This Row],[תאריך]]="",0,הפחתה8[[#This Row],[ריבית]]+הפחתה8[[#This Row],[קרן]]+הפחתה8[[#This Row],[מדד]])</f>
        <v>0</v>
      </c>
      <c r="AJ316" s="19">
        <f ca="1">IF(הפחתה8[[#This Row],[תאריך]]="",0,הפחתה8[[#This Row],[יתרת פתיחה]]-הפחתה8[[#This Row],[קרן]])</f>
        <v>0</v>
      </c>
      <c r="AK316" s="20">
        <f ca="1">IF(הפחתה8[[#This Row],[יתרת
סגירה]]&gt;0,LastRow4-ROW(),0)</f>
        <v>0</v>
      </c>
    </row>
    <row r="317" spans="1:37" ht="15" customHeight="1" x14ac:dyDescent="0.25">
      <c r="A317" s="8"/>
      <c r="B317" s="11">
        <f>ROWS($B$4:B317)</f>
        <v>314</v>
      </c>
      <c r="C317" s="12">
        <f>IF(ValuesEntered,IF(הפחתה[[#This Row],[מס'']]&lt;=תקופת_ההלוואה,IF(ROW()-ROW(הפחתה[[#Headers],[תאריך]])=1,LoanStart,IF(I316&gt;0,EDATE(C316,1),"")),""),"")</f>
        <v>54909</v>
      </c>
      <c r="D317" s="13">
        <f>IF(ROW()-ROW(הפחתה[[#Headers],[יתרת פתיחה]])=1,סכום_הלוואה,IF(הפחתה[[#This Row],[תאריך]]="",0,INDEX(הפחתה[], ROW()-4,8)))</f>
        <v>141130.94969092729</v>
      </c>
      <c r="E317" s="13">
        <f>IF(ValuesEntered,IF(ROW()-ROW(הפחתה[[#Headers],[ריבית]])=1,-IPMT(שיעור_ריבית/12,1,תקופת_ההלוואה-ROWS($C$4:C317)+1,הפחתה[[#This Row],[יתרת פתיחה]]),IFERROR(-IPMT(שיעור_ריבית/12,1,הפחתה[[#This Row],[תשלומים
שנותרו]],D318),0)),0)</f>
        <v>611.36582144140675</v>
      </c>
      <c r="F317" s="13">
        <f>IFERROR(IF(AND(ValuesEntered,הפחתה[[#This Row],[תאריך]]&lt;&gt;""),-PPMT(שיעור_ריבית/12,1,תקופת_ההלוואה-ROWS($C$4:C317)+1,הפחתה[[#This Row],[יתרת פתיחה]]),""),0)</f>
        <v>2708.4995532502908</v>
      </c>
      <c r="G317" s="13">
        <f>(הפחתה[[#This Row],[יתרת פתיחה]])*(מדד/12)</f>
        <v>0</v>
      </c>
      <c r="H317" s="13">
        <f>IF(הפחתה[[#This Row],[תאריך]]="",0,הפחתה[[#This Row],[ריבית]]+הפחתה[[#This Row],[קרן]]+הפחתה[[#This Row],[מדד]])</f>
        <v>3319.8653746916975</v>
      </c>
      <c r="I317" s="13">
        <f>IF(הפחתה[[#This Row],[תאריך]]="",0,הפחתה[[#This Row],[יתרת פתיחה]]-הפחתה[[#This Row],[קרן]]+הפחתה[[#This Row],[מדד]])</f>
        <v>138422.45013767699</v>
      </c>
      <c r="J317" s="11">
        <f>IF(הפחתה[[#This Row],[יתרת
סגירה]]&gt;0,LastRow-ROW(),0)</f>
        <v>46</v>
      </c>
      <c r="K317" s="11">
        <f>ROWS($K$4:K317)</f>
        <v>314</v>
      </c>
      <c r="L317" s="12" t="str">
        <f>IF(ValuesEntered2,IF(הפחתה5[[#This Row],[מס'']]&lt;=תקופת_ההלוואה2,IF(ROW()-ROW(הפחתה5[[#Headers],[תאריך]])=1,LoanStart2,IF(R316&gt;0,EDATE(L316,1),"")),""),"")</f>
        <v/>
      </c>
      <c r="M317" s="13">
        <f>IF(ROW()-ROW(הפחתה5[[#Headers],[יתרת פתיחה]])=1,סכום_הלוואה2,IF(הפחתה5[[#This Row],[תאריך]]="",0,INDEX(הפחתה5[], ROW()-4,8)))</f>
        <v>0</v>
      </c>
      <c r="N317" s="13">
        <f>IF(ValuesEntered2,IF(ROW()-ROW(הפחתה5[[#Headers],[ריבית]])=1,-IPMT(שיעור_ריבית2/12,1,תקופת_ההלוואה2-ROWS($L$4:L317)+1,הפחתה5[[#This Row],[יתרת פתיחה]]),IFERROR(-IPMT(שיעור_ריבית2/12,1,הפחתה5[[#This Row],[תשלומים
שנותרו]],M318),0)),0)</f>
        <v>0</v>
      </c>
      <c r="O317" s="13" t="str">
        <f>IFERROR(IF(AND(ValuesEntered2,הפחתה5[[#This Row],[תאריך]]&lt;&gt;""),-PPMT(שיעור_ריבית2/12,1,תקופת_ההלוואה2-ROWS($L$4:L317)+1,הפחתה5[[#This Row],[יתרת פתיחה]]),""),0)</f>
        <v/>
      </c>
      <c r="P317" s="13">
        <f>(הפחתה5[[#This Row],[יתרת פתיחה]])*(מדד2/12)</f>
        <v>0</v>
      </c>
      <c r="Q317" s="13">
        <f>IF(הפחתה5[[#This Row],[תאריך]]="",0,הפחתה5[[#This Row],[ריבית]]+הפחתה5[[#This Row],[קרן]]+הפחתה5[[#This Row],[מדד]])</f>
        <v>0</v>
      </c>
      <c r="R317" s="13">
        <f>IF(הפחתה5[[#This Row],[תאריך]]="",0,הפחתה5[[#This Row],[יתרת פתיחה]]-הפחתה5[[#This Row],[קרן]]+הפחתה5[[#This Row],[מדד]])</f>
        <v>0</v>
      </c>
      <c r="S317" s="11">
        <f>IF(הפחתה5[[#This Row],[יתרת
סגירה]]&gt;0,LastRow2-ROW(),0)</f>
        <v>0</v>
      </c>
      <c r="T317" s="11">
        <f>ROWS($T$4:T317)</f>
        <v>314</v>
      </c>
      <c r="U317" s="12" t="str">
        <f ca="1">IF(ValuesEntered3,IF(הפחתה7[[#This Row],[מס'']]&lt;=תקופת_ההלוואה3,IF(ROW()-ROW(הפחתה7[[#Headers],[תאריך]])=1,LoanStart3,IF(AA316&gt;0,EDATE(U316,1),"")),""),"")</f>
        <v/>
      </c>
      <c r="V317" s="13">
        <f ca="1">IF(ROW()-ROW(הפחתה7[[#Headers],[יתרת פתיחה]])=1,סכום_הלוואה3,IF(הפחתה7[[#This Row],[תאריך]]="",0,INDEX(הפחתה7[], ROW()-4,8)))</f>
        <v>0</v>
      </c>
      <c r="W317" s="13">
        <f ca="1">IF(ValuesEntered3,IF(ROW()-ROW(הפחתה7[[#Headers],[ריבית]])=1,-IPMT(שיעור_ריבית3/12,1,תקופת_ההלוואה3-ROWS($C$4:U317)+1,הפחתה7[[#This Row],[יתרת פתיחה]]),IFERROR(-IPMT(שיעור_ריבית3/12,1,הפחתה7[[#This Row],[תשלומים
שנותרו]],V318),0)),0)</f>
        <v>0</v>
      </c>
      <c r="X317" s="13" t="str">
        <f ca="1">IFERROR(IF(AND(ValuesEntered3,הפחתה7[[#This Row],[תאריך]]&lt;&gt;""),-PPMT(שיעור_ריבית3/12,1,תקופת_ההלוואה3-ROWS($C$4:U317)+1,הפחתה7[[#This Row],[יתרת פתיחה]]),""),0)</f>
        <v/>
      </c>
      <c r="Y317" s="13">
        <f ca="1">(הפחתה7[[#This Row],[יתרת פתיחה]])*(מדד3/12)</f>
        <v>0</v>
      </c>
      <c r="Z317" s="13">
        <f ca="1">IF(הפחתה7[[#This Row],[תאריך]]="",0,הפחתה7[[#This Row],[ריבית]]+הפחתה7[[#This Row],[קרן]]+הפחתה7[[#This Row],[מדד]])</f>
        <v>0</v>
      </c>
      <c r="AA317" s="13">
        <f ca="1">IF(הפחתה7[[#This Row],[תאריך]]="",0,הפחתה7[[#This Row],[יתרת פתיחה]]-הפחתה7[[#This Row],[קרן]]+הפחתה7[[#This Row],[מדד]])</f>
        <v>0</v>
      </c>
      <c r="AB317" s="11">
        <f ca="1">IF(הפחתה7[[#This Row],[יתרת
סגירה]]&gt;0,LastRow3-ROW(),0)</f>
        <v>0</v>
      </c>
      <c r="AC317" s="17">
        <f>ROWS($AC$4:AC317)</f>
        <v>314</v>
      </c>
      <c r="AD317" s="18" t="str">
        <f ca="1">IF(ValuesEntered4,IF(הפחתה8[[#This Row],[מס'']]&lt;=תקופת_ההלוואה4,IF(ROW()-ROW(הפחתה8[[#Headers],[תאריך]])=1,LoanStart4,IF(AJ316&gt;0,EDATE(AD316,1),"")),""),"")</f>
        <v/>
      </c>
      <c r="AE317" s="19">
        <f ca="1">IF(ROW()-ROW(הפחתה8[[#Headers],[יתרת פתיחה]])=1,סכום_הלוואה4,IF(הפחתה8[[#This Row],[תאריך]]="",0,INDEX(הפחתה8[], ROW()-4,8)))</f>
        <v>0</v>
      </c>
      <c r="AF317" s="19">
        <f ca="1">IF(ValuesEntered4,IF(ROW()-ROW(הפחתה8[[#Headers],[ריבית]])=1,-IPMT(שיעור_ריבית4/12,1,תקופת_ההלוואה4-ROWS($C$4:AD317)+1,הפחתה8[[#This Row],[יתרת פתיחה]]),IFERROR(-IPMT(שיעור_ריבית4/12,1,הפחתה8[[#This Row],[תשלומים
שנותרו]],AE318),0)),0)</f>
        <v>0</v>
      </c>
      <c r="AG317" s="19" t="str">
        <f ca="1">IFERROR(IF(AND(ValuesEntered4,הפחתה8[[#This Row],[תאריך]]&lt;&gt;""),-PPMT(שיעור_ריבית4/12,1,תקופת_ההלוואה4-ROWS($C$4:AD317)+1,הפחתה8[[#This Row],[יתרת פתיחה]]),""),0)</f>
        <v/>
      </c>
      <c r="AH317" s="19">
        <f ca="1">(הפחתה8[[#This Row],[יתרת פתיחה]])*(מדד4/12)</f>
        <v>0</v>
      </c>
      <c r="AI317" s="19">
        <f ca="1">IF(הפחתה8[[#This Row],[תאריך]]="",0,הפחתה8[[#This Row],[ריבית]]+הפחתה8[[#This Row],[קרן]]+הפחתה8[[#This Row],[מדד]])</f>
        <v>0</v>
      </c>
      <c r="AJ317" s="19">
        <f ca="1">IF(הפחתה8[[#This Row],[תאריך]]="",0,הפחתה8[[#This Row],[יתרת פתיחה]]-הפחתה8[[#This Row],[קרן]])</f>
        <v>0</v>
      </c>
      <c r="AK317" s="20">
        <f ca="1">IF(הפחתה8[[#This Row],[יתרת
סגירה]]&gt;0,LastRow4-ROW(),0)</f>
        <v>0</v>
      </c>
    </row>
    <row r="318" spans="1:37" ht="15" customHeight="1" x14ac:dyDescent="0.25">
      <c r="A318" s="8"/>
      <c r="B318" s="11">
        <f>ROWS($B$4:B318)</f>
        <v>315</v>
      </c>
      <c r="C318" s="12">
        <f>IF(ValuesEntered,IF(הפחתה[[#This Row],[מס'']]&lt;=תקופת_ההלוואה,IF(ROW()-ROW(הפחתה[[#Headers],[תאריך]])=1,LoanStart,IF(I317&gt;0,EDATE(C317,1),"")),""),"")</f>
        <v>54940</v>
      </c>
      <c r="D318" s="13">
        <f>IF(ROW()-ROW(הפחתה[[#Headers],[יתרת פתיחה]])=1,סכום_הלוואה,IF(הפחתה[[#This Row],[תאריך]]="",0,INDEX(הפחתה[], ROW()-4,8)))</f>
        <v>138422.45013767699</v>
      </c>
      <c r="E318" s="13">
        <f>IF(ValuesEntered,IF(ROW()-ROW(הפחתה[[#Headers],[ריבית]])=1,-IPMT(שיעור_ריבית/12,1,תקופת_ההלוואה-ROWS($C$4:C318)+1,הפחתה[[#This Row],[יתרת פתיחה]]),IFERROR(-IPMT(שיעור_ריבית/12,1,הפחתה[[#This Row],[תשלומים
שנותרו]],D319),0)),0)</f>
        <v>599.35044719757161</v>
      </c>
      <c r="F318" s="13">
        <f>IFERROR(IF(AND(ValuesEntered,הפחתה[[#This Row],[תאריך]]&lt;&gt;""),-PPMT(שיעור_ריבית/12,1,תקופת_ההלוואה-ROWS($C$4:C318)+1,הפחתה[[#This Row],[יתרת פתיחה]]),""),0)</f>
        <v>2720.462092943812</v>
      </c>
      <c r="G318" s="13">
        <f>(הפחתה[[#This Row],[יתרת פתיחה]])*(מדד/12)</f>
        <v>0</v>
      </c>
      <c r="H318" s="13">
        <f>IF(הפחתה[[#This Row],[תאריך]]="",0,הפחתה[[#This Row],[ריבית]]+הפחתה[[#This Row],[קרן]]+הפחתה[[#This Row],[מדד]])</f>
        <v>3319.8125401413836</v>
      </c>
      <c r="I318" s="13">
        <f>IF(הפחתה[[#This Row],[תאריך]]="",0,הפחתה[[#This Row],[יתרת פתיחה]]-הפחתה[[#This Row],[קרן]]+הפחתה[[#This Row],[מדד]])</f>
        <v>135701.98804473318</v>
      </c>
      <c r="J318" s="11">
        <f>IF(הפחתה[[#This Row],[יתרת
סגירה]]&gt;0,LastRow-ROW(),0)</f>
        <v>45</v>
      </c>
      <c r="K318" s="11">
        <f>ROWS($K$4:K318)</f>
        <v>315</v>
      </c>
      <c r="L318" s="12" t="str">
        <f>IF(ValuesEntered2,IF(הפחתה5[[#This Row],[מס'']]&lt;=תקופת_ההלוואה2,IF(ROW()-ROW(הפחתה5[[#Headers],[תאריך]])=1,LoanStart2,IF(R317&gt;0,EDATE(L317,1),"")),""),"")</f>
        <v/>
      </c>
      <c r="M318" s="13">
        <f>IF(ROW()-ROW(הפחתה5[[#Headers],[יתרת פתיחה]])=1,סכום_הלוואה2,IF(הפחתה5[[#This Row],[תאריך]]="",0,INDEX(הפחתה5[], ROW()-4,8)))</f>
        <v>0</v>
      </c>
      <c r="N318" s="13">
        <f>IF(ValuesEntered2,IF(ROW()-ROW(הפחתה5[[#Headers],[ריבית]])=1,-IPMT(שיעור_ריבית2/12,1,תקופת_ההלוואה2-ROWS($L$4:L318)+1,הפחתה5[[#This Row],[יתרת פתיחה]]),IFERROR(-IPMT(שיעור_ריבית2/12,1,הפחתה5[[#This Row],[תשלומים
שנותרו]],M319),0)),0)</f>
        <v>0</v>
      </c>
      <c r="O318" s="13" t="str">
        <f>IFERROR(IF(AND(ValuesEntered2,הפחתה5[[#This Row],[תאריך]]&lt;&gt;""),-PPMT(שיעור_ריבית2/12,1,תקופת_ההלוואה2-ROWS($L$4:L318)+1,הפחתה5[[#This Row],[יתרת פתיחה]]),""),0)</f>
        <v/>
      </c>
      <c r="P318" s="13">
        <f>(הפחתה5[[#This Row],[יתרת פתיחה]])*(מדד2/12)</f>
        <v>0</v>
      </c>
      <c r="Q318" s="13">
        <f>IF(הפחתה5[[#This Row],[תאריך]]="",0,הפחתה5[[#This Row],[ריבית]]+הפחתה5[[#This Row],[קרן]]+הפחתה5[[#This Row],[מדד]])</f>
        <v>0</v>
      </c>
      <c r="R318" s="13">
        <f>IF(הפחתה5[[#This Row],[תאריך]]="",0,הפחתה5[[#This Row],[יתרת פתיחה]]-הפחתה5[[#This Row],[קרן]]+הפחתה5[[#This Row],[מדד]])</f>
        <v>0</v>
      </c>
      <c r="S318" s="11">
        <f>IF(הפחתה5[[#This Row],[יתרת
סגירה]]&gt;0,LastRow2-ROW(),0)</f>
        <v>0</v>
      </c>
      <c r="T318" s="11">
        <f>ROWS($T$4:T318)</f>
        <v>315</v>
      </c>
      <c r="U318" s="12" t="str">
        <f ca="1">IF(ValuesEntered3,IF(הפחתה7[[#This Row],[מס'']]&lt;=תקופת_ההלוואה3,IF(ROW()-ROW(הפחתה7[[#Headers],[תאריך]])=1,LoanStart3,IF(AA317&gt;0,EDATE(U317,1),"")),""),"")</f>
        <v/>
      </c>
      <c r="V318" s="13">
        <f ca="1">IF(ROW()-ROW(הפחתה7[[#Headers],[יתרת פתיחה]])=1,סכום_הלוואה3,IF(הפחתה7[[#This Row],[תאריך]]="",0,INDEX(הפחתה7[], ROW()-4,8)))</f>
        <v>0</v>
      </c>
      <c r="W318" s="13">
        <f ca="1">IF(ValuesEntered3,IF(ROW()-ROW(הפחתה7[[#Headers],[ריבית]])=1,-IPMT(שיעור_ריבית3/12,1,תקופת_ההלוואה3-ROWS($C$4:U318)+1,הפחתה7[[#This Row],[יתרת פתיחה]]),IFERROR(-IPMT(שיעור_ריבית3/12,1,הפחתה7[[#This Row],[תשלומים
שנותרו]],V319),0)),0)</f>
        <v>0</v>
      </c>
      <c r="X318" s="13" t="str">
        <f ca="1">IFERROR(IF(AND(ValuesEntered3,הפחתה7[[#This Row],[תאריך]]&lt;&gt;""),-PPMT(שיעור_ריבית3/12,1,תקופת_ההלוואה3-ROWS($C$4:U318)+1,הפחתה7[[#This Row],[יתרת פתיחה]]),""),0)</f>
        <v/>
      </c>
      <c r="Y318" s="13">
        <f ca="1">(הפחתה7[[#This Row],[יתרת פתיחה]])*(מדד3/12)</f>
        <v>0</v>
      </c>
      <c r="Z318" s="13">
        <f ca="1">IF(הפחתה7[[#This Row],[תאריך]]="",0,הפחתה7[[#This Row],[ריבית]]+הפחתה7[[#This Row],[קרן]]+הפחתה7[[#This Row],[מדד]])</f>
        <v>0</v>
      </c>
      <c r="AA318" s="13">
        <f ca="1">IF(הפחתה7[[#This Row],[תאריך]]="",0,הפחתה7[[#This Row],[יתרת פתיחה]]-הפחתה7[[#This Row],[קרן]]+הפחתה7[[#This Row],[מדד]])</f>
        <v>0</v>
      </c>
      <c r="AB318" s="11">
        <f ca="1">IF(הפחתה7[[#This Row],[יתרת
סגירה]]&gt;0,LastRow3-ROW(),0)</f>
        <v>0</v>
      </c>
      <c r="AC318" s="17">
        <f>ROWS($AC$4:AC318)</f>
        <v>315</v>
      </c>
      <c r="AD318" s="18" t="str">
        <f ca="1">IF(ValuesEntered4,IF(הפחתה8[[#This Row],[מס'']]&lt;=תקופת_ההלוואה4,IF(ROW()-ROW(הפחתה8[[#Headers],[תאריך]])=1,LoanStart4,IF(AJ317&gt;0,EDATE(AD317,1),"")),""),"")</f>
        <v/>
      </c>
      <c r="AE318" s="19">
        <f ca="1">IF(ROW()-ROW(הפחתה8[[#Headers],[יתרת פתיחה]])=1,סכום_הלוואה4,IF(הפחתה8[[#This Row],[תאריך]]="",0,INDEX(הפחתה8[], ROW()-4,8)))</f>
        <v>0</v>
      </c>
      <c r="AF318" s="19">
        <f ca="1">IF(ValuesEntered4,IF(ROW()-ROW(הפחתה8[[#Headers],[ריבית]])=1,-IPMT(שיעור_ריבית4/12,1,תקופת_ההלוואה4-ROWS($C$4:AD318)+1,הפחתה8[[#This Row],[יתרת פתיחה]]),IFERROR(-IPMT(שיעור_ריבית4/12,1,הפחתה8[[#This Row],[תשלומים
שנותרו]],AE319),0)),0)</f>
        <v>0</v>
      </c>
      <c r="AG318" s="19" t="str">
        <f ca="1">IFERROR(IF(AND(ValuesEntered4,הפחתה8[[#This Row],[תאריך]]&lt;&gt;""),-PPMT(שיעור_ריבית4/12,1,תקופת_ההלוואה4-ROWS($C$4:AD318)+1,הפחתה8[[#This Row],[יתרת פתיחה]]),""),0)</f>
        <v/>
      </c>
      <c r="AH318" s="19">
        <f ca="1">(הפחתה8[[#This Row],[יתרת פתיחה]])*(מדד4/12)</f>
        <v>0</v>
      </c>
      <c r="AI318" s="19">
        <f ca="1">IF(הפחתה8[[#This Row],[תאריך]]="",0,הפחתה8[[#This Row],[ריבית]]+הפחתה8[[#This Row],[קרן]]+הפחתה8[[#This Row],[מדד]])</f>
        <v>0</v>
      </c>
      <c r="AJ318" s="19">
        <f ca="1">IF(הפחתה8[[#This Row],[תאריך]]="",0,הפחתה8[[#This Row],[יתרת פתיחה]]-הפחתה8[[#This Row],[קרן]])</f>
        <v>0</v>
      </c>
      <c r="AK318" s="20">
        <f ca="1">IF(הפחתה8[[#This Row],[יתרת
סגירה]]&gt;0,LastRow4-ROW(),0)</f>
        <v>0</v>
      </c>
    </row>
    <row r="319" spans="1:37" ht="15" customHeight="1" x14ac:dyDescent="0.25">
      <c r="A319" s="8"/>
      <c r="B319" s="11">
        <f>ROWS($B$4:B319)</f>
        <v>316</v>
      </c>
      <c r="C319" s="12">
        <f>IF(ValuesEntered,IF(הפחתה[[#This Row],[מס'']]&lt;=תקופת_ההלוואה,IF(ROW()-ROW(הפחתה[[#Headers],[תאריך]])=1,LoanStart,IF(I318&gt;0,EDATE(C318,1),"")),""),"")</f>
        <v>54970</v>
      </c>
      <c r="D319" s="13">
        <f>IF(ROW()-ROW(הפחתה[[#Headers],[יתרת פתיחה]])=1,סכום_הלוואה,IF(הפחתה[[#This Row],[תאריך]]="",0,INDEX(הפחתה[], ROW()-4,8)))</f>
        <v>135701.98804473318</v>
      </c>
      <c r="E319" s="13">
        <f>IF(ValuesEntered,IF(ROW()-ROW(הפחתה[[#Headers],[ריבית]])=1,-IPMT(שיעור_ריבית/12,1,תקופת_ההלוואה-ROWS($C$4:C319)+1,הפחתה[[#This Row],[יתרת פתיחה]]),IFERROR(-IPMT(שיעור_ריבית/12,1,הפחתה[[#This Row],[תשלומים
שנותרו]],D320),0)),0)</f>
        <v>587.28200505082611</v>
      </c>
      <c r="F319" s="13">
        <f>IFERROR(IF(AND(ValuesEntered,הפחתה[[#This Row],[תאריך]]&lt;&gt;""),-PPMT(שיעור_ריבית/12,1,תקופת_ההלוואה-ROWS($C$4:C319)+1,הפחתה[[#This Row],[יתרת פתיחה]]),""),0)</f>
        <v>2732.4774671876476</v>
      </c>
      <c r="G319" s="13">
        <f>(הפחתה[[#This Row],[יתרת פתיחה]])*(מדד/12)</f>
        <v>0</v>
      </c>
      <c r="H319" s="13">
        <f>IF(הפחתה[[#This Row],[תאריך]]="",0,הפחתה[[#This Row],[ריבית]]+הפחתה[[#This Row],[קרן]]+הפחתה[[#This Row],[מדד]])</f>
        <v>3319.7594722384738</v>
      </c>
      <c r="I319" s="13">
        <f>IF(הפחתה[[#This Row],[תאריך]]="",0,הפחתה[[#This Row],[יתרת פתיחה]]-הפחתה[[#This Row],[קרן]]+הפחתה[[#This Row],[מדד]])</f>
        <v>132969.51057754553</v>
      </c>
      <c r="J319" s="11">
        <f>IF(הפחתה[[#This Row],[יתרת
סגירה]]&gt;0,LastRow-ROW(),0)</f>
        <v>44</v>
      </c>
      <c r="K319" s="11">
        <f>ROWS($K$4:K319)</f>
        <v>316</v>
      </c>
      <c r="L319" s="12" t="str">
        <f>IF(ValuesEntered2,IF(הפחתה5[[#This Row],[מס'']]&lt;=תקופת_ההלוואה2,IF(ROW()-ROW(הפחתה5[[#Headers],[תאריך]])=1,LoanStart2,IF(R318&gt;0,EDATE(L318,1),"")),""),"")</f>
        <v/>
      </c>
      <c r="M319" s="13">
        <f>IF(ROW()-ROW(הפחתה5[[#Headers],[יתרת פתיחה]])=1,סכום_הלוואה2,IF(הפחתה5[[#This Row],[תאריך]]="",0,INDEX(הפחתה5[], ROW()-4,8)))</f>
        <v>0</v>
      </c>
      <c r="N319" s="13">
        <f>IF(ValuesEntered2,IF(ROW()-ROW(הפחתה5[[#Headers],[ריבית]])=1,-IPMT(שיעור_ריבית2/12,1,תקופת_ההלוואה2-ROWS($L$4:L319)+1,הפחתה5[[#This Row],[יתרת פתיחה]]),IFERROR(-IPMT(שיעור_ריבית2/12,1,הפחתה5[[#This Row],[תשלומים
שנותרו]],M320),0)),0)</f>
        <v>0</v>
      </c>
      <c r="O319" s="13" t="str">
        <f>IFERROR(IF(AND(ValuesEntered2,הפחתה5[[#This Row],[תאריך]]&lt;&gt;""),-PPMT(שיעור_ריבית2/12,1,תקופת_ההלוואה2-ROWS($L$4:L319)+1,הפחתה5[[#This Row],[יתרת פתיחה]]),""),0)</f>
        <v/>
      </c>
      <c r="P319" s="13">
        <f>(הפחתה5[[#This Row],[יתרת פתיחה]])*(מדד2/12)</f>
        <v>0</v>
      </c>
      <c r="Q319" s="13">
        <f>IF(הפחתה5[[#This Row],[תאריך]]="",0,הפחתה5[[#This Row],[ריבית]]+הפחתה5[[#This Row],[קרן]]+הפחתה5[[#This Row],[מדד]])</f>
        <v>0</v>
      </c>
      <c r="R319" s="13">
        <f>IF(הפחתה5[[#This Row],[תאריך]]="",0,הפחתה5[[#This Row],[יתרת פתיחה]]-הפחתה5[[#This Row],[קרן]]+הפחתה5[[#This Row],[מדד]])</f>
        <v>0</v>
      </c>
      <c r="S319" s="11">
        <f>IF(הפחתה5[[#This Row],[יתרת
סגירה]]&gt;0,LastRow2-ROW(),0)</f>
        <v>0</v>
      </c>
      <c r="T319" s="11">
        <f>ROWS($T$4:T319)</f>
        <v>316</v>
      </c>
      <c r="U319" s="12" t="str">
        <f ca="1">IF(ValuesEntered3,IF(הפחתה7[[#This Row],[מס'']]&lt;=תקופת_ההלוואה3,IF(ROW()-ROW(הפחתה7[[#Headers],[תאריך]])=1,LoanStart3,IF(AA318&gt;0,EDATE(U318,1),"")),""),"")</f>
        <v/>
      </c>
      <c r="V319" s="13">
        <f ca="1">IF(ROW()-ROW(הפחתה7[[#Headers],[יתרת פתיחה]])=1,סכום_הלוואה3,IF(הפחתה7[[#This Row],[תאריך]]="",0,INDEX(הפחתה7[], ROW()-4,8)))</f>
        <v>0</v>
      </c>
      <c r="W319" s="13">
        <f ca="1">IF(ValuesEntered3,IF(ROW()-ROW(הפחתה7[[#Headers],[ריבית]])=1,-IPMT(שיעור_ריבית3/12,1,תקופת_ההלוואה3-ROWS($C$4:U319)+1,הפחתה7[[#This Row],[יתרת פתיחה]]),IFERROR(-IPMT(שיעור_ריבית3/12,1,הפחתה7[[#This Row],[תשלומים
שנותרו]],V320),0)),0)</f>
        <v>0</v>
      </c>
      <c r="X319" s="13" t="str">
        <f ca="1">IFERROR(IF(AND(ValuesEntered3,הפחתה7[[#This Row],[תאריך]]&lt;&gt;""),-PPMT(שיעור_ריבית3/12,1,תקופת_ההלוואה3-ROWS($C$4:U319)+1,הפחתה7[[#This Row],[יתרת פתיחה]]),""),0)</f>
        <v/>
      </c>
      <c r="Y319" s="13">
        <f ca="1">(הפחתה7[[#This Row],[יתרת פתיחה]])*(מדד3/12)</f>
        <v>0</v>
      </c>
      <c r="Z319" s="13">
        <f ca="1">IF(הפחתה7[[#This Row],[תאריך]]="",0,הפחתה7[[#This Row],[ריבית]]+הפחתה7[[#This Row],[קרן]]+הפחתה7[[#This Row],[מדד]])</f>
        <v>0</v>
      </c>
      <c r="AA319" s="13">
        <f ca="1">IF(הפחתה7[[#This Row],[תאריך]]="",0,הפחתה7[[#This Row],[יתרת פתיחה]]-הפחתה7[[#This Row],[קרן]]+הפחתה7[[#This Row],[מדד]])</f>
        <v>0</v>
      </c>
      <c r="AB319" s="11">
        <f ca="1">IF(הפחתה7[[#This Row],[יתרת
סגירה]]&gt;0,LastRow3-ROW(),0)</f>
        <v>0</v>
      </c>
      <c r="AC319" s="17">
        <f>ROWS($AC$4:AC319)</f>
        <v>316</v>
      </c>
      <c r="AD319" s="18" t="str">
        <f ca="1">IF(ValuesEntered4,IF(הפחתה8[[#This Row],[מס'']]&lt;=תקופת_ההלוואה4,IF(ROW()-ROW(הפחתה8[[#Headers],[תאריך]])=1,LoanStart4,IF(AJ318&gt;0,EDATE(AD318,1),"")),""),"")</f>
        <v/>
      </c>
      <c r="AE319" s="19">
        <f ca="1">IF(ROW()-ROW(הפחתה8[[#Headers],[יתרת פתיחה]])=1,סכום_הלוואה4,IF(הפחתה8[[#This Row],[תאריך]]="",0,INDEX(הפחתה8[], ROW()-4,8)))</f>
        <v>0</v>
      </c>
      <c r="AF319" s="19">
        <f ca="1">IF(ValuesEntered4,IF(ROW()-ROW(הפחתה8[[#Headers],[ריבית]])=1,-IPMT(שיעור_ריבית4/12,1,תקופת_ההלוואה4-ROWS($C$4:AD319)+1,הפחתה8[[#This Row],[יתרת פתיחה]]),IFERROR(-IPMT(שיעור_ריבית4/12,1,הפחתה8[[#This Row],[תשלומים
שנותרו]],AE320),0)),0)</f>
        <v>0</v>
      </c>
      <c r="AG319" s="19" t="str">
        <f ca="1">IFERROR(IF(AND(ValuesEntered4,הפחתה8[[#This Row],[תאריך]]&lt;&gt;""),-PPMT(שיעור_ריבית4/12,1,תקופת_ההלוואה4-ROWS($C$4:AD319)+1,הפחתה8[[#This Row],[יתרת פתיחה]]),""),0)</f>
        <v/>
      </c>
      <c r="AH319" s="19">
        <f ca="1">(הפחתה8[[#This Row],[יתרת פתיחה]])*(מדד4/12)</f>
        <v>0</v>
      </c>
      <c r="AI319" s="19">
        <f ca="1">IF(הפחתה8[[#This Row],[תאריך]]="",0,הפחתה8[[#This Row],[ריבית]]+הפחתה8[[#This Row],[קרן]]+הפחתה8[[#This Row],[מדד]])</f>
        <v>0</v>
      </c>
      <c r="AJ319" s="19">
        <f ca="1">IF(הפחתה8[[#This Row],[תאריך]]="",0,הפחתה8[[#This Row],[יתרת פתיחה]]-הפחתה8[[#This Row],[קרן]])</f>
        <v>0</v>
      </c>
      <c r="AK319" s="20">
        <f ca="1">IF(הפחתה8[[#This Row],[יתרת
סגירה]]&gt;0,LastRow4-ROW(),0)</f>
        <v>0</v>
      </c>
    </row>
    <row r="320" spans="1:37" ht="15" customHeight="1" x14ac:dyDescent="0.25">
      <c r="A320" s="8"/>
      <c r="B320" s="11">
        <f>ROWS($B$4:B320)</f>
        <v>317</v>
      </c>
      <c r="C320" s="12">
        <f>IF(ValuesEntered,IF(הפחתה[[#This Row],[מס'']]&lt;=תקופת_ההלוואה,IF(ROW()-ROW(הפחתה[[#Headers],[תאריך]])=1,LoanStart,IF(I319&gt;0,EDATE(C319,1),"")),""),"")</f>
        <v>55001</v>
      </c>
      <c r="D320" s="13">
        <f>IF(ROW()-ROW(הפחתה[[#Headers],[יתרת פתיחה]])=1,סכום_הלוואה,IF(הפחתה[[#This Row],[תאריך]]="",0,INDEX(הפחתה[], ROW()-4,8)))</f>
        <v>132969.51057754553</v>
      </c>
      <c r="E320" s="13">
        <f>IF(ValuesEntered,IF(ROW()-ROW(הפחתה[[#Headers],[ריבית]])=1,-IPMT(שיעור_ריבית/12,1,תקופת_ההלוואה-ROWS($C$4:C320)+1,הפחתה[[#This Row],[יתרת פתיחה]]),IFERROR(-IPMT(שיעור_ריבית/12,1,הפחתה[[#This Row],[תשלומים
שנותרו]],D321),0)),0)</f>
        <v>575.16026061793252</v>
      </c>
      <c r="F320" s="13">
        <f>IFERROR(IF(AND(ValuesEntered,הפחתה[[#This Row],[תאריך]]&lt;&gt;""),-PPMT(שיעור_ריבית/12,1,תקופת_ההלוואה-ROWS($C$4:C320)+1,הפחתה[[#This Row],[יתרת פתיחה]]),""),0)</f>
        <v>2744.5459093343929</v>
      </c>
      <c r="G320" s="13">
        <f>(הפחתה[[#This Row],[יתרת פתיחה]])*(מדד/12)</f>
        <v>0</v>
      </c>
      <c r="H320" s="13">
        <f>IF(הפחתה[[#This Row],[תאריך]]="",0,הפחתה[[#This Row],[ריבית]]+הפחתה[[#This Row],[קרן]]+הפחתה[[#This Row],[מדד]])</f>
        <v>3319.7061699523256</v>
      </c>
      <c r="I320" s="13">
        <f>IF(הפחתה[[#This Row],[תאריך]]="",0,הפחתה[[#This Row],[יתרת פתיחה]]-הפחתה[[#This Row],[קרן]]+הפחתה[[#This Row],[מדד]])</f>
        <v>130224.96466821113</v>
      </c>
      <c r="J320" s="11">
        <f>IF(הפחתה[[#This Row],[יתרת
סגירה]]&gt;0,LastRow-ROW(),0)</f>
        <v>43</v>
      </c>
      <c r="K320" s="11">
        <f>ROWS($K$4:K320)</f>
        <v>317</v>
      </c>
      <c r="L320" s="12" t="str">
        <f>IF(ValuesEntered2,IF(הפחתה5[[#This Row],[מס'']]&lt;=תקופת_ההלוואה2,IF(ROW()-ROW(הפחתה5[[#Headers],[תאריך]])=1,LoanStart2,IF(R319&gt;0,EDATE(L319,1),"")),""),"")</f>
        <v/>
      </c>
      <c r="M320" s="13">
        <f>IF(ROW()-ROW(הפחתה5[[#Headers],[יתרת פתיחה]])=1,סכום_הלוואה2,IF(הפחתה5[[#This Row],[תאריך]]="",0,INDEX(הפחתה5[], ROW()-4,8)))</f>
        <v>0</v>
      </c>
      <c r="N320" s="13">
        <f>IF(ValuesEntered2,IF(ROW()-ROW(הפחתה5[[#Headers],[ריבית]])=1,-IPMT(שיעור_ריבית2/12,1,תקופת_ההלוואה2-ROWS($L$4:L320)+1,הפחתה5[[#This Row],[יתרת פתיחה]]),IFERROR(-IPMT(שיעור_ריבית2/12,1,הפחתה5[[#This Row],[תשלומים
שנותרו]],M321),0)),0)</f>
        <v>0</v>
      </c>
      <c r="O320" s="13" t="str">
        <f>IFERROR(IF(AND(ValuesEntered2,הפחתה5[[#This Row],[תאריך]]&lt;&gt;""),-PPMT(שיעור_ריבית2/12,1,תקופת_ההלוואה2-ROWS($L$4:L320)+1,הפחתה5[[#This Row],[יתרת פתיחה]]),""),0)</f>
        <v/>
      </c>
      <c r="P320" s="13">
        <f>(הפחתה5[[#This Row],[יתרת פתיחה]])*(מדד2/12)</f>
        <v>0</v>
      </c>
      <c r="Q320" s="13">
        <f>IF(הפחתה5[[#This Row],[תאריך]]="",0,הפחתה5[[#This Row],[ריבית]]+הפחתה5[[#This Row],[קרן]]+הפחתה5[[#This Row],[מדד]])</f>
        <v>0</v>
      </c>
      <c r="R320" s="13">
        <f>IF(הפחתה5[[#This Row],[תאריך]]="",0,הפחתה5[[#This Row],[יתרת פתיחה]]-הפחתה5[[#This Row],[קרן]]+הפחתה5[[#This Row],[מדד]])</f>
        <v>0</v>
      </c>
      <c r="S320" s="11">
        <f>IF(הפחתה5[[#This Row],[יתרת
סגירה]]&gt;0,LastRow2-ROW(),0)</f>
        <v>0</v>
      </c>
      <c r="T320" s="11">
        <f>ROWS($T$4:T320)</f>
        <v>317</v>
      </c>
      <c r="U320" s="12" t="str">
        <f ca="1">IF(ValuesEntered3,IF(הפחתה7[[#This Row],[מס'']]&lt;=תקופת_ההלוואה3,IF(ROW()-ROW(הפחתה7[[#Headers],[תאריך]])=1,LoanStart3,IF(AA319&gt;0,EDATE(U319,1),"")),""),"")</f>
        <v/>
      </c>
      <c r="V320" s="13">
        <f ca="1">IF(ROW()-ROW(הפחתה7[[#Headers],[יתרת פתיחה]])=1,סכום_הלוואה3,IF(הפחתה7[[#This Row],[תאריך]]="",0,INDEX(הפחתה7[], ROW()-4,8)))</f>
        <v>0</v>
      </c>
      <c r="W320" s="13">
        <f ca="1">IF(ValuesEntered3,IF(ROW()-ROW(הפחתה7[[#Headers],[ריבית]])=1,-IPMT(שיעור_ריבית3/12,1,תקופת_ההלוואה3-ROWS($C$4:U320)+1,הפחתה7[[#This Row],[יתרת פתיחה]]),IFERROR(-IPMT(שיעור_ריבית3/12,1,הפחתה7[[#This Row],[תשלומים
שנותרו]],V321),0)),0)</f>
        <v>0</v>
      </c>
      <c r="X320" s="13" t="str">
        <f ca="1">IFERROR(IF(AND(ValuesEntered3,הפחתה7[[#This Row],[תאריך]]&lt;&gt;""),-PPMT(שיעור_ריבית3/12,1,תקופת_ההלוואה3-ROWS($C$4:U320)+1,הפחתה7[[#This Row],[יתרת פתיחה]]),""),0)</f>
        <v/>
      </c>
      <c r="Y320" s="13">
        <f ca="1">(הפחתה7[[#This Row],[יתרת פתיחה]])*(מדד3/12)</f>
        <v>0</v>
      </c>
      <c r="Z320" s="13">
        <f ca="1">IF(הפחתה7[[#This Row],[תאריך]]="",0,הפחתה7[[#This Row],[ריבית]]+הפחתה7[[#This Row],[קרן]]+הפחתה7[[#This Row],[מדד]])</f>
        <v>0</v>
      </c>
      <c r="AA320" s="13">
        <f ca="1">IF(הפחתה7[[#This Row],[תאריך]]="",0,הפחתה7[[#This Row],[יתרת פתיחה]]-הפחתה7[[#This Row],[קרן]]+הפחתה7[[#This Row],[מדד]])</f>
        <v>0</v>
      </c>
      <c r="AB320" s="11">
        <f ca="1">IF(הפחתה7[[#This Row],[יתרת
סגירה]]&gt;0,LastRow3-ROW(),0)</f>
        <v>0</v>
      </c>
      <c r="AC320" s="17">
        <f>ROWS($AC$4:AC320)</f>
        <v>317</v>
      </c>
      <c r="AD320" s="18" t="str">
        <f ca="1">IF(ValuesEntered4,IF(הפחתה8[[#This Row],[מס'']]&lt;=תקופת_ההלוואה4,IF(ROW()-ROW(הפחתה8[[#Headers],[תאריך]])=1,LoanStart4,IF(AJ319&gt;0,EDATE(AD319,1),"")),""),"")</f>
        <v/>
      </c>
      <c r="AE320" s="19">
        <f ca="1">IF(ROW()-ROW(הפחתה8[[#Headers],[יתרת פתיחה]])=1,סכום_הלוואה4,IF(הפחתה8[[#This Row],[תאריך]]="",0,INDEX(הפחתה8[], ROW()-4,8)))</f>
        <v>0</v>
      </c>
      <c r="AF320" s="19">
        <f ca="1">IF(ValuesEntered4,IF(ROW()-ROW(הפחתה8[[#Headers],[ריבית]])=1,-IPMT(שיעור_ריבית4/12,1,תקופת_ההלוואה4-ROWS($C$4:AD320)+1,הפחתה8[[#This Row],[יתרת פתיחה]]),IFERROR(-IPMT(שיעור_ריבית4/12,1,הפחתה8[[#This Row],[תשלומים
שנותרו]],AE321),0)),0)</f>
        <v>0</v>
      </c>
      <c r="AG320" s="19" t="str">
        <f ca="1">IFERROR(IF(AND(ValuesEntered4,הפחתה8[[#This Row],[תאריך]]&lt;&gt;""),-PPMT(שיעור_ריבית4/12,1,תקופת_ההלוואה4-ROWS($C$4:AD320)+1,הפחתה8[[#This Row],[יתרת פתיחה]]),""),0)</f>
        <v/>
      </c>
      <c r="AH320" s="19">
        <f ca="1">(הפחתה8[[#This Row],[יתרת פתיחה]])*(מדד4/12)</f>
        <v>0</v>
      </c>
      <c r="AI320" s="19">
        <f ca="1">IF(הפחתה8[[#This Row],[תאריך]]="",0,הפחתה8[[#This Row],[ריבית]]+הפחתה8[[#This Row],[קרן]]+הפחתה8[[#This Row],[מדד]])</f>
        <v>0</v>
      </c>
      <c r="AJ320" s="19">
        <f ca="1">IF(הפחתה8[[#This Row],[תאריך]]="",0,הפחתה8[[#This Row],[יתרת פתיחה]]-הפחתה8[[#This Row],[קרן]])</f>
        <v>0</v>
      </c>
      <c r="AK320" s="20">
        <f ca="1">IF(הפחתה8[[#This Row],[יתרת
סגירה]]&gt;0,LastRow4-ROW(),0)</f>
        <v>0</v>
      </c>
    </row>
    <row r="321" spans="1:37" ht="15" customHeight="1" x14ac:dyDescent="0.25">
      <c r="A321" s="8"/>
      <c r="B321" s="11">
        <f>ROWS($B$4:B321)</f>
        <v>318</v>
      </c>
      <c r="C321" s="12">
        <f>IF(ValuesEntered,IF(הפחתה[[#This Row],[מס'']]&lt;=תקופת_ההלוואה,IF(ROW()-ROW(הפחתה[[#Headers],[תאריך]])=1,LoanStart,IF(I320&gt;0,EDATE(C320,1),"")),""),"")</f>
        <v>55032</v>
      </c>
      <c r="D321" s="13">
        <f>IF(ROW()-ROW(הפחתה[[#Headers],[יתרת פתיחה]])=1,סכום_הלוואה,IF(הפחתה[[#This Row],[תאריך]]="",0,INDEX(הפחתה[], ROW()-4,8)))</f>
        <v>130224.96466821113</v>
      </c>
      <c r="E321" s="13">
        <f>IF(ValuesEntered,IF(ROW()-ROW(הפחתה[[#Headers],[ריבית]])=1,-IPMT(שיעור_ריבית/12,1,תקופת_ההלוואה-ROWS($C$4:C321)+1,הפחתה[[#This Row],[יתרת פתיחה]]),IFERROR(-IPMT(שיעור_ריבית/12,1,הפחתה[[#This Row],[תשלומים
שנותרו]],D322),0)),0)</f>
        <v>562.98497848046043</v>
      </c>
      <c r="F321" s="13">
        <f>IFERROR(IF(AND(ValuesEntered,הפחתה[[#This Row],[תאריך]]&lt;&gt;""),-PPMT(שיעור_ריבית/12,1,תקופת_ההלוואה-ROWS($C$4:C321)+1,הפחתה[[#This Row],[יתרת פתיחה]]),""),0)</f>
        <v>2756.6676537672874</v>
      </c>
      <c r="G321" s="13">
        <f>(הפחתה[[#This Row],[יתרת פתיחה]])*(מדד/12)</f>
        <v>0</v>
      </c>
      <c r="H321" s="13">
        <f>IF(הפחתה[[#This Row],[תאריך]]="",0,הפחתה[[#This Row],[ריבית]]+הפחתה[[#This Row],[קרן]]+הפחתה[[#This Row],[מדד]])</f>
        <v>3319.652632247748</v>
      </c>
      <c r="I321" s="13">
        <f>IF(הפחתה[[#This Row],[תאריך]]="",0,הפחתה[[#This Row],[יתרת פתיחה]]-הפחתה[[#This Row],[קרן]]+הפחתה[[#This Row],[מדד]])</f>
        <v>127468.29701444384</v>
      </c>
      <c r="J321" s="11">
        <f>IF(הפחתה[[#This Row],[יתרת
סגירה]]&gt;0,LastRow-ROW(),0)</f>
        <v>42</v>
      </c>
      <c r="K321" s="11">
        <f>ROWS($K$4:K321)</f>
        <v>318</v>
      </c>
      <c r="L321" s="12" t="str">
        <f>IF(ValuesEntered2,IF(הפחתה5[[#This Row],[מס'']]&lt;=תקופת_ההלוואה2,IF(ROW()-ROW(הפחתה5[[#Headers],[תאריך]])=1,LoanStart2,IF(R320&gt;0,EDATE(L320,1),"")),""),"")</f>
        <v/>
      </c>
      <c r="M321" s="13">
        <f>IF(ROW()-ROW(הפחתה5[[#Headers],[יתרת פתיחה]])=1,סכום_הלוואה2,IF(הפחתה5[[#This Row],[תאריך]]="",0,INDEX(הפחתה5[], ROW()-4,8)))</f>
        <v>0</v>
      </c>
      <c r="N321" s="13">
        <f>IF(ValuesEntered2,IF(ROW()-ROW(הפחתה5[[#Headers],[ריבית]])=1,-IPMT(שיעור_ריבית2/12,1,תקופת_ההלוואה2-ROWS($L$4:L321)+1,הפחתה5[[#This Row],[יתרת פתיחה]]),IFERROR(-IPMT(שיעור_ריבית2/12,1,הפחתה5[[#This Row],[תשלומים
שנותרו]],M322),0)),0)</f>
        <v>0</v>
      </c>
      <c r="O321" s="13" t="str">
        <f>IFERROR(IF(AND(ValuesEntered2,הפחתה5[[#This Row],[תאריך]]&lt;&gt;""),-PPMT(שיעור_ריבית2/12,1,תקופת_ההלוואה2-ROWS($L$4:L321)+1,הפחתה5[[#This Row],[יתרת פתיחה]]),""),0)</f>
        <v/>
      </c>
      <c r="P321" s="13">
        <f>(הפחתה5[[#This Row],[יתרת פתיחה]])*(מדד2/12)</f>
        <v>0</v>
      </c>
      <c r="Q321" s="13">
        <f>IF(הפחתה5[[#This Row],[תאריך]]="",0,הפחתה5[[#This Row],[ריבית]]+הפחתה5[[#This Row],[קרן]]+הפחתה5[[#This Row],[מדד]])</f>
        <v>0</v>
      </c>
      <c r="R321" s="13">
        <f>IF(הפחתה5[[#This Row],[תאריך]]="",0,הפחתה5[[#This Row],[יתרת פתיחה]]-הפחתה5[[#This Row],[קרן]]+הפחתה5[[#This Row],[מדד]])</f>
        <v>0</v>
      </c>
      <c r="S321" s="11">
        <f>IF(הפחתה5[[#This Row],[יתרת
סגירה]]&gt;0,LastRow2-ROW(),0)</f>
        <v>0</v>
      </c>
      <c r="T321" s="11">
        <f>ROWS($T$4:T321)</f>
        <v>318</v>
      </c>
      <c r="U321" s="12" t="str">
        <f ca="1">IF(ValuesEntered3,IF(הפחתה7[[#This Row],[מס'']]&lt;=תקופת_ההלוואה3,IF(ROW()-ROW(הפחתה7[[#Headers],[תאריך]])=1,LoanStart3,IF(AA320&gt;0,EDATE(U320,1),"")),""),"")</f>
        <v/>
      </c>
      <c r="V321" s="13">
        <f ca="1">IF(ROW()-ROW(הפחתה7[[#Headers],[יתרת פתיחה]])=1,סכום_הלוואה3,IF(הפחתה7[[#This Row],[תאריך]]="",0,INDEX(הפחתה7[], ROW()-4,8)))</f>
        <v>0</v>
      </c>
      <c r="W321" s="13">
        <f ca="1">IF(ValuesEntered3,IF(ROW()-ROW(הפחתה7[[#Headers],[ריבית]])=1,-IPMT(שיעור_ריבית3/12,1,תקופת_ההלוואה3-ROWS($C$4:U321)+1,הפחתה7[[#This Row],[יתרת פתיחה]]),IFERROR(-IPMT(שיעור_ריבית3/12,1,הפחתה7[[#This Row],[תשלומים
שנותרו]],V322),0)),0)</f>
        <v>0</v>
      </c>
      <c r="X321" s="13" t="str">
        <f ca="1">IFERROR(IF(AND(ValuesEntered3,הפחתה7[[#This Row],[תאריך]]&lt;&gt;""),-PPMT(שיעור_ריבית3/12,1,תקופת_ההלוואה3-ROWS($C$4:U321)+1,הפחתה7[[#This Row],[יתרת פתיחה]]),""),0)</f>
        <v/>
      </c>
      <c r="Y321" s="13">
        <f ca="1">(הפחתה7[[#This Row],[יתרת פתיחה]])*(מדד3/12)</f>
        <v>0</v>
      </c>
      <c r="Z321" s="13">
        <f ca="1">IF(הפחתה7[[#This Row],[תאריך]]="",0,הפחתה7[[#This Row],[ריבית]]+הפחתה7[[#This Row],[קרן]]+הפחתה7[[#This Row],[מדד]])</f>
        <v>0</v>
      </c>
      <c r="AA321" s="13">
        <f ca="1">IF(הפחתה7[[#This Row],[תאריך]]="",0,הפחתה7[[#This Row],[יתרת פתיחה]]-הפחתה7[[#This Row],[קרן]]+הפחתה7[[#This Row],[מדד]])</f>
        <v>0</v>
      </c>
      <c r="AB321" s="11">
        <f ca="1">IF(הפחתה7[[#This Row],[יתרת
סגירה]]&gt;0,LastRow3-ROW(),0)</f>
        <v>0</v>
      </c>
      <c r="AC321" s="17">
        <f>ROWS($AC$4:AC321)</f>
        <v>318</v>
      </c>
      <c r="AD321" s="18" t="str">
        <f ca="1">IF(ValuesEntered4,IF(הפחתה8[[#This Row],[מס'']]&lt;=תקופת_ההלוואה4,IF(ROW()-ROW(הפחתה8[[#Headers],[תאריך]])=1,LoanStart4,IF(AJ320&gt;0,EDATE(AD320,1),"")),""),"")</f>
        <v/>
      </c>
      <c r="AE321" s="19">
        <f ca="1">IF(ROW()-ROW(הפחתה8[[#Headers],[יתרת פתיחה]])=1,סכום_הלוואה4,IF(הפחתה8[[#This Row],[תאריך]]="",0,INDEX(הפחתה8[], ROW()-4,8)))</f>
        <v>0</v>
      </c>
      <c r="AF321" s="19">
        <f ca="1">IF(ValuesEntered4,IF(ROW()-ROW(הפחתה8[[#Headers],[ריבית]])=1,-IPMT(שיעור_ריבית4/12,1,תקופת_ההלוואה4-ROWS($C$4:AD321)+1,הפחתה8[[#This Row],[יתרת פתיחה]]),IFERROR(-IPMT(שיעור_ריבית4/12,1,הפחתה8[[#This Row],[תשלומים
שנותרו]],AE322),0)),0)</f>
        <v>0</v>
      </c>
      <c r="AG321" s="19" t="str">
        <f ca="1">IFERROR(IF(AND(ValuesEntered4,הפחתה8[[#This Row],[תאריך]]&lt;&gt;""),-PPMT(שיעור_ריבית4/12,1,תקופת_ההלוואה4-ROWS($C$4:AD321)+1,הפחתה8[[#This Row],[יתרת פתיחה]]),""),0)</f>
        <v/>
      </c>
      <c r="AH321" s="19">
        <f ca="1">(הפחתה8[[#This Row],[יתרת פתיחה]])*(מדד4/12)</f>
        <v>0</v>
      </c>
      <c r="AI321" s="19">
        <f ca="1">IF(הפחתה8[[#This Row],[תאריך]]="",0,הפחתה8[[#This Row],[ריבית]]+הפחתה8[[#This Row],[קרן]]+הפחתה8[[#This Row],[מדד]])</f>
        <v>0</v>
      </c>
      <c r="AJ321" s="19">
        <f ca="1">IF(הפחתה8[[#This Row],[תאריך]]="",0,הפחתה8[[#This Row],[יתרת פתיחה]]-הפחתה8[[#This Row],[קרן]])</f>
        <v>0</v>
      </c>
      <c r="AK321" s="20">
        <f ca="1">IF(הפחתה8[[#This Row],[יתרת
סגירה]]&gt;0,LastRow4-ROW(),0)</f>
        <v>0</v>
      </c>
    </row>
    <row r="322" spans="1:37" ht="15" customHeight="1" x14ac:dyDescent="0.25">
      <c r="A322" s="8"/>
      <c r="B322" s="11">
        <f>ROWS($B$4:B322)</f>
        <v>319</v>
      </c>
      <c r="C322" s="12">
        <f>IF(ValuesEntered,IF(הפחתה[[#This Row],[מס'']]&lt;=תקופת_ההלוואה,IF(ROW()-ROW(הפחתה[[#Headers],[תאריך]])=1,LoanStart,IF(I321&gt;0,EDATE(C321,1),"")),""),"")</f>
        <v>55062</v>
      </c>
      <c r="D322" s="13">
        <f>IF(ROW()-ROW(הפחתה[[#Headers],[יתרת פתיחה]])=1,סכום_הלוואה,IF(הפחתה[[#This Row],[תאריך]]="",0,INDEX(הפחתה[], ROW()-4,8)))</f>
        <v>127468.29701444384</v>
      </c>
      <c r="E322" s="13">
        <f>IF(ValuesEntered,IF(ROW()-ROW(הפחתה[[#Headers],[ריבית]])=1,-IPMT(שיעור_ריבית/12,1,תקופת_ההלוואה-ROWS($C$4:C322)+1,הפחתה[[#This Row],[יתרת פתיחה]]),IFERROR(-IPMT(שיעור_ריבית/12,1,הפחתה[[#This Row],[תשלומים
שנותרו]],D323),0)),0)</f>
        <v>550.75592218021427</v>
      </c>
      <c r="F322" s="13">
        <f>IFERROR(IF(AND(ValuesEntered,הפחתה[[#This Row],[תאריך]]&lt;&gt;""),-PPMT(שיעור_ריבית/12,1,תקופת_ההלוואה-ROWS($C$4:C322)+1,הפחתה[[#This Row],[יתרת פתיחה]]),""),0)</f>
        <v>2768.8429359047586</v>
      </c>
      <c r="G322" s="13">
        <f>(הפחתה[[#This Row],[יתרת פתיחה]])*(מדד/12)</f>
        <v>0</v>
      </c>
      <c r="H322" s="13">
        <f>IF(הפחתה[[#This Row],[תאריך]]="",0,הפחתה[[#This Row],[ריבית]]+הפחתה[[#This Row],[קרן]]+הפחתה[[#This Row],[מדד]])</f>
        <v>3319.598858084973</v>
      </c>
      <c r="I322" s="13">
        <f>IF(הפחתה[[#This Row],[תאריך]]="",0,הפחתה[[#This Row],[יתרת פתיחה]]-הפחתה[[#This Row],[קרן]]+הפחתה[[#This Row],[מדד]])</f>
        <v>124699.45407853909</v>
      </c>
      <c r="J322" s="11">
        <f>IF(הפחתה[[#This Row],[יתרת
סגירה]]&gt;0,LastRow-ROW(),0)</f>
        <v>41</v>
      </c>
      <c r="K322" s="11">
        <f>ROWS($K$4:K322)</f>
        <v>319</v>
      </c>
      <c r="L322" s="12" t="str">
        <f>IF(ValuesEntered2,IF(הפחתה5[[#This Row],[מס'']]&lt;=תקופת_ההלוואה2,IF(ROW()-ROW(הפחתה5[[#Headers],[תאריך]])=1,LoanStart2,IF(R321&gt;0,EDATE(L321,1),"")),""),"")</f>
        <v/>
      </c>
      <c r="M322" s="13">
        <f>IF(ROW()-ROW(הפחתה5[[#Headers],[יתרת פתיחה]])=1,סכום_הלוואה2,IF(הפחתה5[[#This Row],[תאריך]]="",0,INDEX(הפחתה5[], ROW()-4,8)))</f>
        <v>0</v>
      </c>
      <c r="N322" s="13">
        <f>IF(ValuesEntered2,IF(ROW()-ROW(הפחתה5[[#Headers],[ריבית]])=1,-IPMT(שיעור_ריבית2/12,1,תקופת_ההלוואה2-ROWS($L$4:L322)+1,הפחתה5[[#This Row],[יתרת פתיחה]]),IFERROR(-IPMT(שיעור_ריבית2/12,1,הפחתה5[[#This Row],[תשלומים
שנותרו]],M323),0)),0)</f>
        <v>0</v>
      </c>
      <c r="O322" s="13" t="str">
        <f>IFERROR(IF(AND(ValuesEntered2,הפחתה5[[#This Row],[תאריך]]&lt;&gt;""),-PPMT(שיעור_ריבית2/12,1,תקופת_ההלוואה2-ROWS($L$4:L322)+1,הפחתה5[[#This Row],[יתרת פתיחה]]),""),0)</f>
        <v/>
      </c>
      <c r="P322" s="13">
        <f>(הפחתה5[[#This Row],[יתרת פתיחה]])*(מדד2/12)</f>
        <v>0</v>
      </c>
      <c r="Q322" s="13">
        <f>IF(הפחתה5[[#This Row],[תאריך]]="",0,הפחתה5[[#This Row],[ריבית]]+הפחתה5[[#This Row],[קרן]]+הפחתה5[[#This Row],[מדד]])</f>
        <v>0</v>
      </c>
      <c r="R322" s="13">
        <f>IF(הפחתה5[[#This Row],[תאריך]]="",0,הפחתה5[[#This Row],[יתרת פתיחה]]-הפחתה5[[#This Row],[קרן]]+הפחתה5[[#This Row],[מדד]])</f>
        <v>0</v>
      </c>
      <c r="S322" s="11">
        <f>IF(הפחתה5[[#This Row],[יתרת
סגירה]]&gt;0,LastRow2-ROW(),0)</f>
        <v>0</v>
      </c>
      <c r="T322" s="11">
        <f>ROWS($T$4:T322)</f>
        <v>319</v>
      </c>
      <c r="U322" s="12" t="str">
        <f ca="1">IF(ValuesEntered3,IF(הפחתה7[[#This Row],[מס'']]&lt;=תקופת_ההלוואה3,IF(ROW()-ROW(הפחתה7[[#Headers],[תאריך]])=1,LoanStart3,IF(AA321&gt;0,EDATE(U321,1),"")),""),"")</f>
        <v/>
      </c>
      <c r="V322" s="13">
        <f ca="1">IF(ROW()-ROW(הפחתה7[[#Headers],[יתרת פתיחה]])=1,סכום_הלוואה3,IF(הפחתה7[[#This Row],[תאריך]]="",0,INDEX(הפחתה7[], ROW()-4,8)))</f>
        <v>0</v>
      </c>
      <c r="W322" s="13">
        <f ca="1">IF(ValuesEntered3,IF(ROW()-ROW(הפחתה7[[#Headers],[ריבית]])=1,-IPMT(שיעור_ריבית3/12,1,תקופת_ההלוואה3-ROWS($C$4:U322)+1,הפחתה7[[#This Row],[יתרת פתיחה]]),IFERROR(-IPMT(שיעור_ריבית3/12,1,הפחתה7[[#This Row],[תשלומים
שנותרו]],V323),0)),0)</f>
        <v>0</v>
      </c>
      <c r="X322" s="13" t="str">
        <f ca="1">IFERROR(IF(AND(ValuesEntered3,הפחתה7[[#This Row],[תאריך]]&lt;&gt;""),-PPMT(שיעור_ריבית3/12,1,תקופת_ההלוואה3-ROWS($C$4:U322)+1,הפחתה7[[#This Row],[יתרת פתיחה]]),""),0)</f>
        <v/>
      </c>
      <c r="Y322" s="13">
        <f ca="1">(הפחתה7[[#This Row],[יתרת פתיחה]])*(מדד3/12)</f>
        <v>0</v>
      </c>
      <c r="Z322" s="13">
        <f ca="1">IF(הפחתה7[[#This Row],[תאריך]]="",0,הפחתה7[[#This Row],[ריבית]]+הפחתה7[[#This Row],[קרן]]+הפחתה7[[#This Row],[מדד]])</f>
        <v>0</v>
      </c>
      <c r="AA322" s="13">
        <f ca="1">IF(הפחתה7[[#This Row],[תאריך]]="",0,הפחתה7[[#This Row],[יתרת פתיחה]]-הפחתה7[[#This Row],[קרן]]+הפחתה7[[#This Row],[מדד]])</f>
        <v>0</v>
      </c>
      <c r="AB322" s="11">
        <f ca="1">IF(הפחתה7[[#This Row],[יתרת
סגירה]]&gt;0,LastRow3-ROW(),0)</f>
        <v>0</v>
      </c>
      <c r="AC322" s="17">
        <f>ROWS($AC$4:AC322)</f>
        <v>319</v>
      </c>
      <c r="AD322" s="18" t="str">
        <f ca="1">IF(ValuesEntered4,IF(הפחתה8[[#This Row],[מס'']]&lt;=תקופת_ההלוואה4,IF(ROW()-ROW(הפחתה8[[#Headers],[תאריך]])=1,LoanStart4,IF(AJ321&gt;0,EDATE(AD321,1),"")),""),"")</f>
        <v/>
      </c>
      <c r="AE322" s="19">
        <f ca="1">IF(ROW()-ROW(הפחתה8[[#Headers],[יתרת פתיחה]])=1,סכום_הלוואה4,IF(הפחתה8[[#This Row],[תאריך]]="",0,INDEX(הפחתה8[], ROW()-4,8)))</f>
        <v>0</v>
      </c>
      <c r="AF322" s="19">
        <f ca="1">IF(ValuesEntered4,IF(ROW()-ROW(הפחתה8[[#Headers],[ריבית]])=1,-IPMT(שיעור_ריבית4/12,1,תקופת_ההלוואה4-ROWS($C$4:AD322)+1,הפחתה8[[#This Row],[יתרת פתיחה]]),IFERROR(-IPMT(שיעור_ריבית4/12,1,הפחתה8[[#This Row],[תשלומים
שנותרו]],AE323),0)),0)</f>
        <v>0</v>
      </c>
      <c r="AG322" s="19" t="str">
        <f ca="1">IFERROR(IF(AND(ValuesEntered4,הפחתה8[[#This Row],[תאריך]]&lt;&gt;""),-PPMT(שיעור_ריבית4/12,1,תקופת_ההלוואה4-ROWS($C$4:AD322)+1,הפחתה8[[#This Row],[יתרת פתיחה]]),""),0)</f>
        <v/>
      </c>
      <c r="AH322" s="19">
        <f ca="1">(הפחתה8[[#This Row],[יתרת פתיחה]])*(מדד4/12)</f>
        <v>0</v>
      </c>
      <c r="AI322" s="19">
        <f ca="1">IF(הפחתה8[[#This Row],[תאריך]]="",0,הפחתה8[[#This Row],[ריבית]]+הפחתה8[[#This Row],[קרן]]+הפחתה8[[#This Row],[מדד]])</f>
        <v>0</v>
      </c>
      <c r="AJ322" s="19">
        <f ca="1">IF(הפחתה8[[#This Row],[תאריך]]="",0,הפחתה8[[#This Row],[יתרת פתיחה]]-הפחתה8[[#This Row],[קרן]])</f>
        <v>0</v>
      </c>
      <c r="AK322" s="20">
        <f ca="1">IF(הפחתה8[[#This Row],[יתרת
סגירה]]&gt;0,LastRow4-ROW(),0)</f>
        <v>0</v>
      </c>
    </row>
    <row r="323" spans="1:37" ht="15" customHeight="1" x14ac:dyDescent="0.25">
      <c r="A323" s="8"/>
      <c r="B323" s="11">
        <f>ROWS($B$4:B323)</f>
        <v>320</v>
      </c>
      <c r="C323" s="12">
        <f>IF(ValuesEntered,IF(הפחתה[[#This Row],[מס'']]&lt;=תקופת_ההלוואה,IF(ROW()-ROW(הפחתה[[#Headers],[תאריך]])=1,LoanStart,IF(I322&gt;0,EDATE(C322,1),"")),""),"")</f>
        <v>55093</v>
      </c>
      <c r="D323" s="13">
        <f>IF(ROW()-ROW(הפחתה[[#Headers],[יתרת פתיחה]])=1,סכום_הלוואה,IF(הפחתה[[#This Row],[תאריך]]="",0,INDEX(הפחתה[], ROW()-4,8)))</f>
        <v>124699.45407853909</v>
      </c>
      <c r="E323" s="13">
        <f>IF(ValuesEntered,IF(ROW()-ROW(הפחתה[[#Headers],[ריבית]])=1,-IPMT(שיעור_ריבית/12,1,תקופת_ההלוואה-ROWS($C$4:C323)+1,הפחתה[[#This Row],[יתרת פתיחה]]),IFERROR(-IPMT(שיעור_ריבית/12,1,הפחתה[[#This Row],[תשלומים
שנותרו]],D324),0)),0)</f>
        <v>538.47285421464221</v>
      </c>
      <c r="F323" s="13">
        <f>IFERROR(IF(AND(ValuesEntered,הפחתה[[#This Row],[תאריך]]&lt;&gt;""),-PPMT(שיעור_ריבית/12,1,תקופת_ההלוואה-ROWS($C$4:C323)+1,הפחתה[[#This Row],[יתרת פתיחה]]),""),0)</f>
        <v>2781.0719922050048</v>
      </c>
      <c r="G323" s="13">
        <f>(הפחתה[[#This Row],[יתרת פתיחה]])*(מדד/12)</f>
        <v>0</v>
      </c>
      <c r="H323" s="13">
        <f>IF(הפחתה[[#This Row],[תאריך]]="",0,הפחתה[[#This Row],[ריבית]]+הפחתה[[#This Row],[קרן]]+הפחתה[[#This Row],[מדד]])</f>
        <v>3319.544846419647</v>
      </c>
      <c r="I323" s="13">
        <f>IF(הפחתה[[#This Row],[תאריך]]="",0,הפחתה[[#This Row],[יתרת פתיחה]]-הפחתה[[#This Row],[קרן]]+הפחתה[[#This Row],[מדד]])</f>
        <v>121918.38208633408</v>
      </c>
      <c r="J323" s="11">
        <f>IF(הפחתה[[#This Row],[יתרת
סגירה]]&gt;0,LastRow-ROW(),0)</f>
        <v>40</v>
      </c>
      <c r="K323" s="11">
        <f>ROWS($K$4:K323)</f>
        <v>320</v>
      </c>
      <c r="L323" s="12" t="str">
        <f>IF(ValuesEntered2,IF(הפחתה5[[#This Row],[מס'']]&lt;=תקופת_ההלוואה2,IF(ROW()-ROW(הפחתה5[[#Headers],[תאריך]])=1,LoanStart2,IF(R322&gt;0,EDATE(L322,1),"")),""),"")</f>
        <v/>
      </c>
      <c r="M323" s="13">
        <f>IF(ROW()-ROW(הפחתה5[[#Headers],[יתרת פתיחה]])=1,סכום_הלוואה2,IF(הפחתה5[[#This Row],[תאריך]]="",0,INDEX(הפחתה5[], ROW()-4,8)))</f>
        <v>0</v>
      </c>
      <c r="N323" s="13">
        <f>IF(ValuesEntered2,IF(ROW()-ROW(הפחתה5[[#Headers],[ריבית]])=1,-IPMT(שיעור_ריבית2/12,1,תקופת_ההלוואה2-ROWS($L$4:L323)+1,הפחתה5[[#This Row],[יתרת פתיחה]]),IFERROR(-IPMT(שיעור_ריבית2/12,1,הפחתה5[[#This Row],[תשלומים
שנותרו]],M324),0)),0)</f>
        <v>0</v>
      </c>
      <c r="O323" s="13" t="str">
        <f>IFERROR(IF(AND(ValuesEntered2,הפחתה5[[#This Row],[תאריך]]&lt;&gt;""),-PPMT(שיעור_ריבית2/12,1,תקופת_ההלוואה2-ROWS($L$4:L323)+1,הפחתה5[[#This Row],[יתרת פתיחה]]),""),0)</f>
        <v/>
      </c>
      <c r="P323" s="13">
        <f>(הפחתה5[[#This Row],[יתרת פתיחה]])*(מדד2/12)</f>
        <v>0</v>
      </c>
      <c r="Q323" s="13">
        <f>IF(הפחתה5[[#This Row],[תאריך]]="",0,הפחתה5[[#This Row],[ריבית]]+הפחתה5[[#This Row],[קרן]]+הפחתה5[[#This Row],[מדד]])</f>
        <v>0</v>
      </c>
      <c r="R323" s="13">
        <f>IF(הפחתה5[[#This Row],[תאריך]]="",0,הפחתה5[[#This Row],[יתרת פתיחה]]-הפחתה5[[#This Row],[קרן]]+הפחתה5[[#This Row],[מדד]])</f>
        <v>0</v>
      </c>
      <c r="S323" s="11">
        <f>IF(הפחתה5[[#This Row],[יתרת
סגירה]]&gt;0,LastRow2-ROW(),0)</f>
        <v>0</v>
      </c>
      <c r="T323" s="11">
        <f>ROWS($T$4:T323)</f>
        <v>320</v>
      </c>
      <c r="U323" s="12" t="str">
        <f ca="1">IF(ValuesEntered3,IF(הפחתה7[[#This Row],[מס'']]&lt;=תקופת_ההלוואה3,IF(ROW()-ROW(הפחתה7[[#Headers],[תאריך]])=1,LoanStart3,IF(AA322&gt;0,EDATE(U322,1),"")),""),"")</f>
        <v/>
      </c>
      <c r="V323" s="13">
        <f ca="1">IF(ROW()-ROW(הפחתה7[[#Headers],[יתרת פתיחה]])=1,סכום_הלוואה3,IF(הפחתה7[[#This Row],[תאריך]]="",0,INDEX(הפחתה7[], ROW()-4,8)))</f>
        <v>0</v>
      </c>
      <c r="W323" s="13">
        <f ca="1">IF(ValuesEntered3,IF(ROW()-ROW(הפחתה7[[#Headers],[ריבית]])=1,-IPMT(שיעור_ריבית3/12,1,תקופת_ההלוואה3-ROWS($C$4:U323)+1,הפחתה7[[#This Row],[יתרת פתיחה]]),IFERROR(-IPMT(שיעור_ריבית3/12,1,הפחתה7[[#This Row],[תשלומים
שנותרו]],V324),0)),0)</f>
        <v>0</v>
      </c>
      <c r="X323" s="13" t="str">
        <f ca="1">IFERROR(IF(AND(ValuesEntered3,הפחתה7[[#This Row],[תאריך]]&lt;&gt;""),-PPMT(שיעור_ריבית3/12,1,תקופת_ההלוואה3-ROWS($C$4:U323)+1,הפחתה7[[#This Row],[יתרת פתיחה]]),""),0)</f>
        <v/>
      </c>
      <c r="Y323" s="13">
        <f ca="1">(הפחתה7[[#This Row],[יתרת פתיחה]])*(מדד3/12)</f>
        <v>0</v>
      </c>
      <c r="Z323" s="13">
        <f ca="1">IF(הפחתה7[[#This Row],[תאריך]]="",0,הפחתה7[[#This Row],[ריבית]]+הפחתה7[[#This Row],[קרן]]+הפחתה7[[#This Row],[מדד]])</f>
        <v>0</v>
      </c>
      <c r="AA323" s="13">
        <f ca="1">IF(הפחתה7[[#This Row],[תאריך]]="",0,הפחתה7[[#This Row],[יתרת פתיחה]]-הפחתה7[[#This Row],[קרן]]+הפחתה7[[#This Row],[מדד]])</f>
        <v>0</v>
      </c>
      <c r="AB323" s="11">
        <f ca="1">IF(הפחתה7[[#This Row],[יתרת
סגירה]]&gt;0,LastRow3-ROW(),0)</f>
        <v>0</v>
      </c>
      <c r="AC323" s="17">
        <f>ROWS($AC$4:AC323)</f>
        <v>320</v>
      </c>
      <c r="AD323" s="18" t="str">
        <f ca="1">IF(ValuesEntered4,IF(הפחתה8[[#This Row],[מס'']]&lt;=תקופת_ההלוואה4,IF(ROW()-ROW(הפחתה8[[#Headers],[תאריך]])=1,LoanStart4,IF(AJ322&gt;0,EDATE(AD322,1),"")),""),"")</f>
        <v/>
      </c>
      <c r="AE323" s="19">
        <f ca="1">IF(ROW()-ROW(הפחתה8[[#Headers],[יתרת פתיחה]])=1,סכום_הלוואה4,IF(הפחתה8[[#This Row],[תאריך]]="",0,INDEX(הפחתה8[], ROW()-4,8)))</f>
        <v>0</v>
      </c>
      <c r="AF323" s="19">
        <f ca="1">IF(ValuesEntered4,IF(ROW()-ROW(הפחתה8[[#Headers],[ריבית]])=1,-IPMT(שיעור_ריבית4/12,1,תקופת_ההלוואה4-ROWS($C$4:AD323)+1,הפחתה8[[#This Row],[יתרת פתיחה]]),IFERROR(-IPMT(שיעור_ריבית4/12,1,הפחתה8[[#This Row],[תשלומים
שנותרו]],AE324),0)),0)</f>
        <v>0</v>
      </c>
      <c r="AG323" s="19" t="str">
        <f ca="1">IFERROR(IF(AND(ValuesEntered4,הפחתה8[[#This Row],[תאריך]]&lt;&gt;""),-PPMT(שיעור_ריבית4/12,1,תקופת_ההלוואה4-ROWS($C$4:AD323)+1,הפחתה8[[#This Row],[יתרת פתיחה]]),""),0)</f>
        <v/>
      </c>
      <c r="AH323" s="19">
        <f ca="1">(הפחתה8[[#This Row],[יתרת פתיחה]])*(מדד4/12)</f>
        <v>0</v>
      </c>
      <c r="AI323" s="19">
        <f ca="1">IF(הפחתה8[[#This Row],[תאריך]]="",0,הפחתה8[[#This Row],[ריבית]]+הפחתה8[[#This Row],[קרן]]+הפחתה8[[#This Row],[מדד]])</f>
        <v>0</v>
      </c>
      <c r="AJ323" s="19">
        <f ca="1">IF(הפחתה8[[#This Row],[תאריך]]="",0,הפחתה8[[#This Row],[יתרת פתיחה]]-הפחתה8[[#This Row],[קרן]])</f>
        <v>0</v>
      </c>
      <c r="AK323" s="20">
        <f ca="1">IF(הפחתה8[[#This Row],[יתרת
סגירה]]&gt;0,LastRow4-ROW(),0)</f>
        <v>0</v>
      </c>
    </row>
    <row r="324" spans="1:37" ht="15" customHeight="1" x14ac:dyDescent="0.25">
      <c r="A324" s="8"/>
      <c r="B324" s="11">
        <f>ROWS($B$4:B324)</f>
        <v>321</v>
      </c>
      <c r="C324" s="12">
        <f>IF(ValuesEntered,IF(הפחתה[[#This Row],[מס'']]&lt;=תקופת_ההלוואה,IF(ROW()-ROW(הפחתה[[#Headers],[תאריך]])=1,LoanStart,IF(I323&gt;0,EDATE(C323,1),"")),""),"")</f>
        <v>55123</v>
      </c>
      <c r="D324" s="13">
        <f>IF(ROW()-ROW(הפחתה[[#Headers],[יתרת פתיחה]])=1,סכום_הלוואה,IF(הפחתה[[#This Row],[תאריך]]="",0,INDEX(הפחתה[], ROW()-4,8)))</f>
        <v>121918.38208633408</v>
      </c>
      <c r="E324" s="13">
        <f>IF(ValuesEntered,IF(ROW()-ROW(הפחתה[[#Headers],[ריבית]])=1,-IPMT(שיעור_ריבית/12,1,תקופת_ההלוואה-ROWS($C$4:C324)+1,הפחתה[[#This Row],[יתרת פתיחה]]),IFERROR(-IPMT(שיעור_ריבית/12,1,הפחתה[[#This Row],[תשלומים
שנותרו]],D325),0)),0)</f>
        <v>526.13553603222226</v>
      </c>
      <c r="F324" s="13">
        <f>IFERROR(IF(AND(ValuesEntered,הפחתה[[#This Row],[תאריך]]&lt;&gt;""),-PPMT(שיעור_ריבית/12,1,תקופת_ההלוואה-ROWS($C$4:C324)+1,הפחתה[[#This Row],[יתרת פתיחה]]),""),0)</f>
        <v>2793.355060170577</v>
      </c>
      <c r="G324" s="13">
        <f>(הפחתה[[#This Row],[יתרת פתיחה]])*(מדד/12)</f>
        <v>0</v>
      </c>
      <c r="H324" s="13">
        <f>IF(הפחתה[[#This Row],[תאריך]]="",0,הפחתה[[#This Row],[ריבית]]+הפחתה[[#This Row],[קרן]]+הפחתה[[#This Row],[מדד]])</f>
        <v>3319.4905962027992</v>
      </c>
      <c r="I324" s="13">
        <f>IF(הפחתה[[#This Row],[תאריך]]="",0,הפחתה[[#This Row],[יתרת פתיחה]]-הפחתה[[#This Row],[קרן]]+הפחתה[[#This Row],[מדד]])</f>
        <v>119125.0270261635</v>
      </c>
      <c r="J324" s="11">
        <f>IF(הפחתה[[#This Row],[יתרת
סגירה]]&gt;0,LastRow-ROW(),0)</f>
        <v>39</v>
      </c>
      <c r="K324" s="11">
        <f>ROWS($K$4:K324)</f>
        <v>321</v>
      </c>
      <c r="L324" s="12" t="str">
        <f>IF(ValuesEntered2,IF(הפחתה5[[#This Row],[מס'']]&lt;=תקופת_ההלוואה2,IF(ROW()-ROW(הפחתה5[[#Headers],[תאריך]])=1,LoanStart2,IF(R323&gt;0,EDATE(L323,1),"")),""),"")</f>
        <v/>
      </c>
      <c r="M324" s="13">
        <f>IF(ROW()-ROW(הפחתה5[[#Headers],[יתרת פתיחה]])=1,סכום_הלוואה2,IF(הפחתה5[[#This Row],[תאריך]]="",0,INDEX(הפחתה5[], ROW()-4,8)))</f>
        <v>0</v>
      </c>
      <c r="N324" s="13">
        <f>IF(ValuesEntered2,IF(ROW()-ROW(הפחתה5[[#Headers],[ריבית]])=1,-IPMT(שיעור_ריבית2/12,1,תקופת_ההלוואה2-ROWS($L$4:L324)+1,הפחתה5[[#This Row],[יתרת פתיחה]]),IFERROR(-IPMT(שיעור_ריבית2/12,1,הפחתה5[[#This Row],[תשלומים
שנותרו]],M325),0)),0)</f>
        <v>0</v>
      </c>
      <c r="O324" s="13" t="str">
        <f>IFERROR(IF(AND(ValuesEntered2,הפחתה5[[#This Row],[תאריך]]&lt;&gt;""),-PPMT(שיעור_ריבית2/12,1,תקופת_ההלוואה2-ROWS($L$4:L324)+1,הפחתה5[[#This Row],[יתרת פתיחה]]),""),0)</f>
        <v/>
      </c>
      <c r="P324" s="13">
        <f>(הפחתה5[[#This Row],[יתרת פתיחה]])*(מדד2/12)</f>
        <v>0</v>
      </c>
      <c r="Q324" s="13">
        <f>IF(הפחתה5[[#This Row],[תאריך]]="",0,הפחתה5[[#This Row],[ריבית]]+הפחתה5[[#This Row],[קרן]]+הפחתה5[[#This Row],[מדד]])</f>
        <v>0</v>
      </c>
      <c r="R324" s="13">
        <f>IF(הפחתה5[[#This Row],[תאריך]]="",0,הפחתה5[[#This Row],[יתרת פתיחה]]-הפחתה5[[#This Row],[קרן]]+הפחתה5[[#This Row],[מדד]])</f>
        <v>0</v>
      </c>
      <c r="S324" s="11">
        <f>IF(הפחתה5[[#This Row],[יתרת
סגירה]]&gt;0,LastRow2-ROW(),0)</f>
        <v>0</v>
      </c>
      <c r="T324" s="11">
        <f>ROWS($T$4:T324)</f>
        <v>321</v>
      </c>
      <c r="U324" s="12" t="str">
        <f ca="1">IF(ValuesEntered3,IF(הפחתה7[[#This Row],[מס'']]&lt;=תקופת_ההלוואה3,IF(ROW()-ROW(הפחתה7[[#Headers],[תאריך]])=1,LoanStart3,IF(AA323&gt;0,EDATE(U323,1),"")),""),"")</f>
        <v/>
      </c>
      <c r="V324" s="13">
        <f ca="1">IF(ROW()-ROW(הפחתה7[[#Headers],[יתרת פתיחה]])=1,סכום_הלוואה3,IF(הפחתה7[[#This Row],[תאריך]]="",0,INDEX(הפחתה7[], ROW()-4,8)))</f>
        <v>0</v>
      </c>
      <c r="W324" s="13">
        <f ca="1">IF(ValuesEntered3,IF(ROW()-ROW(הפחתה7[[#Headers],[ריבית]])=1,-IPMT(שיעור_ריבית3/12,1,תקופת_ההלוואה3-ROWS($C$4:U324)+1,הפחתה7[[#This Row],[יתרת פתיחה]]),IFERROR(-IPMT(שיעור_ריבית3/12,1,הפחתה7[[#This Row],[תשלומים
שנותרו]],V325),0)),0)</f>
        <v>0</v>
      </c>
      <c r="X324" s="13" t="str">
        <f ca="1">IFERROR(IF(AND(ValuesEntered3,הפחתה7[[#This Row],[תאריך]]&lt;&gt;""),-PPMT(שיעור_ריבית3/12,1,תקופת_ההלוואה3-ROWS($C$4:U324)+1,הפחתה7[[#This Row],[יתרת פתיחה]]),""),0)</f>
        <v/>
      </c>
      <c r="Y324" s="13">
        <f ca="1">(הפחתה7[[#This Row],[יתרת פתיחה]])*(מדד3/12)</f>
        <v>0</v>
      </c>
      <c r="Z324" s="13">
        <f ca="1">IF(הפחתה7[[#This Row],[תאריך]]="",0,הפחתה7[[#This Row],[ריבית]]+הפחתה7[[#This Row],[קרן]]+הפחתה7[[#This Row],[מדד]])</f>
        <v>0</v>
      </c>
      <c r="AA324" s="13">
        <f ca="1">IF(הפחתה7[[#This Row],[תאריך]]="",0,הפחתה7[[#This Row],[יתרת פתיחה]]-הפחתה7[[#This Row],[קרן]]+הפחתה7[[#This Row],[מדד]])</f>
        <v>0</v>
      </c>
      <c r="AB324" s="11">
        <f ca="1">IF(הפחתה7[[#This Row],[יתרת
סגירה]]&gt;0,LastRow3-ROW(),0)</f>
        <v>0</v>
      </c>
      <c r="AC324" s="17">
        <f>ROWS($AC$4:AC324)</f>
        <v>321</v>
      </c>
      <c r="AD324" s="18" t="str">
        <f ca="1">IF(ValuesEntered4,IF(הפחתה8[[#This Row],[מס'']]&lt;=תקופת_ההלוואה4,IF(ROW()-ROW(הפחתה8[[#Headers],[תאריך]])=1,LoanStart4,IF(AJ323&gt;0,EDATE(AD323,1),"")),""),"")</f>
        <v/>
      </c>
      <c r="AE324" s="19">
        <f ca="1">IF(ROW()-ROW(הפחתה8[[#Headers],[יתרת פתיחה]])=1,סכום_הלוואה4,IF(הפחתה8[[#This Row],[תאריך]]="",0,INDEX(הפחתה8[], ROW()-4,8)))</f>
        <v>0</v>
      </c>
      <c r="AF324" s="19">
        <f ca="1">IF(ValuesEntered4,IF(ROW()-ROW(הפחתה8[[#Headers],[ריבית]])=1,-IPMT(שיעור_ריבית4/12,1,תקופת_ההלוואה4-ROWS($C$4:AD324)+1,הפחתה8[[#This Row],[יתרת פתיחה]]),IFERROR(-IPMT(שיעור_ריבית4/12,1,הפחתה8[[#This Row],[תשלומים
שנותרו]],AE325),0)),0)</f>
        <v>0</v>
      </c>
      <c r="AG324" s="19" t="str">
        <f ca="1">IFERROR(IF(AND(ValuesEntered4,הפחתה8[[#This Row],[תאריך]]&lt;&gt;""),-PPMT(שיעור_ריבית4/12,1,תקופת_ההלוואה4-ROWS($C$4:AD324)+1,הפחתה8[[#This Row],[יתרת פתיחה]]),""),0)</f>
        <v/>
      </c>
      <c r="AH324" s="19">
        <f ca="1">(הפחתה8[[#This Row],[יתרת פתיחה]])*(מדד4/12)</f>
        <v>0</v>
      </c>
      <c r="AI324" s="19">
        <f ca="1">IF(הפחתה8[[#This Row],[תאריך]]="",0,הפחתה8[[#This Row],[ריבית]]+הפחתה8[[#This Row],[קרן]]+הפחתה8[[#This Row],[מדד]])</f>
        <v>0</v>
      </c>
      <c r="AJ324" s="19">
        <f ca="1">IF(הפחתה8[[#This Row],[תאריך]]="",0,הפחתה8[[#This Row],[יתרת פתיחה]]-הפחתה8[[#This Row],[קרן]])</f>
        <v>0</v>
      </c>
      <c r="AK324" s="20">
        <f ca="1">IF(הפחתה8[[#This Row],[יתרת
סגירה]]&gt;0,LastRow4-ROW(),0)</f>
        <v>0</v>
      </c>
    </row>
    <row r="325" spans="1:37" ht="15" customHeight="1" x14ac:dyDescent="0.25">
      <c r="A325" s="8"/>
      <c r="B325" s="11">
        <f>ROWS($B$4:B325)</f>
        <v>322</v>
      </c>
      <c r="C325" s="12">
        <f>IF(ValuesEntered,IF(הפחתה[[#This Row],[מס'']]&lt;=תקופת_ההלוואה,IF(ROW()-ROW(הפחתה[[#Headers],[תאריך]])=1,LoanStart,IF(I324&gt;0,EDATE(C324,1),"")),""),"")</f>
        <v>55154</v>
      </c>
      <c r="D325" s="13">
        <f>IF(ROW()-ROW(הפחתה[[#Headers],[יתרת פתיחה]])=1,סכום_הלוואה,IF(הפחתה[[#This Row],[תאריך]]="",0,INDEX(הפחתה[], ROW()-4,8)))</f>
        <v>119125.0270261635</v>
      </c>
      <c r="E325" s="13">
        <f>IF(ValuesEntered,IF(ROW()-ROW(הפחתה[[#Headers],[ריבית]])=1,-IPMT(שיעור_ריבית/12,1,תקופת_ההלוואה-ROWS($C$4:C325)+1,הפחתה[[#This Row],[יתרת פתיחה]]),IFERROR(-IPMT(שיעור_ריבית/12,1,הפחתה[[#This Row],[תשלומים
שנותרו]],D326),0)),0)</f>
        <v>513.74372802782977</v>
      </c>
      <c r="F325" s="13">
        <f>IFERROR(IF(AND(ValuesEntered,הפחתה[[#This Row],[תאריך]]&lt;&gt;""),-PPMT(שיעור_ריבית/12,1,תקופת_ההלוואה-ROWS($C$4:C325)+1,הפחתה[[#This Row],[יתרת פתיחה]]),""),0)</f>
        <v>2805.6923783529965</v>
      </c>
      <c r="G325" s="13">
        <f>(הפחתה[[#This Row],[יתרת פתיחה]])*(מדד/12)</f>
        <v>0</v>
      </c>
      <c r="H325" s="13">
        <f>IF(הפחתה[[#This Row],[תאריך]]="",0,הפחתה[[#This Row],[ריבית]]+הפחתה[[#This Row],[קרן]]+הפחתה[[#This Row],[מדד]])</f>
        <v>3319.4361063808265</v>
      </c>
      <c r="I325" s="13">
        <f>IF(הפחתה[[#This Row],[תאריך]]="",0,הפחתה[[#This Row],[יתרת פתיחה]]-הפחתה[[#This Row],[קרן]]+הפחתה[[#This Row],[מדד]])</f>
        <v>116319.33464781051</v>
      </c>
      <c r="J325" s="11">
        <f>IF(הפחתה[[#This Row],[יתרת
סגירה]]&gt;0,LastRow-ROW(),0)</f>
        <v>38</v>
      </c>
      <c r="K325" s="11">
        <f>ROWS($K$4:K325)</f>
        <v>322</v>
      </c>
      <c r="L325" s="12" t="str">
        <f>IF(ValuesEntered2,IF(הפחתה5[[#This Row],[מס'']]&lt;=תקופת_ההלוואה2,IF(ROW()-ROW(הפחתה5[[#Headers],[תאריך]])=1,LoanStart2,IF(R324&gt;0,EDATE(L324,1),"")),""),"")</f>
        <v/>
      </c>
      <c r="M325" s="13">
        <f>IF(ROW()-ROW(הפחתה5[[#Headers],[יתרת פתיחה]])=1,סכום_הלוואה2,IF(הפחתה5[[#This Row],[תאריך]]="",0,INDEX(הפחתה5[], ROW()-4,8)))</f>
        <v>0</v>
      </c>
      <c r="N325" s="13">
        <f>IF(ValuesEntered2,IF(ROW()-ROW(הפחתה5[[#Headers],[ריבית]])=1,-IPMT(שיעור_ריבית2/12,1,תקופת_ההלוואה2-ROWS($L$4:L325)+1,הפחתה5[[#This Row],[יתרת פתיחה]]),IFERROR(-IPMT(שיעור_ריבית2/12,1,הפחתה5[[#This Row],[תשלומים
שנותרו]],M326),0)),0)</f>
        <v>0</v>
      </c>
      <c r="O325" s="13" t="str">
        <f>IFERROR(IF(AND(ValuesEntered2,הפחתה5[[#This Row],[תאריך]]&lt;&gt;""),-PPMT(שיעור_ריבית2/12,1,תקופת_ההלוואה2-ROWS($L$4:L325)+1,הפחתה5[[#This Row],[יתרת פתיחה]]),""),0)</f>
        <v/>
      </c>
      <c r="P325" s="13">
        <f>(הפחתה5[[#This Row],[יתרת פתיחה]])*(מדד2/12)</f>
        <v>0</v>
      </c>
      <c r="Q325" s="13">
        <f>IF(הפחתה5[[#This Row],[תאריך]]="",0,הפחתה5[[#This Row],[ריבית]]+הפחתה5[[#This Row],[קרן]]+הפחתה5[[#This Row],[מדד]])</f>
        <v>0</v>
      </c>
      <c r="R325" s="13">
        <f>IF(הפחתה5[[#This Row],[תאריך]]="",0,הפחתה5[[#This Row],[יתרת פתיחה]]-הפחתה5[[#This Row],[קרן]]+הפחתה5[[#This Row],[מדד]])</f>
        <v>0</v>
      </c>
      <c r="S325" s="11">
        <f>IF(הפחתה5[[#This Row],[יתרת
סגירה]]&gt;0,LastRow2-ROW(),0)</f>
        <v>0</v>
      </c>
      <c r="T325" s="11">
        <f>ROWS($T$4:T325)</f>
        <v>322</v>
      </c>
      <c r="U325" s="12" t="str">
        <f ca="1">IF(ValuesEntered3,IF(הפחתה7[[#This Row],[מס'']]&lt;=תקופת_ההלוואה3,IF(ROW()-ROW(הפחתה7[[#Headers],[תאריך]])=1,LoanStart3,IF(AA324&gt;0,EDATE(U324,1),"")),""),"")</f>
        <v/>
      </c>
      <c r="V325" s="13">
        <f ca="1">IF(ROW()-ROW(הפחתה7[[#Headers],[יתרת פתיחה]])=1,סכום_הלוואה3,IF(הפחתה7[[#This Row],[תאריך]]="",0,INDEX(הפחתה7[], ROW()-4,8)))</f>
        <v>0</v>
      </c>
      <c r="W325" s="13">
        <f ca="1">IF(ValuesEntered3,IF(ROW()-ROW(הפחתה7[[#Headers],[ריבית]])=1,-IPMT(שיעור_ריבית3/12,1,תקופת_ההלוואה3-ROWS($C$4:U325)+1,הפחתה7[[#This Row],[יתרת פתיחה]]),IFERROR(-IPMT(שיעור_ריבית3/12,1,הפחתה7[[#This Row],[תשלומים
שנותרו]],V326),0)),0)</f>
        <v>0</v>
      </c>
      <c r="X325" s="13" t="str">
        <f ca="1">IFERROR(IF(AND(ValuesEntered3,הפחתה7[[#This Row],[תאריך]]&lt;&gt;""),-PPMT(שיעור_ריבית3/12,1,תקופת_ההלוואה3-ROWS($C$4:U325)+1,הפחתה7[[#This Row],[יתרת פתיחה]]),""),0)</f>
        <v/>
      </c>
      <c r="Y325" s="13">
        <f ca="1">(הפחתה7[[#This Row],[יתרת פתיחה]])*(מדד3/12)</f>
        <v>0</v>
      </c>
      <c r="Z325" s="13">
        <f ca="1">IF(הפחתה7[[#This Row],[תאריך]]="",0,הפחתה7[[#This Row],[ריבית]]+הפחתה7[[#This Row],[קרן]]+הפחתה7[[#This Row],[מדד]])</f>
        <v>0</v>
      </c>
      <c r="AA325" s="13">
        <f ca="1">IF(הפחתה7[[#This Row],[תאריך]]="",0,הפחתה7[[#This Row],[יתרת פתיחה]]-הפחתה7[[#This Row],[קרן]]+הפחתה7[[#This Row],[מדד]])</f>
        <v>0</v>
      </c>
      <c r="AB325" s="11">
        <f ca="1">IF(הפחתה7[[#This Row],[יתרת
סגירה]]&gt;0,LastRow3-ROW(),0)</f>
        <v>0</v>
      </c>
      <c r="AC325" s="17">
        <f>ROWS($AC$4:AC325)</f>
        <v>322</v>
      </c>
      <c r="AD325" s="18" t="str">
        <f ca="1">IF(ValuesEntered4,IF(הפחתה8[[#This Row],[מס'']]&lt;=תקופת_ההלוואה4,IF(ROW()-ROW(הפחתה8[[#Headers],[תאריך]])=1,LoanStart4,IF(AJ324&gt;0,EDATE(AD324,1),"")),""),"")</f>
        <v/>
      </c>
      <c r="AE325" s="19">
        <f ca="1">IF(ROW()-ROW(הפחתה8[[#Headers],[יתרת פתיחה]])=1,סכום_הלוואה4,IF(הפחתה8[[#This Row],[תאריך]]="",0,INDEX(הפחתה8[], ROW()-4,8)))</f>
        <v>0</v>
      </c>
      <c r="AF325" s="19">
        <f ca="1">IF(ValuesEntered4,IF(ROW()-ROW(הפחתה8[[#Headers],[ריבית]])=1,-IPMT(שיעור_ריבית4/12,1,תקופת_ההלוואה4-ROWS($C$4:AD325)+1,הפחתה8[[#This Row],[יתרת פתיחה]]),IFERROR(-IPMT(שיעור_ריבית4/12,1,הפחתה8[[#This Row],[תשלומים
שנותרו]],AE326),0)),0)</f>
        <v>0</v>
      </c>
      <c r="AG325" s="19" t="str">
        <f ca="1">IFERROR(IF(AND(ValuesEntered4,הפחתה8[[#This Row],[תאריך]]&lt;&gt;""),-PPMT(שיעור_ריבית4/12,1,תקופת_ההלוואה4-ROWS($C$4:AD325)+1,הפחתה8[[#This Row],[יתרת פתיחה]]),""),0)</f>
        <v/>
      </c>
      <c r="AH325" s="19">
        <f ca="1">(הפחתה8[[#This Row],[יתרת פתיחה]])*(מדד4/12)</f>
        <v>0</v>
      </c>
      <c r="AI325" s="19">
        <f ca="1">IF(הפחתה8[[#This Row],[תאריך]]="",0,הפחתה8[[#This Row],[ריבית]]+הפחתה8[[#This Row],[קרן]]+הפחתה8[[#This Row],[מדד]])</f>
        <v>0</v>
      </c>
      <c r="AJ325" s="19">
        <f ca="1">IF(הפחתה8[[#This Row],[תאריך]]="",0,הפחתה8[[#This Row],[יתרת פתיחה]]-הפחתה8[[#This Row],[קרן]])</f>
        <v>0</v>
      </c>
      <c r="AK325" s="20">
        <f ca="1">IF(הפחתה8[[#This Row],[יתרת
סגירה]]&gt;0,LastRow4-ROW(),0)</f>
        <v>0</v>
      </c>
    </row>
    <row r="326" spans="1:37" ht="15" customHeight="1" x14ac:dyDescent="0.25">
      <c r="A326" s="8"/>
      <c r="B326" s="11">
        <f>ROWS($B$4:B326)</f>
        <v>323</v>
      </c>
      <c r="C326" s="12">
        <f>IF(ValuesEntered,IF(הפחתה[[#This Row],[מס'']]&lt;=תקופת_ההלוואה,IF(ROW()-ROW(הפחתה[[#Headers],[תאריך]])=1,LoanStart,IF(I325&gt;0,EDATE(C325,1),"")),""),"")</f>
        <v>55185</v>
      </c>
      <c r="D326" s="13">
        <f>IF(ROW()-ROW(הפחתה[[#Headers],[יתרת פתיחה]])=1,סכום_הלוואה,IF(הפחתה[[#This Row],[תאריך]]="",0,INDEX(הפחתה[], ROW()-4,8)))</f>
        <v>116319.33464781051</v>
      </c>
      <c r="E326" s="13">
        <f>IF(ValuesEntered,IF(ROW()-ROW(הפחתה[[#Headers],[ריבית]])=1,-IPMT(שיעור_ריבית/12,1,תקופת_ההלוואה-ROWS($C$4:C326)+1,הפחתה[[#This Row],[יתרת פתיחה]]),IFERROR(-IPMT(שיעור_ריבית/12,1,הפחתה[[#This Row],[תשלומים
שנותרו]],D327),0)),0)</f>
        <v>501.29718953808464</v>
      </c>
      <c r="F326" s="13">
        <f>IFERROR(IF(AND(ValuesEntered,הפחתה[[#This Row],[תאריך]]&lt;&gt;""),-PPMT(שיעור_ריבית/12,1,תקופת_ההלוואה-ROWS($C$4:C326)+1,הפחתה[[#This Row],[יתרת פתיחה]]),""),0)</f>
        <v>2818.0841863573892</v>
      </c>
      <c r="G326" s="13">
        <f>(הפחתה[[#This Row],[יתרת פתיחה]])*(מדד/12)</f>
        <v>0</v>
      </c>
      <c r="H326" s="13">
        <f>IF(הפחתה[[#This Row],[תאריך]]="",0,הפחתה[[#This Row],[ריבית]]+הפחתה[[#This Row],[קרן]]+הפחתה[[#This Row],[מדד]])</f>
        <v>3319.3813758954739</v>
      </c>
      <c r="I326" s="13">
        <f>IF(הפחתה[[#This Row],[תאריך]]="",0,הפחתה[[#This Row],[יתרת פתיחה]]-הפחתה[[#This Row],[קרן]]+הפחתה[[#This Row],[מדד]])</f>
        <v>113501.25046145312</v>
      </c>
      <c r="J326" s="11">
        <f>IF(הפחתה[[#This Row],[יתרת
סגירה]]&gt;0,LastRow-ROW(),0)</f>
        <v>37</v>
      </c>
      <c r="K326" s="11">
        <f>ROWS($K$4:K326)</f>
        <v>323</v>
      </c>
      <c r="L326" s="12" t="str">
        <f>IF(ValuesEntered2,IF(הפחתה5[[#This Row],[מס'']]&lt;=תקופת_ההלוואה2,IF(ROW()-ROW(הפחתה5[[#Headers],[תאריך]])=1,LoanStart2,IF(R325&gt;0,EDATE(L325,1),"")),""),"")</f>
        <v/>
      </c>
      <c r="M326" s="13">
        <f>IF(ROW()-ROW(הפחתה5[[#Headers],[יתרת פתיחה]])=1,סכום_הלוואה2,IF(הפחתה5[[#This Row],[תאריך]]="",0,INDEX(הפחתה5[], ROW()-4,8)))</f>
        <v>0</v>
      </c>
      <c r="N326" s="13">
        <f>IF(ValuesEntered2,IF(ROW()-ROW(הפחתה5[[#Headers],[ריבית]])=1,-IPMT(שיעור_ריבית2/12,1,תקופת_ההלוואה2-ROWS($L$4:L326)+1,הפחתה5[[#This Row],[יתרת פתיחה]]),IFERROR(-IPMT(שיעור_ריבית2/12,1,הפחתה5[[#This Row],[תשלומים
שנותרו]],M327),0)),0)</f>
        <v>0</v>
      </c>
      <c r="O326" s="13" t="str">
        <f>IFERROR(IF(AND(ValuesEntered2,הפחתה5[[#This Row],[תאריך]]&lt;&gt;""),-PPMT(שיעור_ריבית2/12,1,תקופת_ההלוואה2-ROWS($L$4:L326)+1,הפחתה5[[#This Row],[יתרת פתיחה]]),""),0)</f>
        <v/>
      </c>
      <c r="P326" s="13">
        <f>(הפחתה5[[#This Row],[יתרת פתיחה]])*(מדד2/12)</f>
        <v>0</v>
      </c>
      <c r="Q326" s="13">
        <f>IF(הפחתה5[[#This Row],[תאריך]]="",0,הפחתה5[[#This Row],[ריבית]]+הפחתה5[[#This Row],[קרן]]+הפחתה5[[#This Row],[מדד]])</f>
        <v>0</v>
      </c>
      <c r="R326" s="13">
        <f>IF(הפחתה5[[#This Row],[תאריך]]="",0,הפחתה5[[#This Row],[יתרת פתיחה]]-הפחתה5[[#This Row],[קרן]]+הפחתה5[[#This Row],[מדד]])</f>
        <v>0</v>
      </c>
      <c r="S326" s="11">
        <f>IF(הפחתה5[[#This Row],[יתרת
סגירה]]&gt;0,LastRow2-ROW(),0)</f>
        <v>0</v>
      </c>
      <c r="T326" s="11">
        <f>ROWS($T$4:T326)</f>
        <v>323</v>
      </c>
      <c r="U326" s="12" t="str">
        <f ca="1">IF(ValuesEntered3,IF(הפחתה7[[#This Row],[מס'']]&lt;=תקופת_ההלוואה3,IF(ROW()-ROW(הפחתה7[[#Headers],[תאריך]])=1,LoanStart3,IF(AA325&gt;0,EDATE(U325,1),"")),""),"")</f>
        <v/>
      </c>
      <c r="V326" s="13">
        <f ca="1">IF(ROW()-ROW(הפחתה7[[#Headers],[יתרת פתיחה]])=1,סכום_הלוואה3,IF(הפחתה7[[#This Row],[תאריך]]="",0,INDEX(הפחתה7[], ROW()-4,8)))</f>
        <v>0</v>
      </c>
      <c r="W326" s="13">
        <f ca="1">IF(ValuesEntered3,IF(ROW()-ROW(הפחתה7[[#Headers],[ריבית]])=1,-IPMT(שיעור_ריבית3/12,1,תקופת_ההלוואה3-ROWS($C$4:U326)+1,הפחתה7[[#This Row],[יתרת פתיחה]]),IFERROR(-IPMT(שיעור_ריבית3/12,1,הפחתה7[[#This Row],[תשלומים
שנותרו]],V327),0)),0)</f>
        <v>0</v>
      </c>
      <c r="X326" s="13" t="str">
        <f ca="1">IFERROR(IF(AND(ValuesEntered3,הפחתה7[[#This Row],[תאריך]]&lt;&gt;""),-PPMT(שיעור_ריבית3/12,1,תקופת_ההלוואה3-ROWS($C$4:U326)+1,הפחתה7[[#This Row],[יתרת פתיחה]]),""),0)</f>
        <v/>
      </c>
      <c r="Y326" s="13">
        <f ca="1">(הפחתה7[[#This Row],[יתרת פתיחה]])*(מדד3/12)</f>
        <v>0</v>
      </c>
      <c r="Z326" s="13">
        <f ca="1">IF(הפחתה7[[#This Row],[תאריך]]="",0,הפחתה7[[#This Row],[ריבית]]+הפחתה7[[#This Row],[קרן]]+הפחתה7[[#This Row],[מדד]])</f>
        <v>0</v>
      </c>
      <c r="AA326" s="13">
        <f ca="1">IF(הפחתה7[[#This Row],[תאריך]]="",0,הפחתה7[[#This Row],[יתרת פתיחה]]-הפחתה7[[#This Row],[קרן]]+הפחתה7[[#This Row],[מדד]])</f>
        <v>0</v>
      </c>
      <c r="AB326" s="11">
        <f ca="1">IF(הפחתה7[[#This Row],[יתרת
סגירה]]&gt;0,LastRow3-ROW(),0)</f>
        <v>0</v>
      </c>
      <c r="AC326" s="17">
        <f>ROWS($AC$4:AC326)</f>
        <v>323</v>
      </c>
      <c r="AD326" s="18" t="str">
        <f ca="1">IF(ValuesEntered4,IF(הפחתה8[[#This Row],[מס'']]&lt;=תקופת_ההלוואה4,IF(ROW()-ROW(הפחתה8[[#Headers],[תאריך]])=1,LoanStart4,IF(AJ325&gt;0,EDATE(AD325,1),"")),""),"")</f>
        <v/>
      </c>
      <c r="AE326" s="19">
        <f ca="1">IF(ROW()-ROW(הפחתה8[[#Headers],[יתרת פתיחה]])=1,סכום_הלוואה4,IF(הפחתה8[[#This Row],[תאריך]]="",0,INDEX(הפחתה8[], ROW()-4,8)))</f>
        <v>0</v>
      </c>
      <c r="AF326" s="19">
        <f ca="1">IF(ValuesEntered4,IF(ROW()-ROW(הפחתה8[[#Headers],[ריבית]])=1,-IPMT(שיעור_ריבית4/12,1,תקופת_ההלוואה4-ROWS($C$4:AD326)+1,הפחתה8[[#This Row],[יתרת פתיחה]]),IFERROR(-IPMT(שיעור_ריבית4/12,1,הפחתה8[[#This Row],[תשלומים
שנותרו]],AE327),0)),0)</f>
        <v>0</v>
      </c>
      <c r="AG326" s="19" t="str">
        <f ca="1">IFERROR(IF(AND(ValuesEntered4,הפחתה8[[#This Row],[תאריך]]&lt;&gt;""),-PPMT(שיעור_ריבית4/12,1,תקופת_ההלוואה4-ROWS($C$4:AD326)+1,הפחתה8[[#This Row],[יתרת פתיחה]]),""),0)</f>
        <v/>
      </c>
      <c r="AH326" s="19">
        <f ca="1">(הפחתה8[[#This Row],[יתרת פתיחה]])*(מדד4/12)</f>
        <v>0</v>
      </c>
      <c r="AI326" s="19">
        <f ca="1">IF(הפחתה8[[#This Row],[תאריך]]="",0,הפחתה8[[#This Row],[ריבית]]+הפחתה8[[#This Row],[קרן]]+הפחתה8[[#This Row],[מדד]])</f>
        <v>0</v>
      </c>
      <c r="AJ326" s="19">
        <f ca="1">IF(הפחתה8[[#This Row],[תאריך]]="",0,הפחתה8[[#This Row],[יתרת פתיחה]]-הפחתה8[[#This Row],[קרן]])</f>
        <v>0</v>
      </c>
      <c r="AK326" s="20">
        <f ca="1">IF(הפחתה8[[#This Row],[יתרת
סגירה]]&gt;0,LastRow4-ROW(),0)</f>
        <v>0</v>
      </c>
    </row>
    <row r="327" spans="1:37" ht="15" customHeight="1" x14ac:dyDescent="0.25">
      <c r="A327" s="8"/>
      <c r="B327" s="11">
        <f>ROWS($B$4:B327)</f>
        <v>324</v>
      </c>
      <c r="C327" s="12">
        <f>IF(ValuesEntered,IF(הפחתה[[#This Row],[מס'']]&lt;=תקופת_ההלוואה,IF(ROW()-ROW(הפחתה[[#Headers],[תאריך]])=1,LoanStart,IF(I326&gt;0,EDATE(C326,1),"")),""),"")</f>
        <v>55213</v>
      </c>
      <c r="D327" s="13">
        <f>IF(ROW()-ROW(הפחתה[[#Headers],[יתרת פתיחה]])=1,סכום_הלוואה,IF(הפחתה[[#This Row],[תאריך]]="",0,INDEX(הפחתה[], ROW()-4,8)))</f>
        <v>113501.25046145312</v>
      </c>
      <c r="E327" s="13">
        <f>IF(ValuesEntered,IF(ROW()-ROW(הפחתה[[#Headers],[ריבית]])=1,-IPMT(שיעור_ריבית/12,1,תקופת_ההלוואה-ROWS($C$4:C327)+1,הפחתה[[#This Row],[יתרת פתיחה]]),IFERROR(-IPMT(שיעור_ריבית/12,1,הפחתה[[#This Row],[תשלומים
שנותרו]],D328),0)),0)</f>
        <v>488.79567883667647</v>
      </c>
      <c r="F327" s="13">
        <f>IFERROR(IF(AND(ValuesEntered,הפחתה[[#This Row],[תאריך]]&lt;&gt;""),-PPMT(שיעור_ריבית/12,1,תקופת_ההלוואה-ROWS($C$4:C327)+1,הפחתה[[#This Row],[יתרת פתיחה]]),""),0)</f>
        <v>2830.5307248471345</v>
      </c>
      <c r="G327" s="13">
        <f>(הפחתה[[#This Row],[יתרת פתיחה]])*(מדד/12)</f>
        <v>0</v>
      </c>
      <c r="H327" s="13">
        <f>IF(הפחתה[[#This Row],[תאריך]]="",0,הפחתה[[#This Row],[ריבית]]+הפחתה[[#This Row],[קרן]]+הפחתה[[#This Row],[מדד]])</f>
        <v>3319.3264036838109</v>
      </c>
      <c r="I327" s="13">
        <f>IF(הפחתה[[#This Row],[תאריך]]="",0,הפחתה[[#This Row],[יתרת פתיחה]]-הפחתה[[#This Row],[קרן]]+הפחתה[[#This Row],[מדד]])</f>
        <v>110670.71973660598</v>
      </c>
      <c r="J327" s="11">
        <f>IF(הפחתה[[#This Row],[יתרת
סגירה]]&gt;0,LastRow-ROW(),0)</f>
        <v>36</v>
      </c>
      <c r="K327" s="11">
        <f>ROWS($K$4:K327)</f>
        <v>324</v>
      </c>
      <c r="L327" s="12" t="str">
        <f>IF(ValuesEntered2,IF(הפחתה5[[#This Row],[מס'']]&lt;=תקופת_ההלוואה2,IF(ROW()-ROW(הפחתה5[[#Headers],[תאריך]])=1,LoanStart2,IF(R326&gt;0,EDATE(L326,1),"")),""),"")</f>
        <v/>
      </c>
      <c r="M327" s="13">
        <f>IF(ROW()-ROW(הפחתה5[[#Headers],[יתרת פתיחה]])=1,סכום_הלוואה2,IF(הפחתה5[[#This Row],[תאריך]]="",0,INDEX(הפחתה5[], ROW()-4,8)))</f>
        <v>0</v>
      </c>
      <c r="N327" s="13">
        <f>IF(ValuesEntered2,IF(ROW()-ROW(הפחתה5[[#Headers],[ריבית]])=1,-IPMT(שיעור_ריבית2/12,1,תקופת_ההלוואה2-ROWS($L$4:L327)+1,הפחתה5[[#This Row],[יתרת פתיחה]]),IFERROR(-IPMT(שיעור_ריבית2/12,1,הפחתה5[[#This Row],[תשלומים
שנותרו]],M328),0)),0)</f>
        <v>0</v>
      </c>
      <c r="O327" s="13" t="str">
        <f>IFERROR(IF(AND(ValuesEntered2,הפחתה5[[#This Row],[תאריך]]&lt;&gt;""),-PPMT(שיעור_ריבית2/12,1,תקופת_ההלוואה2-ROWS($L$4:L327)+1,הפחתה5[[#This Row],[יתרת פתיחה]]),""),0)</f>
        <v/>
      </c>
      <c r="P327" s="13">
        <f>(הפחתה5[[#This Row],[יתרת פתיחה]])*(מדד2/12)</f>
        <v>0</v>
      </c>
      <c r="Q327" s="13">
        <f>IF(הפחתה5[[#This Row],[תאריך]]="",0,הפחתה5[[#This Row],[ריבית]]+הפחתה5[[#This Row],[קרן]]+הפחתה5[[#This Row],[מדד]])</f>
        <v>0</v>
      </c>
      <c r="R327" s="13">
        <f>IF(הפחתה5[[#This Row],[תאריך]]="",0,הפחתה5[[#This Row],[יתרת פתיחה]]-הפחתה5[[#This Row],[קרן]]+הפחתה5[[#This Row],[מדד]])</f>
        <v>0</v>
      </c>
      <c r="S327" s="11">
        <f>IF(הפחתה5[[#This Row],[יתרת
סגירה]]&gt;0,LastRow2-ROW(),0)</f>
        <v>0</v>
      </c>
      <c r="T327" s="11">
        <f>ROWS($T$4:T327)</f>
        <v>324</v>
      </c>
      <c r="U327" s="12" t="str">
        <f ca="1">IF(ValuesEntered3,IF(הפחתה7[[#This Row],[מס'']]&lt;=תקופת_ההלוואה3,IF(ROW()-ROW(הפחתה7[[#Headers],[תאריך]])=1,LoanStart3,IF(AA326&gt;0,EDATE(U326,1),"")),""),"")</f>
        <v/>
      </c>
      <c r="V327" s="13">
        <f ca="1">IF(ROW()-ROW(הפחתה7[[#Headers],[יתרת פתיחה]])=1,סכום_הלוואה3,IF(הפחתה7[[#This Row],[תאריך]]="",0,INDEX(הפחתה7[], ROW()-4,8)))</f>
        <v>0</v>
      </c>
      <c r="W327" s="13">
        <f ca="1">IF(ValuesEntered3,IF(ROW()-ROW(הפחתה7[[#Headers],[ריבית]])=1,-IPMT(שיעור_ריבית3/12,1,תקופת_ההלוואה3-ROWS($C$4:U327)+1,הפחתה7[[#This Row],[יתרת פתיחה]]),IFERROR(-IPMT(שיעור_ריבית3/12,1,הפחתה7[[#This Row],[תשלומים
שנותרו]],V328),0)),0)</f>
        <v>0</v>
      </c>
      <c r="X327" s="13" t="str">
        <f ca="1">IFERROR(IF(AND(ValuesEntered3,הפחתה7[[#This Row],[תאריך]]&lt;&gt;""),-PPMT(שיעור_ריבית3/12,1,תקופת_ההלוואה3-ROWS($C$4:U327)+1,הפחתה7[[#This Row],[יתרת פתיחה]]),""),0)</f>
        <v/>
      </c>
      <c r="Y327" s="13">
        <f ca="1">(הפחתה7[[#This Row],[יתרת פתיחה]])*(מדד3/12)</f>
        <v>0</v>
      </c>
      <c r="Z327" s="13">
        <f ca="1">IF(הפחתה7[[#This Row],[תאריך]]="",0,הפחתה7[[#This Row],[ריבית]]+הפחתה7[[#This Row],[קרן]]+הפחתה7[[#This Row],[מדד]])</f>
        <v>0</v>
      </c>
      <c r="AA327" s="13">
        <f ca="1">IF(הפחתה7[[#This Row],[תאריך]]="",0,הפחתה7[[#This Row],[יתרת פתיחה]]-הפחתה7[[#This Row],[קרן]]+הפחתה7[[#This Row],[מדד]])</f>
        <v>0</v>
      </c>
      <c r="AB327" s="11">
        <f ca="1">IF(הפחתה7[[#This Row],[יתרת
סגירה]]&gt;0,LastRow3-ROW(),0)</f>
        <v>0</v>
      </c>
      <c r="AC327" s="17">
        <f>ROWS($AC$4:AC327)</f>
        <v>324</v>
      </c>
      <c r="AD327" s="18" t="str">
        <f ca="1">IF(ValuesEntered4,IF(הפחתה8[[#This Row],[מס'']]&lt;=תקופת_ההלוואה4,IF(ROW()-ROW(הפחתה8[[#Headers],[תאריך]])=1,LoanStart4,IF(AJ326&gt;0,EDATE(AD326,1),"")),""),"")</f>
        <v/>
      </c>
      <c r="AE327" s="19">
        <f ca="1">IF(ROW()-ROW(הפחתה8[[#Headers],[יתרת פתיחה]])=1,סכום_הלוואה4,IF(הפחתה8[[#This Row],[תאריך]]="",0,INDEX(הפחתה8[], ROW()-4,8)))</f>
        <v>0</v>
      </c>
      <c r="AF327" s="19">
        <f ca="1">IF(ValuesEntered4,IF(ROW()-ROW(הפחתה8[[#Headers],[ריבית]])=1,-IPMT(שיעור_ריבית4/12,1,תקופת_ההלוואה4-ROWS($C$4:AD327)+1,הפחתה8[[#This Row],[יתרת פתיחה]]),IFERROR(-IPMT(שיעור_ריבית4/12,1,הפחתה8[[#This Row],[תשלומים
שנותרו]],AE328),0)),0)</f>
        <v>0</v>
      </c>
      <c r="AG327" s="19" t="str">
        <f ca="1">IFERROR(IF(AND(ValuesEntered4,הפחתה8[[#This Row],[תאריך]]&lt;&gt;""),-PPMT(שיעור_ריבית4/12,1,תקופת_ההלוואה4-ROWS($C$4:AD327)+1,הפחתה8[[#This Row],[יתרת פתיחה]]),""),0)</f>
        <v/>
      </c>
      <c r="AH327" s="19">
        <f ca="1">(הפחתה8[[#This Row],[יתרת פתיחה]])*(מדד4/12)</f>
        <v>0</v>
      </c>
      <c r="AI327" s="19">
        <f ca="1">IF(הפחתה8[[#This Row],[תאריך]]="",0,הפחתה8[[#This Row],[ריבית]]+הפחתה8[[#This Row],[קרן]]+הפחתה8[[#This Row],[מדד]])</f>
        <v>0</v>
      </c>
      <c r="AJ327" s="19">
        <f ca="1">IF(הפחתה8[[#This Row],[תאריך]]="",0,הפחתה8[[#This Row],[יתרת פתיחה]]-הפחתה8[[#This Row],[קרן]])</f>
        <v>0</v>
      </c>
      <c r="AK327" s="20">
        <f ca="1">IF(הפחתה8[[#This Row],[יתרת
סגירה]]&gt;0,LastRow4-ROW(),0)</f>
        <v>0</v>
      </c>
    </row>
    <row r="328" spans="1:37" ht="15" customHeight="1" x14ac:dyDescent="0.25">
      <c r="A328" s="8"/>
      <c r="B328" s="11">
        <f>ROWS($B$4:B328)</f>
        <v>325</v>
      </c>
      <c r="C328" s="12">
        <f>IF(ValuesEntered,IF(הפחתה[[#This Row],[מס'']]&lt;=תקופת_ההלוואה,IF(ROW()-ROW(הפחתה[[#Headers],[תאריך]])=1,LoanStart,IF(I327&gt;0,EDATE(C327,1),"")),""),"")</f>
        <v>55244</v>
      </c>
      <c r="D328" s="13">
        <f>IF(ROW()-ROW(הפחתה[[#Headers],[יתרת פתיחה]])=1,סכום_הלוואה,IF(הפחתה[[#This Row],[תאריך]]="",0,INDEX(הפחתה[], ROW()-4,8)))</f>
        <v>110670.71973660598</v>
      </c>
      <c r="E328" s="13">
        <f>IF(ValuesEntered,IF(ROW()-ROW(הפחתה[[#Headers],[ריבית]])=1,-IPMT(שיעור_ריבית/12,1,תקופת_ההלוואה-ROWS($C$4:C328)+1,הפחתה[[#This Row],[יתרת פתיחה]]),IFERROR(-IPMT(שיעור_ריבית/12,1,הפחתה[[#This Row],[תשלומים
שנותרו]],D329),0)),0)</f>
        <v>476.23895312967039</v>
      </c>
      <c r="F328" s="13">
        <f>IFERROR(IF(AND(ValuesEntered,הפחתה[[#This Row],[תאריך]]&lt;&gt;""),-PPMT(שיעור_ריבית/12,1,תקופת_ההלוואה-ROWS($C$4:C328)+1,הפחתה[[#This Row],[יתרת פתיחה]]),""),0)</f>
        <v>2843.0322355485423</v>
      </c>
      <c r="G328" s="13">
        <f>(הפחתה[[#This Row],[יתרת פתיחה]])*(מדד/12)</f>
        <v>0</v>
      </c>
      <c r="H328" s="13">
        <f>IF(הפחתה[[#This Row],[תאריך]]="",0,הפחתה[[#This Row],[ריבית]]+הפחתה[[#This Row],[קרן]]+הפחתה[[#This Row],[מדד]])</f>
        <v>3319.2711886782126</v>
      </c>
      <c r="I328" s="13">
        <f>IF(הפחתה[[#This Row],[תאריך]]="",0,הפחתה[[#This Row],[יתרת פתיחה]]-הפחתה[[#This Row],[קרן]]+הפחתה[[#This Row],[מדד]])</f>
        <v>107827.68750105744</v>
      </c>
      <c r="J328" s="11">
        <f>IF(הפחתה[[#This Row],[יתרת
סגירה]]&gt;0,LastRow-ROW(),0)</f>
        <v>35</v>
      </c>
      <c r="K328" s="11">
        <f>ROWS($K$4:K328)</f>
        <v>325</v>
      </c>
      <c r="L328" s="12" t="str">
        <f>IF(ValuesEntered2,IF(הפחתה5[[#This Row],[מס'']]&lt;=תקופת_ההלוואה2,IF(ROW()-ROW(הפחתה5[[#Headers],[תאריך]])=1,LoanStart2,IF(R327&gt;0,EDATE(L327,1),"")),""),"")</f>
        <v/>
      </c>
      <c r="M328" s="13">
        <f>IF(ROW()-ROW(הפחתה5[[#Headers],[יתרת פתיחה]])=1,סכום_הלוואה2,IF(הפחתה5[[#This Row],[תאריך]]="",0,INDEX(הפחתה5[], ROW()-4,8)))</f>
        <v>0</v>
      </c>
      <c r="N328" s="13">
        <f>IF(ValuesEntered2,IF(ROW()-ROW(הפחתה5[[#Headers],[ריבית]])=1,-IPMT(שיעור_ריבית2/12,1,תקופת_ההלוואה2-ROWS($L$4:L328)+1,הפחתה5[[#This Row],[יתרת פתיחה]]),IFERROR(-IPMT(שיעור_ריבית2/12,1,הפחתה5[[#This Row],[תשלומים
שנותרו]],M329),0)),0)</f>
        <v>0</v>
      </c>
      <c r="O328" s="13" t="str">
        <f>IFERROR(IF(AND(ValuesEntered2,הפחתה5[[#This Row],[תאריך]]&lt;&gt;""),-PPMT(שיעור_ריבית2/12,1,תקופת_ההלוואה2-ROWS($L$4:L328)+1,הפחתה5[[#This Row],[יתרת פתיחה]]),""),0)</f>
        <v/>
      </c>
      <c r="P328" s="13">
        <f>(הפחתה5[[#This Row],[יתרת פתיחה]])*(מדד2/12)</f>
        <v>0</v>
      </c>
      <c r="Q328" s="13">
        <f>IF(הפחתה5[[#This Row],[תאריך]]="",0,הפחתה5[[#This Row],[ריבית]]+הפחתה5[[#This Row],[קרן]]+הפחתה5[[#This Row],[מדד]])</f>
        <v>0</v>
      </c>
      <c r="R328" s="13">
        <f>IF(הפחתה5[[#This Row],[תאריך]]="",0,הפחתה5[[#This Row],[יתרת פתיחה]]-הפחתה5[[#This Row],[קרן]]+הפחתה5[[#This Row],[מדד]])</f>
        <v>0</v>
      </c>
      <c r="S328" s="11">
        <f>IF(הפחתה5[[#This Row],[יתרת
סגירה]]&gt;0,LastRow2-ROW(),0)</f>
        <v>0</v>
      </c>
      <c r="T328" s="11">
        <f>ROWS($T$4:T328)</f>
        <v>325</v>
      </c>
      <c r="U328" s="12" t="str">
        <f ca="1">IF(ValuesEntered3,IF(הפחתה7[[#This Row],[מס'']]&lt;=תקופת_ההלוואה3,IF(ROW()-ROW(הפחתה7[[#Headers],[תאריך]])=1,LoanStart3,IF(AA327&gt;0,EDATE(U327,1),"")),""),"")</f>
        <v/>
      </c>
      <c r="V328" s="13">
        <f ca="1">IF(ROW()-ROW(הפחתה7[[#Headers],[יתרת פתיחה]])=1,סכום_הלוואה3,IF(הפחתה7[[#This Row],[תאריך]]="",0,INDEX(הפחתה7[], ROW()-4,8)))</f>
        <v>0</v>
      </c>
      <c r="W328" s="13">
        <f ca="1">IF(ValuesEntered3,IF(ROW()-ROW(הפחתה7[[#Headers],[ריבית]])=1,-IPMT(שיעור_ריבית3/12,1,תקופת_ההלוואה3-ROWS($C$4:U328)+1,הפחתה7[[#This Row],[יתרת פתיחה]]),IFERROR(-IPMT(שיעור_ריבית3/12,1,הפחתה7[[#This Row],[תשלומים
שנותרו]],V329),0)),0)</f>
        <v>0</v>
      </c>
      <c r="X328" s="13" t="str">
        <f ca="1">IFERROR(IF(AND(ValuesEntered3,הפחתה7[[#This Row],[תאריך]]&lt;&gt;""),-PPMT(שיעור_ריבית3/12,1,תקופת_ההלוואה3-ROWS($C$4:U328)+1,הפחתה7[[#This Row],[יתרת פתיחה]]),""),0)</f>
        <v/>
      </c>
      <c r="Y328" s="13">
        <f ca="1">(הפחתה7[[#This Row],[יתרת פתיחה]])*(מדד3/12)</f>
        <v>0</v>
      </c>
      <c r="Z328" s="13">
        <f ca="1">IF(הפחתה7[[#This Row],[תאריך]]="",0,הפחתה7[[#This Row],[ריבית]]+הפחתה7[[#This Row],[קרן]]+הפחתה7[[#This Row],[מדד]])</f>
        <v>0</v>
      </c>
      <c r="AA328" s="13">
        <f ca="1">IF(הפחתה7[[#This Row],[תאריך]]="",0,הפחתה7[[#This Row],[יתרת פתיחה]]-הפחתה7[[#This Row],[קרן]]+הפחתה7[[#This Row],[מדד]])</f>
        <v>0</v>
      </c>
      <c r="AB328" s="11">
        <f ca="1">IF(הפחתה7[[#This Row],[יתרת
סגירה]]&gt;0,LastRow3-ROW(),0)</f>
        <v>0</v>
      </c>
      <c r="AC328" s="17">
        <f>ROWS($AC$4:AC328)</f>
        <v>325</v>
      </c>
      <c r="AD328" s="18" t="str">
        <f ca="1">IF(ValuesEntered4,IF(הפחתה8[[#This Row],[מס'']]&lt;=תקופת_ההלוואה4,IF(ROW()-ROW(הפחתה8[[#Headers],[תאריך]])=1,LoanStart4,IF(AJ327&gt;0,EDATE(AD327,1),"")),""),"")</f>
        <v/>
      </c>
      <c r="AE328" s="19">
        <f ca="1">IF(ROW()-ROW(הפחתה8[[#Headers],[יתרת פתיחה]])=1,סכום_הלוואה4,IF(הפחתה8[[#This Row],[תאריך]]="",0,INDEX(הפחתה8[], ROW()-4,8)))</f>
        <v>0</v>
      </c>
      <c r="AF328" s="19">
        <f ca="1">IF(ValuesEntered4,IF(ROW()-ROW(הפחתה8[[#Headers],[ריבית]])=1,-IPMT(שיעור_ריבית4/12,1,תקופת_ההלוואה4-ROWS($C$4:AD328)+1,הפחתה8[[#This Row],[יתרת פתיחה]]),IFERROR(-IPMT(שיעור_ריבית4/12,1,הפחתה8[[#This Row],[תשלומים
שנותרו]],AE329),0)),0)</f>
        <v>0</v>
      </c>
      <c r="AG328" s="19" t="str">
        <f ca="1">IFERROR(IF(AND(ValuesEntered4,הפחתה8[[#This Row],[תאריך]]&lt;&gt;""),-PPMT(שיעור_ריבית4/12,1,תקופת_ההלוואה4-ROWS($C$4:AD328)+1,הפחתה8[[#This Row],[יתרת פתיחה]]),""),0)</f>
        <v/>
      </c>
      <c r="AH328" s="19">
        <f ca="1">(הפחתה8[[#This Row],[יתרת פתיחה]])*(מדד4/12)</f>
        <v>0</v>
      </c>
      <c r="AI328" s="19">
        <f ca="1">IF(הפחתה8[[#This Row],[תאריך]]="",0,הפחתה8[[#This Row],[ריבית]]+הפחתה8[[#This Row],[קרן]]+הפחתה8[[#This Row],[מדד]])</f>
        <v>0</v>
      </c>
      <c r="AJ328" s="19">
        <f ca="1">IF(הפחתה8[[#This Row],[תאריך]]="",0,הפחתה8[[#This Row],[יתרת פתיחה]]-הפחתה8[[#This Row],[קרן]])</f>
        <v>0</v>
      </c>
      <c r="AK328" s="20">
        <f ca="1">IF(הפחתה8[[#This Row],[יתרת
סגירה]]&gt;0,LastRow4-ROW(),0)</f>
        <v>0</v>
      </c>
    </row>
    <row r="329" spans="1:37" ht="15" customHeight="1" x14ac:dyDescent="0.25">
      <c r="A329" s="8"/>
      <c r="B329" s="11">
        <f>ROWS($B$4:B329)</f>
        <v>326</v>
      </c>
      <c r="C329" s="12">
        <f>IF(ValuesEntered,IF(הפחתה[[#This Row],[מס'']]&lt;=תקופת_ההלוואה,IF(ROW()-ROW(הפחתה[[#Headers],[תאריך]])=1,LoanStart,IF(I328&gt;0,EDATE(C328,1),"")),""),"")</f>
        <v>55274</v>
      </c>
      <c r="D329" s="13">
        <f>IF(ROW()-ROW(הפחתה[[#Headers],[יתרת פתיחה]])=1,סכום_הלוואה,IF(הפחתה[[#This Row],[תאריך]]="",0,INDEX(הפחתה[], ROW()-4,8)))</f>
        <v>107827.68750105744</v>
      </c>
      <c r="E329" s="13">
        <f>IF(ValuesEntered,IF(ROW()-ROW(הפחתה[[#Headers],[ריבית]])=1,-IPMT(שיעור_ריבית/12,1,תקופת_ההלוואה-ROWS($C$4:C329)+1,הפחתה[[#This Row],[יתרת פתיחה]]),IFERROR(-IPMT(שיעור_ריבית/12,1,הפחתה[[#This Row],[תשלומים
שנותרו]],D330),0)),0)</f>
        <v>463.62676855079172</v>
      </c>
      <c r="F329" s="13">
        <f>IFERROR(IF(AND(ValuesEntered,הפחתה[[#This Row],[תאריך]]&lt;&gt;""),-PPMT(שיעור_ריבית/12,1,תקופת_ההלוואה-ROWS($C$4:C329)+1,הפחתה[[#This Row],[יתרת פתיחה]]),""),0)</f>
        <v>2855.5889612555488</v>
      </c>
      <c r="G329" s="13">
        <f>(הפחתה[[#This Row],[יתרת פתיחה]])*(מדד/12)</f>
        <v>0</v>
      </c>
      <c r="H329" s="13">
        <f>IF(הפחתה[[#This Row],[תאריך]]="",0,הפחתה[[#This Row],[ריבית]]+הפחתה[[#This Row],[קרן]]+הפחתה[[#This Row],[מדד]])</f>
        <v>3319.2157298063407</v>
      </c>
      <c r="I329" s="13">
        <f>IF(הפחתה[[#This Row],[תאריך]]="",0,הפחתה[[#This Row],[יתרת פתיחה]]-הפחתה[[#This Row],[קרן]]+הפחתה[[#This Row],[מדד]])</f>
        <v>104972.0985398019</v>
      </c>
      <c r="J329" s="11">
        <f>IF(הפחתה[[#This Row],[יתרת
סגירה]]&gt;0,LastRow-ROW(),0)</f>
        <v>34</v>
      </c>
      <c r="K329" s="11">
        <f>ROWS($K$4:K329)</f>
        <v>326</v>
      </c>
      <c r="L329" s="12" t="str">
        <f>IF(ValuesEntered2,IF(הפחתה5[[#This Row],[מס'']]&lt;=תקופת_ההלוואה2,IF(ROW()-ROW(הפחתה5[[#Headers],[תאריך]])=1,LoanStart2,IF(R328&gt;0,EDATE(L328,1),"")),""),"")</f>
        <v/>
      </c>
      <c r="M329" s="13">
        <f>IF(ROW()-ROW(הפחתה5[[#Headers],[יתרת פתיחה]])=1,סכום_הלוואה2,IF(הפחתה5[[#This Row],[תאריך]]="",0,INDEX(הפחתה5[], ROW()-4,8)))</f>
        <v>0</v>
      </c>
      <c r="N329" s="13">
        <f>IF(ValuesEntered2,IF(ROW()-ROW(הפחתה5[[#Headers],[ריבית]])=1,-IPMT(שיעור_ריבית2/12,1,תקופת_ההלוואה2-ROWS($L$4:L329)+1,הפחתה5[[#This Row],[יתרת פתיחה]]),IFERROR(-IPMT(שיעור_ריבית2/12,1,הפחתה5[[#This Row],[תשלומים
שנותרו]],M330),0)),0)</f>
        <v>0</v>
      </c>
      <c r="O329" s="13" t="str">
        <f>IFERROR(IF(AND(ValuesEntered2,הפחתה5[[#This Row],[תאריך]]&lt;&gt;""),-PPMT(שיעור_ריבית2/12,1,תקופת_ההלוואה2-ROWS($L$4:L329)+1,הפחתה5[[#This Row],[יתרת פתיחה]]),""),0)</f>
        <v/>
      </c>
      <c r="P329" s="13">
        <f>(הפחתה5[[#This Row],[יתרת פתיחה]])*(מדד2/12)</f>
        <v>0</v>
      </c>
      <c r="Q329" s="13">
        <f>IF(הפחתה5[[#This Row],[תאריך]]="",0,הפחתה5[[#This Row],[ריבית]]+הפחתה5[[#This Row],[קרן]]+הפחתה5[[#This Row],[מדד]])</f>
        <v>0</v>
      </c>
      <c r="R329" s="13">
        <f>IF(הפחתה5[[#This Row],[תאריך]]="",0,הפחתה5[[#This Row],[יתרת פתיחה]]-הפחתה5[[#This Row],[קרן]]+הפחתה5[[#This Row],[מדד]])</f>
        <v>0</v>
      </c>
      <c r="S329" s="11">
        <f>IF(הפחתה5[[#This Row],[יתרת
סגירה]]&gt;0,LastRow2-ROW(),0)</f>
        <v>0</v>
      </c>
      <c r="T329" s="11">
        <f>ROWS($T$4:T329)</f>
        <v>326</v>
      </c>
      <c r="U329" s="12" t="str">
        <f ca="1">IF(ValuesEntered3,IF(הפחתה7[[#This Row],[מס'']]&lt;=תקופת_ההלוואה3,IF(ROW()-ROW(הפחתה7[[#Headers],[תאריך]])=1,LoanStart3,IF(AA328&gt;0,EDATE(U328,1),"")),""),"")</f>
        <v/>
      </c>
      <c r="V329" s="13">
        <f ca="1">IF(ROW()-ROW(הפחתה7[[#Headers],[יתרת פתיחה]])=1,סכום_הלוואה3,IF(הפחתה7[[#This Row],[תאריך]]="",0,INDEX(הפחתה7[], ROW()-4,8)))</f>
        <v>0</v>
      </c>
      <c r="W329" s="13">
        <f ca="1">IF(ValuesEntered3,IF(ROW()-ROW(הפחתה7[[#Headers],[ריבית]])=1,-IPMT(שיעור_ריבית3/12,1,תקופת_ההלוואה3-ROWS($C$4:U329)+1,הפחתה7[[#This Row],[יתרת פתיחה]]),IFERROR(-IPMT(שיעור_ריבית3/12,1,הפחתה7[[#This Row],[תשלומים
שנותרו]],V330),0)),0)</f>
        <v>0</v>
      </c>
      <c r="X329" s="13" t="str">
        <f ca="1">IFERROR(IF(AND(ValuesEntered3,הפחתה7[[#This Row],[תאריך]]&lt;&gt;""),-PPMT(שיעור_ריבית3/12,1,תקופת_ההלוואה3-ROWS($C$4:U329)+1,הפחתה7[[#This Row],[יתרת פתיחה]]),""),0)</f>
        <v/>
      </c>
      <c r="Y329" s="13">
        <f ca="1">(הפחתה7[[#This Row],[יתרת פתיחה]])*(מדד3/12)</f>
        <v>0</v>
      </c>
      <c r="Z329" s="13">
        <f ca="1">IF(הפחתה7[[#This Row],[תאריך]]="",0,הפחתה7[[#This Row],[ריבית]]+הפחתה7[[#This Row],[קרן]]+הפחתה7[[#This Row],[מדד]])</f>
        <v>0</v>
      </c>
      <c r="AA329" s="13">
        <f ca="1">IF(הפחתה7[[#This Row],[תאריך]]="",0,הפחתה7[[#This Row],[יתרת פתיחה]]-הפחתה7[[#This Row],[קרן]]+הפחתה7[[#This Row],[מדד]])</f>
        <v>0</v>
      </c>
      <c r="AB329" s="11">
        <f ca="1">IF(הפחתה7[[#This Row],[יתרת
סגירה]]&gt;0,LastRow3-ROW(),0)</f>
        <v>0</v>
      </c>
      <c r="AC329" s="17">
        <f>ROWS($AC$4:AC329)</f>
        <v>326</v>
      </c>
      <c r="AD329" s="18" t="str">
        <f ca="1">IF(ValuesEntered4,IF(הפחתה8[[#This Row],[מס'']]&lt;=תקופת_ההלוואה4,IF(ROW()-ROW(הפחתה8[[#Headers],[תאריך]])=1,LoanStart4,IF(AJ328&gt;0,EDATE(AD328,1),"")),""),"")</f>
        <v/>
      </c>
      <c r="AE329" s="19">
        <f ca="1">IF(ROW()-ROW(הפחתה8[[#Headers],[יתרת פתיחה]])=1,סכום_הלוואה4,IF(הפחתה8[[#This Row],[תאריך]]="",0,INDEX(הפחתה8[], ROW()-4,8)))</f>
        <v>0</v>
      </c>
      <c r="AF329" s="19">
        <f ca="1">IF(ValuesEntered4,IF(ROW()-ROW(הפחתה8[[#Headers],[ריבית]])=1,-IPMT(שיעור_ריבית4/12,1,תקופת_ההלוואה4-ROWS($C$4:AD329)+1,הפחתה8[[#This Row],[יתרת פתיחה]]),IFERROR(-IPMT(שיעור_ריבית4/12,1,הפחתה8[[#This Row],[תשלומים
שנותרו]],AE330),0)),0)</f>
        <v>0</v>
      </c>
      <c r="AG329" s="19" t="str">
        <f ca="1">IFERROR(IF(AND(ValuesEntered4,הפחתה8[[#This Row],[תאריך]]&lt;&gt;""),-PPMT(שיעור_ריבית4/12,1,תקופת_ההלוואה4-ROWS($C$4:AD329)+1,הפחתה8[[#This Row],[יתרת פתיחה]]),""),0)</f>
        <v/>
      </c>
      <c r="AH329" s="19">
        <f ca="1">(הפחתה8[[#This Row],[יתרת פתיחה]])*(מדד4/12)</f>
        <v>0</v>
      </c>
      <c r="AI329" s="19">
        <f ca="1">IF(הפחתה8[[#This Row],[תאריך]]="",0,הפחתה8[[#This Row],[ריבית]]+הפחתה8[[#This Row],[קרן]]+הפחתה8[[#This Row],[מדד]])</f>
        <v>0</v>
      </c>
      <c r="AJ329" s="19">
        <f ca="1">IF(הפחתה8[[#This Row],[תאריך]]="",0,הפחתה8[[#This Row],[יתרת פתיחה]]-הפחתה8[[#This Row],[קרן]])</f>
        <v>0</v>
      </c>
      <c r="AK329" s="20">
        <f ca="1">IF(הפחתה8[[#This Row],[יתרת
סגירה]]&gt;0,LastRow4-ROW(),0)</f>
        <v>0</v>
      </c>
    </row>
    <row r="330" spans="1:37" ht="15" customHeight="1" x14ac:dyDescent="0.25">
      <c r="A330" s="8"/>
      <c r="B330" s="11">
        <f>ROWS($B$4:B330)</f>
        <v>327</v>
      </c>
      <c r="C330" s="12">
        <f>IF(ValuesEntered,IF(הפחתה[[#This Row],[מס'']]&lt;=תקופת_ההלוואה,IF(ROW()-ROW(הפחתה[[#Headers],[תאריך]])=1,LoanStart,IF(I329&gt;0,EDATE(C329,1),"")),""),"")</f>
        <v>55305</v>
      </c>
      <c r="D330" s="13">
        <f>IF(ROW()-ROW(הפחתה[[#Headers],[יתרת פתיחה]])=1,סכום_הלוואה,IF(הפחתה[[#This Row],[תאריך]]="",0,INDEX(הפחתה[], ROW()-4,8)))</f>
        <v>104972.0985398019</v>
      </c>
      <c r="E330" s="13">
        <f>IF(ValuesEntered,IF(ROW()-ROW(הפחתה[[#Headers],[ריבית]])=1,-IPMT(שיעור_ריבית/12,1,תקופת_ההלוואה-ROWS($C$4:C330)+1,הפחתה[[#This Row],[יתרת פתיחה]]),IFERROR(-IPMT(שיעור_ריבית/12,1,הפחתה[[#This Row],[תשלומים
שנותרו]],D331),0)),0)</f>
        <v>450.9588801566897</v>
      </c>
      <c r="F330" s="13">
        <f>IFERROR(IF(AND(ValuesEntered,הפחתה[[#This Row],[תאריך]]&lt;&gt;""),-PPMT(שיעור_ריבית/12,1,תקופת_ההלוואה-ROWS($C$4:C330)+1,הפחתה[[#This Row],[יתרת פתיחה]]),""),0)</f>
        <v>2868.2011458344273</v>
      </c>
      <c r="G330" s="13">
        <f>(הפחתה[[#This Row],[יתרת פתיחה]])*(מדד/12)</f>
        <v>0</v>
      </c>
      <c r="H330" s="13">
        <f>IF(הפחתה[[#This Row],[תאריך]]="",0,הפחתה[[#This Row],[ריבית]]+הפחתה[[#This Row],[קרן]]+הפחתה[[#This Row],[מדד]])</f>
        <v>3319.160025991117</v>
      </c>
      <c r="I330" s="13">
        <f>IF(הפחתה[[#This Row],[תאריך]]="",0,הפחתה[[#This Row],[יתרת פתיחה]]-הפחתה[[#This Row],[קרן]]+הפחתה[[#This Row],[מדד]])</f>
        <v>102103.89739396748</v>
      </c>
      <c r="J330" s="11">
        <f>IF(הפחתה[[#This Row],[יתרת
סגירה]]&gt;0,LastRow-ROW(),0)</f>
        <v>33</v>
      </c>
      <c r="K330" s="11">
        <f>ROWS($K$4:K330)</f>
        <v>327</v>
      </c>
      <c r="L330" s="12" t="str">
        <f>IF(ValuesEntered2,IF(הפחתה5[[#This Row],[מס'']]&lt;=תקופת_ההלוואה2,IF(ROW()-ROW(הפחתה5[[#Headers],[תאריך]])=1,LoanStart2,IF(R329&gt;0,EDATE(L329,1),"")),""),"")</f>
        <v/>
      </c>
      <c r="M330" s="13">
        <f>IF(ROW()-ROW(הפחתה5[[#Headers],[יתרת פתיחה]])=1,סכום_הלוואה2,IF(הפחתה5[[#This Row],[תאריך]]="",0,INDEX(הפחתה5[], ROW()-4,8)))</f>
        <v>0</v>
      </c>
      <c r="N330" s="13">
        <f>IF(ValuesEntered2,IF(ROW()-ROW(הפחתה5[[#Headers],[ריבית]])=1,-IPMT(שיעור_ריבית2/12,1,תקופת_ההלוואה2-ROWS($L$4:L330)+1,הפחתה5[[#This Row],[יתרת פתיחה]]),IFERROR(-IPMT(שיעור_ריבית2/12,1,הפחתה5[[#This Row],[תשלומים
שנותרו]],M331),0)),0)</f>
        <v>0</v>
      </c>
      <c r="O330" s="13" t="str">
        <f>IFERROR(IF(AND(ValuesEntered2,הפחתה5[[#This Row],[תאריך]]&lt;&gt;""),-PPMT(שיעור_ריבית2/12,1,תקופת_ההלוואה2-ROWS($L$4:L330)+1,הפחתה5[[#This Row],[יתרת פתיחה]]),""),0)</f>
        <v/>
      </c>
      <c r="P330" s="13">
        <f>(הפחתה5[[#This Row],[יתרת פתיחה]])*(מדד2/12)</f>
        <v>0</v>
      </c>
      <c r="Q330" s="13">
        <f>IF(הפחתה5[[#This Row],[תאריך]]="",0,הפחתה5[[#This Row],[ריבית]]+הפחתה5[[#This Row],[קרן]]+הפחתה5[[#This Row],[מדד]])</f>
        <v>0</v>
      </c>
      <c r="R330" s="13">
        <f>IF(הפחתה5[[#This Row],[תאריך]]="",0,הפחתה5[[#This Row],[יתרת פתיחה]]-הפחתה5[[#This Row],[קרן]]+הפחתה5[[#This Row],[מדד]])</f>
        <v>0</v>
      </c>
      <c r="S330" s="11">
        <f>IF(הפחתה5[[#This Row],[יתרת
סגירה]]&gt;0,LastRow2-ROW(),0)</f>
        <v>0</v>
      </c>
      <c r="T330" s="11">
        <f>ROWS($T$4:T330)</f>
        <v>327</v>
      </c>
      <c r="U330" s="12" t="str">
        <f ca="1">IF(ValuesEntered3,IF(הפחתה7[[#This Row],[מס'']]&lt;=תקופת_ההלוואה3,IF(ROW()-ROW(הפחתה7[[#Headers],[תאריך]])=1,LoanStart3,IF(AA329&gt;0,EDATE(U329,1),"")),""),"")</f>
        <v/>
      </c>
      <c r="V330" s="13">
        <f ca="1">IF(ROW()-ROW(הפחתה7[[#Headers],[יתרת פתיחה]])=1,סכום_הלוואה3,IF(הפחתה7[[#This Row],[תאריך]]="",0,INDEX(הפחתה7[], ROW()-4,8)))</f>
        <v>0</v>
      </c>
      <c r="W330" s="13">
        <f ca="1">IF(ValuesEntered3,IF(ROW()-ROW(הפחתה7[[#Headers],[ריבית]])=1,-IPMT(שיעור_ריבית3/12,1,תקופת_ההלוואה3-ROWS($C$4:U330)+1,הפחתה7[[#This Row],[יתרת פתיחה]]),IFERROR(-IPMT(שיעור_ריבית3/12,1,הפחתה7[[#This Row],[תשלומים
שנותרו]],V331),0)),0)</f>
        <v>0</v>
      </c>
      <c r="X330" s="13" t="str">
        <f ca="1">IFERROR(IF(AND(ValuesEntered3,הפחתה7[[#This Row],[תאריך]]&lt;&gt;""),-PPMT(שיעור_ריבית3/12,1,תקופת_ההלוואה3-ROWS($C$4:U330)+1,הפחתה7[[#This Row],[יתרת פתיחה]]),""),0)</f>
        <v/>
      </c>
      <c r="Y330" s="13">
        <f ca="1">(הפחתה7[[#This Row],[יתרת פתיחה]])*(מדד3/12)</f>
        <v>0</v>
      </c>
      <c r="Z330" s="13">
        <f ca="1">IF(הפחתה7[[#This Row],[תאריך]]="",0,הפחתה7[[#This Row],[ריבית]]+הפחתה7[[#This Row],[קרן]]+הפחתה7[[#This Row],[מדד]])</f>
        <v>0</v>
      </c>
      <c r="AA330" s="13">
        <f ca="1">IF(הפחתה7[[#This Row],[תאריך]]="",0,הפחתה7[[#This Row],[יתרת פתיחה]]-הפחתה7[[#This Row],[קרן]]+הפחתה7[[#This Row],[מדד]])</f>
        <v>0</v>
      </c>
      <c r="AB330" s="11">
        <f ca="1">IF(הפחתה7[[#This Row],[יתרת
סגירה]]&gt;0,LastRow3-ROW(),0)</f>
        <v>0</v>
      </c>
      <c r="AC330" s="17">
        <f>ROWS($AC$4:AC330)</f>
        <v>327</v>
      </c>
      <c r="AD330" s="18" t="str">
        <f ca="1">IF(ValuesEntered4,IF(הפחתה8[[#This Row],[מס'']]&lt;=תקופת_ההלוואה4,IF(ROW()-ROW(הפחתה8[[#Headers],[תאריך]])=1,LoanStart4,IF(AJ329&gt;0,EDATE(AD329,1),"")),""),"")</f>
        <v/>
      </c>
      <c r="AE330" s="19">
        <f ca="1">IF(ROW()-ROW(הפחתה8[[#Headers],[יתרת פתיחה]])=1,סכום_הלוואה4,IF(הפחתה8[[#This Row],[תאריך]]="",0,INDEX(הפחתה8[], ROW()-4,8)))</f>
        <v>0</v>
      </c>
      <c r="AF330" s="19">
        <f ca="1">IF(ValuesEntered4,IF(ROW()-ROW(הפחתה8[[#Headers],[ריבית]])=1,-IPMT(שיעור_ריבית4/12,1,תקופת_ההלוואה4-ROWS($C$4:AD330)+1,הפחתה8[[#This Row],[יתרת פתיחה]]),IFERROR(-IPMT(שיעור_ריבית4/12,1,הפחתה8[[#This Row],[תשלומים
שנותרו]],AE331),0)),0)</f>
        <v>0</v>
      </c>
      <c r="AG330" s="19" t="str">
        <f ca="1">IFERROR(IF(AND(ValuesEntered4,הפחתה8[[#This Row],[תאריך]]&lt;&gt;""),-PPMT(שיעור_ריבית4/12,1,תקופת_ההלוואה4-ROWS($C$4:AD330)+1,הפחתה8[[#This Row],[יתרת פתיחה]]),""),0)</f>
        <v/>
      </c>
      <c r="AH330" s="19">
        <f ca="1">(הפחתה8[[#This Row],[יתרת פתיחה]])*(מדד4/12)</f>
        <v>0</v>
      </c>
      <c r="AI330" s="19">
        <f ca="1">IF(הפחתה8[[#This Row],[תאריך]]="",0,הפחתה8[[#This Row],[ריבית]]+הפחתה8[[#This Row],[קרן]]+הפחתה8[[#This Row],[מדד]])</f>
        <v>0</v>
      </c>
      <c r="AJ330" s="19">
        <f ca="1">IF(הפחתה8[[#This Row],[תאריך]]="",0,הפחתה8[[#This Row],[יתרת פתיחה]]-הפחתה8[[#This Row],[קרן]])</f>
        <v>0</v>
      </c>
      <c r="AK330" s="20">
        <f ca="1">IF(הפחתה8[[#This Row],[יתרת
סגירה]]&gt;0,LastRow4-ROW(),0)</f>
        <v>0</v>
      </c>
    </row>
    <row r="331" spans="1:37" ht="15" customHeight="1" x14ac:dyDescent="0.25">
      <c r="A331" s="8"/>
      <c r="B331" s="11">
        <f>ROWS($B$4:B331)</f>
        <v>328</v>
      </c>
      <c r="C331" s="12">
        <f>IF(ValuesEntered,IF(הפחתה[[#This Row],[מס'']]&lt;=תקופת_ההלוואה,IF(ROW()-ROW(הפחתה[[#Headers],[תאריך]])=1,LoanStart,IF(I330&gt;0,EDATE(C330,1),"")),""),"")</f>
        <v>55335</v>
      </c>
      <c r="D331" s="13">
        <f>IF(ROW()-ROW(הפחתה[[#Headers],[יתרת פתיחה]])=1,סכום_הלוואה,IF(הפחתה[[#This Row],[תאריך]]="",0,INDEX(הפחתה[], ROW()-4,8)))</f>
        <v>102103.89739396748</v>
      </c>
      <c r="E331" s="13">
        <f>IF(ValuesEntered,IF(ROW()-ROW(הפחתה[[#Headers],[ריבית]])=1,-IPMT(שיעור_ריבית/12,1,תקופת_ההלוואה-ROWS($C$4:C331)+1,הפחתה[[#This Row],[יתרת פתיחה]]),IFERROR(-IPMT(שיעור_ריבית/12,1,הפחתה[[#This Row],[תשלומים
שנותרו]],D332),0)),0)</f>
        <v>438.23504192218036</v>
      </c>
      <c r="F331" s="13">
        <f>IFERROR(IF(AND(ValuesEntered,הפחתה[[#This Row],[תאריך]]&lt;&gt;""),-PPMT(שיעור_ריבית/12,1,תקופת_ההלוואה-ROWS($C$4:C331)+1,הפחתה[[#This Row],[יתרת פתיחה]]),""),0)</f>
        <v>2880.869034228529</v>
      </c>
      <c r="G331" s="13">
        <f>(הפחתה[[#This Row],[יתרת פתיחה]])*(מדד/12)</f>
        <v>0</v>
      </c>
      <c r="H331" s="13">
        <f>IF(הפחתה[[#This Row],[תאריך]]="",0,הפחתה[[#This Row],[ריבית]]+הפחתה[[#This Row],[קרן]]+הפחתה[[#This Row],[מדד]])</f>
        <v>3319.1040761507093</v>
      </c>
      <c r="I331" s="13">
        <f>IF(הפחתה[[#This Row],[תאריך]]="",0,הפחתה[[#This Row],[יתרת פתיחה]]-הפחתה[[#This Row],[קרן]]+הפחתה[[#This Row],[מדד]])</f>
        <v>99223.02835973895</v>
      </c>
      <c r="J331" s="11">
        <f>IF(הפחתה[[#This Row],[יתרת
סגירה]]&gt;0,LastRow-ROW(),0)</f>
        <v>32</v>
      </c>
      <c r="K331" s="11">
        <f>ROWS($K$4:K331)</f>
        <v>328</v>
      </c>
      <c r="L331" s="12" t="str">
        <f>IF(ValuesEntered2,IF(הפחתה5[[#This Row],[מס'']]&lt;=תקופת_ההלוואה2,IF(ROW()-ROW(הפחתה5[[#Headers],[תאריך]])=1,LoanStart2,IF(R330&gt;0,EDATE(L330,1),"")),""),"")</f>
        <v/>
      </c>
      <c r="M331" s="13">
        <f>IF(ROW()-ROW(הפחתה5[[#Headers],[יתרת פתיחה]])=1,סכום_הלוואה2,IF(הפחתה5[[#This Row],[תאריך]]="",0,INDEX(הפחתה5[], ROW()-4,8)))</f>
        <v>0</v>
      </c>
      <c r="N331" s="13">
        <f>IF(ValuesEntered2,IF(ROW()-ROW(הפחתה5[[#Headers],[ריבית]])=1,-IPMT(שיעור_ריבית2/12,1,תקופת_ההלוואה2-ROWS($L$4:L331)+1,הפחתה5[[#This Row],[יתרת פתיחה]]),IFERROR(-IPMT(שיעור_ריבית2/12,1,הפחתה5[[#This Row],[תשלומים
שנותרו]],M332),0)),0)</f>
        <v>0</v>
      </c>
      <c r="O331" s="13" t="str">
        <f>IFERROR(IF(AND(ValuesEntered2,הפחתה5[[#This Row],[תאריך]]&lt;&gt;""),-PPMT(שיעור_ריבית2/12,1,תקופת_ההלוואה2-ROWS($L$4:L331)+1,הפחתה5[[#This Row],[יתרת פתיחה]]),""),0)</f>
        <v/>
      </c>
      <c r="P331" s="13">
        <f>(הפחתה5[[#This Row],[יתרת פתיחה]])*(מדד2/12)</f>
        <v>0</v>
      </c>
      <c r="Q331" s="13">
        <f>IF(הפחתה5[[#This Row],[תאריך]]="",0,הפחתה5[[#This Row],[ריבית]]+הפחתה5[[#This Row],[קרן]]+הפחתה5[[#This Row],[מדד]])</f>
        <v>0</v>
      </c>
      <c r="R331" s="13">
        <f>IF(הפחתה5[[#This Row],[תאריך]]="",0,הפחתה5[[#This Row],[יתרת פתיחה]]-הפחתה5[[#This Row],[קרן]]+הפחתה5[[#This Row],[מדד]])</f>
        <v>0</v>
      </c>
      <c r="S331" s="11">
        <f>IF(הפחתה5[[#This Row],[יתרת
סגירה]]&gt;0,LastRow2-ROW(),0)</f>
        <v>0</v>
      </c>
      <c r="T331" s="11">
        <f>ROWS($T$4:T331)</f>
        <v>328</v>
      </c>
      <c r="U331" s="12" t="str">
        <f ca="1">IF(ValuesEntered3,IF(הפחתה7[[#This Row],[מס'']]&lt;=תקופת_ההלוואה3,IF(ROW()-ROW(הפחתה7[[#Headers],[תאריך]])=1,LoanStart3,IF(AA330&gt;0,EDATE(U330,1),"")),""),"")</f>
        <v/>
      </c>
      <c r="V331" s="13">
        <f ca="1">IF(ROW()-ROW(הפחתה7[[#Headers],[יתרת פתיחה]])=1,סכום_הלוואה3,IF(הפחתה7[[#This Row],[תאריך]]="",0,INDEX(הפחתה7[], ROW()-4,8)))</f>
        <v>0</v>
      </c>
      <c r="W331" s="13">
        <f ca="1">IF(ValuesEntered3,IF(ROW()-ROW(הפחתה7[[#Headers],[ריבית]])=1,-IPMT(שיעור_ריבית3/12,1,תקופת_ההלוואה3-ROWS($C$4:U331)+1,הפחתה7[[#This Row],[יתרת פתיחה]]),IFERROR(-IPMT(שיעור_ריבית3/12,1,הפחתה7[[#This Row],[תשלומים
שנותרו]],V332),0)),0)</f>
        <v>0</v>
      </c>
      <c r="X331" s="13" t="str">
        <f ca="1">IFERROR(IF(AND(ValuesEntered3,הפחתה7[[#This Row],[תאריך]]&lt;&gt;""),-PPMT(שיעור_ריבית3/12,1,תקופת_ההלוואה3-ROWS($C$4:U331)+1,הפחתה7[[#This Row],[יתרת פתיחה]]),""),0)</f>
        <v/>
      </c>
      <c r="Y331" s="13">
        <f ca="1">(הפחתה7[[#This Row],[יתרת פתיחה]])*(מדד3/12)</f>
        <v>0</v>
      </c>
      <c r="Z331" s="13">
        <f ca="1">IF(הפחתה7[[#This Row],[תאריך]]="",0,הפחתה7[[#This Row],[ריבית]]+הפחתה7[[#This Row],[קרן]]+הפחתה7[[#This Row],[מדד]])</f>
        <v>0</v>
      </c>
      <c r="AA331" s="13">
        <f ca="1">IF(הפחתה7[[#This Row],[תאריך]]="",0,הפחתה7[[#This Row],[יתרת פתיחה]]-הפחתה7[[#This Row],[קרן]]+הפחתה7[[#This Row],[מדד]])</f>
        <v>0</v>
      </c>
      <c r="AB331" s="11">
        <f ca="1">IF(הפחתה7[[#This Row],[יתרת
סגירה]]&gt;0,LastRow3-ROW(),0)</f>
        <v>0</v>
      </c>
      <c r="AC331" s="17">
        <f>ROWS($AC$4:AC331)</f>
        <v>328</v>
      </c>
      <c r="AD331" s="18" t="str">
        <f ca="1">IF(ValuesEntered4,IF(הפחתה8[[#This Row],[מס'']]&lt;=תקופת_ההלוואה4,IF(ROW()-ROW(הפחתה8[[#Headers],[תאריך]])=1,LoanStart4,IF(AJ330&gt;0,EDATE(AD330,1),"")),""),"")</f>
        <v/>
      </c>
      <c r="AE331" s="19">
        <f ca="1">IF(ROW()-ROW(הפחתה8[[#Headers],[יתרת פתיחה]])=1,סכום_הלוואה4,IF(הפחתה8[[#This Row],[תאריך]]="",0,INDEX(הפחתה8[], ROW()-4,8)))</f>
        <v>0</v>
      </c>
      <c r="AF331" s="19">
        <f ca="1">IF(ValuesEntered4,IF(ROW()-ROW(הפחתה8[[#Headers],[ריבית]])=1,-IPMT(שיעור_ריבית4/12,1,תקופת_ההלוואה4-ROWS($C$4:AD331)+1,הפחתה8[[#This Row],[יתרת פתיחה]]),IFERROR(-IPMT(שיעור_ריבית4/12,1,הפחתה8[[#This Row],[תשלומים
שנותרו]],AE332),0)),0)</f>
        <v>0</v>
      </c>
      <c r="AG331" s="19" t="str">
        <f ca="1">IFERROR(IF(AND(ValuesEntered4,הפחתה8[[#This Row],[תאריך]]&lt;&gt;""),-PPMT(שיעור_ריבית4/12,1,תקופת_ההלוואה4-ROWS($C$4:AD331)+1,הפחתה8[[#This Row],[יתרת פתיחה]]),""),0)</f>
        <v/>
      </c>
      <c r="AH331" s="19">
        <f ca="1">(הפחתה8[[#This Row],[יתרת פתיחה]])*(מדד4/12)</f>
        <v>0</v>
      </c>
      <c r="AI331" s="19">
        <f ca="1">IF(הפחתה8[[#This Row],[תאריך]]="",0,הפחתה8[[#This Row],[ריבית]]+הפחתה8[[#This Row],[קרן]]+הפחתה8[[#This Row],[מדד]])</f>
        <v>0</v>
      </c>
      <c r="AJ331" s="19">
        <f ca="1">IF(הפחתה8[[#This Row],[תאריך]]="",0,הפחתה8[[#This Row],[יתרת פתיחה]]-הפחתה8[[#This Row],[קרן]])</f>
        <v>0</v>
      </c>
      <c r="AK331" s="20">
        <f ca="1">IF(הפחתה8[[#This Row],[יתרת
סגירה]]&gt;0,LastRow4-ROW(),0)</f>
        <v>0</v>
      </c>
    </row>
    <row r="332" spans="1:37" ht="15" customHeight="1" x14ac:dyDescent="0.25">
      <c r="A332" s="8"/>
      <c r="B332" s="11">
        <f>ROWS($B$4:B332)</f>
        <v>329</v>
      </c>
      <c r="C332" s="12">
        <f>IF(ValuesEntered,IF(הפחתה[[#This Row],[מס'']]&lt;=תקופת_ההלוואה,IF(ROW()-ROW(הפחתה[[#Headers],[תאריך]])=1,LoanStart,IF(I331&gt;0,EDATE(C331,1),"")),""),"")</f>
        <v>55366</v>
      </c>
      <c r="D332" s="13">
        <f>IF(ROW()-ROW(הפחתה[[#Headers],[יתרת פתיחה]])=1,סכום_הלוואה,IF(הפחתה[[#This Row],[תאריך]]="",0,INDEX(הפחתה[], ROW()-4,8)))</f>
        <v>99223.02835973895</v>
      </c>
      <c r="E332" s="13">
        <f>IF(ValuesEntered,IF(ROW()-ROW(הפחתה[[#Headers],[ריבית]])=1,-IPMT(שיעור_ריבית/12,1,תקופת_ההלוואה-ROWS($C$4:C332)+1,הפחתה[[#This Row],[יתרת פתיחה]]),IFERROR(-IPMT(שיעור_ריבית/12,1,הפחתה[[#This Row],[תשלומים
שנותרו]],D333),0)),0)</f>
        <v>425.45500673546866</v>
      </c>
      <c r="F332" s="13">
        <f>IFERROR(IF(AND(ValuesEntered,הפחתה[[#This Row],[תאריך]]&lt;&gt;""),-PPMT(שיעור_ריבית/12,1,תקופת_ההלוואה-ROWS($C$4:C332)+1,הפחתה[[#This Row],[יתרת פתיחה]]),""),0)</f>
        <v>2893.5928724630389</v>
      </c>
      <c r="G332" s="13">
        <f>(הפחתה[[#This Row],[יתרת פתיחה]])*(מדד/12)</f>
        <v>0</v>
      </c>
      <c r="H332" s="13">
        <f>IF(הפחתה[[#This Row],[תאריך]]="",0,הפחתה[[#This Row],[ריבית]]+הפחתה[[#This Row],[קרן]]+הפחתה[[#This Row],[מדד]])</f>
        <v>3319.0478791985074</v>
      </c>
      <c r="I332" s="13">
        <f>IF(הפחתה[[#This Row],[תאריך]]="",0,הפחתה[[#This Row],[יתרת פתיחה]]-הפחתה[[#This Row],[קרן]]+הפחתה[[#This Row],[מדד]])</f>
        <v>96329.435487275914</v>
      </c>
      <c r="J332" s="11">
        <f>IF(הפחתה[[#This Row],[יתרת
סגירה]]&gt;0,LastRow-ROW(),0)</f>
        <v>31</v>
      </c>
      <c r="K332" s="11">
        <f>ROWS($K$4:K332)</f>
        <v>329</v>
      </c>
      <c r="L332" s="12" t="str">
        <f>IF(ValuesEntered2,IF(הפחתה5[[#This Row],[מס'']]&lt;=תקופת_ההלוואה2,IF(ROW()-ROW(הפחתה5[[#Headers],[תאריך]])=1,LoanStart2,IF(R331&gt;0,EDATE(L331,1),"")),""),"")</f>
        <v/>
      </c>
      <c r="M332" s="13">
        <f>IF(ROW()-ROW(הפחתה5[[#Headers],[יתרת פתיחה]])=1,סכום_הלוואה2,IF(הפחתה5[[#This Row],[תאריך]]="",0,INDEX(הפחתה5[], ROW()-4,8)))</f>
        <v>0</v>
      </c>
      <c r="N332" s="13">
        <f>IF(ValuesEntered2,IF(ROW()-ROW(הפחתה5[[#Headers],[ריבית]])=1,-IPMT(שיעור_ריבית2/12,1,תקופת_ההלוואה2-ROWS($L$4:L332)+1,הפחתה5[[#This Row],[יתרת פתיחה]]),IFERROR(-IPMT(שיעור_ריבית2/12,1,הפחתה5[[#This Row],[תשלומים
שנותרו]],M333),0)),0)</f>
        <v>0</v>
      </c>
      <c r="O332" s="13" t="str">
        <f>IFERROR(IF(AND(ValuesEntered2,הפחתה5[[#This Row],[תאריך]]&lt;&gt;""),-PPMT(שיעור_ריבית2/12,1,תקופת_ההלוואה2-ROWS($L$4:L332)+1,הפחתה5[[#This Row],[יתרת פתיחה]]),""),0)</f>
        <v/>
      </c>
      <c r="P332" s="13">
        <f>(הפחתה5[[#This Row],[יתרת פתיחה]])*(מדד2/12)</f>
        <v>0</v>
      </c>
      <c r="Q332" s="13">
        <f>IF(הפחתה5[[#This Row],[תאריך]]="",0,הפחתה5[[#This Row],[ריבית]]+הפחתה5[[#This Row],[קרן]]+הפחתה5[[#This Row],[מדד]])</f>
        <v>0</v>
      </c>
      <c r="R332" s="13">
        <f>IF(הפחתה5[[#This Row],[תאריך]]="",0,הפחתה5[[#This Row],[יתרת פתיחה]]-הפחתה5[[#This Row],[קרן]]+הפחתה5[[#This Row],[מדד]])</f>
        <v>0</v>
      </c>
      <c r="S332" s="11">
        <f>IF(הפחתה5[[#This Row],[יתרת
סגירה]]&gt;0,LastRow2-ROW(),0)</f>
        <v>0</v>
      </c>
      <c r="T332" s="11">
        <f>ROWS($T$4:T332)</f>
        <v>329</v>
      </c>
      <c r="U332" s="12" t="str">
        <f ca="1">IF(ValuesEntered3,IF(הפחתה7[[#This Row],[מס'']]&lt;=תקופת_ההלוואה3,IF(ROW()-ROW(הפחתה7[[#Headers],[תאריך]])=1,LoanStart3,IF(AA331&gt;0,EDATE(U331,1),"")),""),"")</f>
        <v/>
      </c>
      <c r="V332" s="13">
        <f ca="1">IF(ROW()-ROW(הפחתה7[[#Headers],[יתרת פתיחה]])=1,סכום_הלוואה3,IF(הפחתה7[[#This Row],[תאריך]]="",0,INDEX(הפחתה7[], ROW()-4,8)))</f>
        <v>0</v>
      </c>
      <c r="W332" s="13">
        <f ca="1">IF(ValuesEntered3,IF(ROW()-ROW(הפחתה7[[#Headers],[ריבית]])=1,-IPMT(שיעור_ריבית3/12,1,תקופת_ההלוואה3-ROWS($C$4:U332)+1,הפחתה7[[#This Row],[יתרת פתיחה]]),IFERROR(-IPMT(שיעור_ריבית3/12,1,הפחתה7[[#This Row],[תשלומים
שנותרו]],V333),0)),0)</f>
        <v>0</v>
      </c>
      <c r="X332" s="13" t="str">
        <f ca="1">IFERROR(IF(AND(ValuesEntered3,הפחתה7[[#This Row],[תאריך]]&lt;&gt;""),-PPMT(שיעור_ריבית3/12,1,תקופת_ההלוואה3-ROWS($C$4:U332)+1,הפחתה7[[#This Row],[יתרת פתיחה]]),""),0)</f>
        <v/>
      </c>
      <c r="Y332" s="13">
        <f ca="1">(הפחתה7[[#This Row],[יתרת פתיחה]])*(מדד3/12)</f>
        <v>0</v>
      </c>
      <c r="Z332" s="13">
        <f ca="1">IF(הפחתה7[[#This Row],[תאריך]]="",0,הפחתה7[[#This Row],[ריבית]]+הפחתה7[[#This Row],[קרן]]+הפחתה7[[#This Row],[מדד]])</f>
        <v>0</v>
      </c>
      <c r="AA332" s="13">
        <f ca="1">IF(הפחתה7[[#This Row],[תאריך]]="",0,הפחתה7[[#This Row],[יתרת פתיחה]]-הפחתה7[[#This Row],[קרן]]+הפחתה7[[#This Row],[מדד]])</f>
        <v>0</v>
      </c>
      <c r="AB332" s="11">
        <f ca="1">IF(הפחתה7[[#This Row],[יתרת
סגירה]]&gt;0,LastRow3-ROW(),0)</f>
        <v>0</v>
      </c>
      <c r="AC332" s="17">
        <f>ROWS($AC$4:AC332)</f>
        <v>329</v>
      </c>
      <c r="AD332" s="18" t="str">
        <f ca="1">IF(ValuesEntered4,IF(הפחתה8[[#This Row],[מס'']]&lt;=תקופת_ההלוואה4,IF(ROW()-ROW(הפחתה8[[#Headers],[תאריך]])=1,LoanStart4,IF(AJ331&gt;0,EDATE(AD331,1),"")),""),"")</f>
        <v/>
      </c>
      <c r="AE332" s="19">
        <f ca="1">IF(ROW()-ROW(הפחתה8[[#Headers],[יתרת פתיחה]])=1,סכום_הלוואה4,IF(הפחתה8[[#This Row],[תאריך]]="",0,INDEX(הפחתה8[], ROW()-4,8)))</f>
        <v>0</v>
      </c>
      <c r="AF332" s="19">
        <f ca="1">IF(ValuesEntered4,IF(ROW()-ROW(הפחתה8[[#Headers],[ריבית]])=1,-IPMT(שיעור_ריבית4/12,1,תקופת_ההלוואה4-ROWS($C$4:AD332)+1,הפחתה8[[#This Row],[יתרת פתיחה]]),IFERROR(-IPMT(שיעור_ריבית4/12,1,הפחתה8[[#This Row],[תשלומים
שנותרו]],AE333),0)),0)</f>
        <v>0</v>
      </c>
      <c r="AG332" s="19" t="str">
        <f ca="1">IFERROR(IF(AND(ValuesEntered4,הפחתה8[[#This Row],[תאריך]]&lt;&gt;""),-PPMT(שיעור_ריבית4/12,1,תקופת_ההלוואה4-ROWS($C$4:AD332)+1,הפחתה8[[#This Row],[יתרת פתיחה]]),""),0)</f>
        <v/>
      </c>
      <c r="AH332" s="19">
        <f ca="1">(הפחתה8[[#This Row],[יתרת פתיחה]])*(מדד4/12)</f>
        <v>0</v>
      </c>
      <c r="AI332" s="19">
        <f ca="1">IF(הפחתה8[[#This Row],[תאריך]]="",0,הפחתה8[[#This Row],[ריבית]]+הפחתה8[[#This Row],[קרן]]+הפחתה8[[#This Row],[מדד]])</f>
        <v>0</v>
      </c>
      <c r="AJ332" s="19">
        <f ca="1">IF(הפחתה8[[#This Row],[תאריך]]="",0,הפחתה8[[#This Row],[יתרת פתיחה]]-הפחתה8[[#This Row],[קרן]])</f>
        <v>0</v>
      </c>
      <c r="AK332" s="20">
        <f ca="1">IF(הפחתה8[[#This Row],[יתרת
סגירה]]&gt;0,LastRow4-ROW(),0)</f>
        <v>0</v>
      </c>
    </row>
    <row r="333" spans="1:37" ht="15" customHeight="1" x14ac:dyDescent="0.25">
      <c r="A333" s="8"/>
      <c r="B333" s="11">
        <f>ROWS($B$4:B333)</f>
        <v>330</v>
      </c>
      <c r="C333" s="12">
        <f>IF(ValuesEntered,IF(הפחתה[[#This Row],[מס'']]&lt;=תקופת_ההלוואה,IF(ROW()-ROW(הפחתה[[#Headers],[תאריך]])=1,LoanStart,IF(I332&gt;0,EDATE(C332,1),"")),""),"")</f>
        <v>55397</v>
      </c>
      <c r="D333" s="13">
        <f>IF(ROW()-ROW(הפחתה[[#Headers],[יתרת פתיחה]])=1,סכום_הלוואה,IF(הפחתה[[#This Row],[תאריך]]="",0,INDEX(הפחתה[], ROW()-4,8)))</f>
        <v>96329.435487275914</v>
      </c>
      <c r="E333" s="13">
        <f>IF(ValuesEntered,IF(ROW()-ROW(הפחתה[[#Headers],[ריבית]])=1,-IPMT(שיעור_ריבית/12,1,תקופת_ההלוואה-ROWS($C$4:C333)+1,הפחתה[[#This Row],[יתרת פתיחה]]),IFERROR(-IPMT(שיעור_ריבית/12,1,הפחתה[[#This Row],[תשלומים
שנותרו]],D334),0)),0)</f>
        <v>412.61852639334887</v>
      </c>
      <c r="F333" s="13">
        <f>IFERROR(IF(AND(ValuesEntered,הפחתה[[#This Row],[תאריך]]&lt;&gt;""),-PPMT(שיעור_ריבית/12,1,תקופת_ההלוואה-ROWS($C$4:C333)+1,הפחתה[[#This Row],[יתרת פתיחה]]),""),0)</f>
        <v>2906.3729076497507</v>
      </c>
      <c r="G333" s="13">
        <f>(הפחתה[[#This Row],[יתרת פתיחה]])*(מדד/12)</f>
        <v>0</v>
      </c>
      <c r="H333" s="13">
        <f>IF(הפחתה[[#This Row],[תאריך]]="",0,הפחתה[[#This Row],[ריבית]]+הפחתה[[#This Row],[קרן]]+הפחתה[[#This Row],[מדד]])</f>
        <v>3318.9914340430996</v>
      </c>
      <c r="I333" s="13">
        <f>IF(הפחתה[[#This Row],[תאריך]]="",0,הפחתה[[#This Row],[יתרת פתיחה]]-הפחתה[[#This Row],[קרן]]+הפחתה[[#This Row],[מדד]])</f>
        <v>93423.062579626159</v>
      </c>
      <c r="J333" s="11">
        <f>IF(הפחתה[[#This Row],[יתרת
סגירה]]&gt;0,LastRow-ROW(),0)</f>
        <v>30</v>
      </c>
      <c r="K333" s="11">
        <f>ROWS($K$4:K333)</f>
        <v>330</v>
      </c>
      <c r="L333" s="12" t="str">
        <f>IF(ValuesEntered2,IF(הפחתה5[[#This Row],[מס'']]&lt;=תקופת_ההלוואה2,IF(ROW()-ROW(הפחתה5[[#Headers],[תאריך]])=1,LoanStart2,IF(R332&gt;0,EDATE(L332,1),"")),""),"")</f>
        <v/>
      </c>
      <c r="M333" s="13">
        <f>IF(ROW()-ROW(הפחתה5[[#Headers],[יתרת פתיחה]])=1,סכום_הלוואה2,IF(הפחתה5[[#This Row],[תאריך]]="",0,INDEX(הפחתה5[], ROW()-4,8)))</f>
        <v>0</v>
      </c>
      <c r="N333" s="13">
        <f>IF(ValuesEntered2,IF(ROW()-ROW(הפחתה5[[#Headers],[ריבית]])=1,-IPMT(שיעור_ריבית2/12,1,תקופת_ההלוואה2-ROWS($L$4:L333)+1,הפחתה5[[#This Row],[יתרת פתיחה]]),IFERROR(-IPMT(שיעור_ריבית2/12,1,הפחתה5[[#This Row],[תשלומים
שנותרו]],M334),0)),0)</f>
        <v>0</v>
      </c>
      <c r="O333" s="13" t="str">
        <f>IFERROR(IF(AND(ValuesEntered2,הפחתה5[[#This Row],[תאריך]]&lt;&gt;""),-PPMT(שיעור_ריבית2/12,1,תקופת_ההלוואה2-ROWS($L$4:L333)+1,הפחתה5[[#This Row],[יתרת פתיחה]]),""),0)</f>
        <v/>
      </c>
      <c r="P333" s="13">
        <f>(הפחתה5[[#This Row],[יתרת פתיחה]])*(מדד2/12)</f>
        <v>0</v>
      </c>
      <c r="Q333" s="13">
        <f>IF(הפחתה5[[#This Row],[תאריך]]="",0,הפחתה5[[#This Row],[ריבית]]+הפחתה5[[#This Row],[קרן]]+הפחתה5[[#This Row],[מדד]])</f>
        <v>0</v>
      </c>
      <c r="R333" s="13">
        <f>IF(הפחתה5[[#This Row],[תאריך]]="",0,הפחתה5[[#This Row],[יתרת פתיחה]]-הפחתה5[[#This Row],[קרן]]+הפחתה5[[#This Row],[מדד]])</f>
        <v>0</v>
      </c>
      <c r="S333" s="11">
        <f>IF(הפחתה5[[#This Row],[יתרת
סגירה]]&gt;0,LastRow2-ROW(),0)</f>
        <v>0</v>
      </c>
      <c r="T333" s="11">
        <f>ROWS($T$4:T333)</f>
        <v>330</v>
      </c>
      <c r="U333" s="12" t="str">
        <f ca="1">IF(ValuesEntered3,IF(הפחתה7[[#This Row],[מס'']]&lt;=תקופת_ההלוואה3,IF(ROW()-ROW(הפחתה7[[#Headers],[תאריך]])=1,LoanStart3,IF(AA332&gt;0,EDATE(U332,1),"")),""),"")</f>
        <v/>
      </c>
      <c r="V333" s="13">
        <f ca="1">IF(ROW()-ROW(הפחתה7[[#Headers],[יתרת פתיחה]])=1,סכום_הלוואה3,IF(הפחתה7[[#This Row],[תאריך]]="",0,INDEX(הפחתה7[], ROW()-4,8)))</f>
        <v>0</v>
      </c>
      <c r="W333" s="13">
        <f ca="1">IF(ValuesEntered3,IF(ROW()-ROW(הפחתה7[[#Headers],[ריבית]])=1,-IPMT(שיעור_ריבית3/12,1,תקופת_ההלוואה3-ROWS($C$4:U333)+1,הפחתה7[[#This Row],[יתרת פתיחה]]),IFERROR(-IPMT(שיעור_ריבית3/12,1,הפחתה7[[#This Row],[תשלומים
שנותרו]],V334),0)),0)</f>
        <v>0</v>
      </c>
      <c r="X333" s="13" t="str">
        <f ca="1">IFERROR(IF(AND(ValuesEntered3,הפחתה7[[#This Row],[תאריך]]&lt;&gt;""),-PPMT(שיעור_ריבית3/12,1,תקופת_ההלוואה3-ROWS($C$4:U333)+1,הפחתה7[[#This Row],[יתרת פתיחה]]),""),0)</f>
        <v/>
      </c>
      <c r="Y333" s="13">
        <f ca="1">(הפחתה7[[#This Row],[יתרת פתיחה]])*(מדד3/12)</f>
        <v>0</v>
      </c>
      <c r="Z333" s="13">
        <f ca="1">IF(הפחתה7[[#This Row],[תאריך]]="",0,הפחתה7[[#This Row],[ריבית]]+הפחתה7[[#This Row],[קרן]]+הפחתה7[[#This Row],[מדד]])</f>
        <v>0</v>
      </c>
      <c r="AA333" s="13">
        <f ca="1">IF(הפחתה7[[#This Row],[תאריך]]="",0,הפחתה7[[#This Row],[יתרת פתיחה]]-הפחתה7[[#This Row],[קרן]]+הפחתה7[[#This Row],[מדד]])</f>
        <v>0</v>
      </c>
      <c r="AB333" s="11">
        <f ca="1">IF(הפחתה7[[#This Row],[יתרת
סגירה]]&gt;0,LastRow3-ROW(),0)</f>
        <v>0</v>
      </c>
      <c r="AC333" s="17">
        <f>ROWS($AC$4:AC333)</f>
        <v>330</v>
      </c>
      <c r="AD333" s="18" t="str">
        <f ca="1">IF(ValuesEntered4,IF(הפחתה8[[#This Row],[מס'']]&lt;=תקופת_ההלוואה4,IF(ROW()-ROW(הפחתה8[[#Headers],[תאריך]])=1,LoanStart4,IF(AJ332&gt;0,EDATE(AD332,1),"")),""),"")</f>
        <v/>
      </c>
      <c r="AE333" s="19">
        <f ca="1">IF(ROW()-ROW(הפחתה8[[#Headers],[יתרת פתיחה]])=1,סכום_הלוואה4,IF(הפחתה8[[#This Row],[תאריך]]="",0,INDEX(הפחתה8[], ROW()-4,8)))</f>
        <v>0</v>
      </c>
      <c r="AF333" s="19">
        <f ca="1">IF(ValuesEntered4,IF(ROW()-ROW(הפחתה8[[#Headers],[ריבית]])=1,-IPMT(שיעור_ריבית4/12,1,תקופת_ההלוואה4-ROWS($C$4:AD333)+1,הפחתה8[[#This Row],[יתרת פתיחה]]),IFERROR(-IPMT(שיעור_ריבית4/12,1,הפחתה8[[#This Row],[תשלומים
שנותרו]],AE334),0)),0)</f>
        <v>0</v>
      </c>
      <c r="AG333" s="19" t="str">
        <f ca="1">IFERROR(IF(AND(ValuesEntered4,הפחתה8[[#This Row],[תאריך]]&lt;&gt;""),-PPMT(שיעור_ריבית4/12,1,תקופת_ההלוואה4-ROWS($C$4:AD333)+1,הפחתה8[[#This Row],[יתרת פתיחה]]),""),0)</f>
        <v/>
      </c>
      <c r="AH333" s="19">
        <f ca="1">(הפחתה8[[#This Row],[יתרת פתיחה]])*(מדד4/12)</f>
        <v>0</v>
      </c>
      <c r="AI333" s="19">
        <f ca="1">IF(הפחתה8[[#This Row],[תאריך]]="",0,הפחתה8[[#This Row],[ריבית]]+הפחתה8[[#This Row],[קרן]]+הפחתה8[[#This Row],[מדד]])</f>
        <v>0</v>
      </c>
      <c r="AJ333" s="19">
        <f ca="1">IF(הפחתה8[[#This Row],[תאריך]]="",0,הפחתה8[[#This Row],[יתרת פתיחה]]-הפחתה8[[#This Row],[קרן]])</f>
        <v>0</v>
      </c>
      <c r="AK333" s="20">
        <f ca="1">IF(הפחתה8[[#This Row],[יתרת
סגירה]]&gt;0,LastRow4-ROW(),0)</f>
        <v>0</v>
      </c>
    </row>
    <row r="334" spans="1:37" ht="15" customHeight="1" x14ac:dyDescent="0.25">
      <c r="A334" s="8"/>
      <c r="B334" s="11">
        <f>ROWS($B$4:B334)</f>
        <v>331</v>
      </c>
      <c r="C334" s="12">
        <f>IF(ValuesEntered,IF(הפחתה[[#This Row],[מס'']]&lt;=תקופת_ההלוואה,IF(ROW()-ROW(הפחתה[[#Headers],[תאריך]])=1,LoanStart,IF(I333&gt;0,EDATE(C333,1),"")),""),"")</f>
        <v>55427</v>
      </c>
      <c r="D334" s="13">
        <f>IF(ROW()-ROW(הפחתה[[#Headers],[יתרת פתיחה]])=1,סכום_הלוואה,IF(הפחתה[[#This Row],[תאריך]]="",0,INDEX(הפחתה[], ROW()-4,8)))</f>
        <v>93423.062579626159</v>
      </c>
      <c r="E334" s="13">
        <f>IF(ValuesEntered,IF(ROW()-ROW(הפחתה[[#Headers],[ריבית]])=1,-IPMT(שיעור_ריבית/12,1,תקופת_ההלוואה-ROWS($C$4:C334)+1,הפחתה[[#This Row],[יתרת פתיחה]]),IFERROR(-IPMT(שיעור_ריבית/12,1,הפחתה[[#This Row],[תשלומים
שנותרו]],D335),0)),0)</f>
        <v>399.72535159638483</v>
      </c>
      <c r="F334" s="13">
        <f>IFERROR(IF(AND(ValuesEntered,הפחתה[[#This Row],[תאריך]]&lt;&gt;""),-PPMT(שיעור_ריבית/12,1,תקופת_ההלוואה-ROWS($C$4:C334)+1,הפחתה[[#This Row],[יתרת פתיחה]]),""),0)</f>
        <v>2919.2093879918707</v>
      </c>
      <c r="G334" s="13">
        <f>(הפחתה[[#This Row],[יתרת פתיחה]])*(מדד/12)</f>
        <v>0</v>
      </c>
      <c r="H334" s="13">
        <f>IF(הפחתה[[#This Row],[תאריך]]="",0,הפחתה[[#This Row],[ריבית]]+הפחתה[[#This Row],[קרן]]+הפחתה[[#This Row],[מדד]])</f>
        <v>3318.9347395882555</v>
      </c>
      <c r="I334" s="13">
        <f>IF(הפחתה[[#This Row],[תאריך]]="",0,הפחתה[[#This Row],[יתרת פתיחה]]-הפחתה[[#This Row],[קרן]]+הפחתה[[#This Row],[מדד]])</f>
        <v>90503.853191634291</v>
      </c>
      <c r="J334" s="11">
        <f>IF(הפחתה[[#This Row],[יתרת
סגירה]]&gt;0,LastRow-ROW(),0)</f>
        <v>29</v>
      </c>
      <c r="K334" s="11">
        <f>ROWS($K$4:K334)</f>
        <v>331</v>
      </c>
      <c r="L334" s="12" t="str">
        <f>IF(ValuesEntered2,IF(הפחתה5[[#This Row],[מס'']]&lt;=תקופת_ההלוואה2,IF(ROW()-ROW(הפחתה5[[#Headers],[תאריך]])=1,LoanStart2,IF(R333&gt;0,EDATE(L333,1),"")),""),"")</f>
        <v/>
      </c>
      <c r="M334" s="13">
        <f>IF(ROW()-ROW(הפחתה5[[#Headers],[יתרת פתיחה]])=1,סכום_הלוואה2,IF(הפחתה5[[#This Row],[תאריך]]="",0,INDEX(הפחתה5[], ROW()-4,8)))</f>
        <v>0</v>
      </c>
      <c r="N334" s="13">
        <f>IF(ValuesEntered2,IF(ROW()-ROW(הפחתה5[[#Headers],[ריבית]])=1,-IPMT(שיעור_ריבית2/12,1,תקופת_ההלוואה2-ROWS($L$4:L334)+1,הפחתה5[[#This Row],[יתרת פתיחה]]),IFERROR(-IPMT(שיעור_ריבית2/12,1,הפחתה5[[#This Row],[תשלומים
שנותרו]],M335),0)),0)</f>
        <v>0</v>
      </c>
      <c r="O334" s="13" t="str">
        <f>IFERROR(IF(AND(ValuesEntered2,הפחתה5[[#This Row],[תאריך]]&lt;&gt;""),-PPMT(שיעור_ריבית2/12,1,תקופת_ההלוואה2-ROWS($L$4:L334)+1,הפחתה5[[#This Row],[יתרת פתיחה]]),""),0)</f>
        <v/>
      </c>
      <c r="P334" s="13">
        <f>(הפחתה5[[#This Row],[יתרת פתיחה]])*(מדד2/12)</f>
        <v>0</v>
      </c>
      <c r="Q334" s="13">
        <f>IF(הפחתה5[[#This Row],[תאריך]]="",0,הפחתה5[[#This Row],[ריבית]]+הפחתה5[[#This Row],[קרן]]+הפחתה5[[#This Row],[מדד]])</f>
        <v>0</v>
      </c>
      <c r="R334" s="13">
        <f>IF(הפחתה5[[#This Row],[תאריך]]="",0,הפחתה5[[#This Row],[יתרת פתיחה]]-הפחתה5[[#This Row],[קרן]]+הפחתה5[[#This Row],[מדד]])</f>
        <v>0</v>
      </c>
      <c r="S334" s="11">
        <f>IF(הפחתה5[[#This Row],[יתרת
סגירה]]&gt;0,LastRow2-ROW(),0)</f>
        <v>0</v>
      </c>
      <c r="T334" s="11">
        <f>ROWS($T$4:T334)</f>
        <v>331</v>
      </c>
      <c r="U334" s="12" t="str">
        <f ca="1">IF(ValuesEntered3,IF(הפחתה7[[#This Row],[מס'']]&lt;=תקופת_ההלוואה3,IF(ROW()-ROW(הפחתה7[[#Headers],[תאריך]])=1,LoanStart3,IF(AA333&gt;0,EDATE(U333,1),"")),""),"")</f>
        <v/>
      </c>
      <c r="V334" s="13">
        <f ca="1">IF(ROW()-ROW(הפחתה7[[#Headers],[יתרת פתיחה]])=1,סכום_הלוואה3,IF(הפחתה7[[#This Row],[תאריך]]="",0,INDEX(הפחתה7[], ROW()-4,8)))</f>
        <v>0</v>
      </c>
      <c r="W334" s="13">
        <f ca="1">IF(ValuesEntered3,IF(ROW()-ROW(הפחתה7[[#Headers],[ריבית]])=1,-IPMT(שיעור_ריבית3/12,1,תקופת_ההלוואה3-ROWS($C$4:U334)+1,הפחתה7[[#This Row],[יתרת פתיחה]]),IFERROR(-IPMT(שיעור_ריבית3/12,1,הפחתה7[[#This Row],[תשלומים
שנותרו]],V335),0)),0)</f>
        <v>0</v>
      </c>
      <c r="X334" s="13" t="str">
        <f ca="1">IFERROR(IF(AND(ValuesEntered3,הפחתה7[[#This Row],[תאריך]]&lt;&gt;""),-PPMT(שיעור_ריבית3/12,1,תקופת_ההלוואה3-ROWS($C$4:U334)+1,הפחתה7[[#This Row],[יתרת פתיחה]]),""),0)</f>
        <v/>
      </c>
      <c r="Y334" s="13">
        <f ca="1">(הפחתה7[[#This Row],[יתרת פתיחה]])*(מדד3/12)</f>
        <v>0</v>
      </c>
      <c r="Z334" s="13">
        <f ca="1">IF(הפחתה7[[#This Row],[תאריך]]="",0,הפחתה7[[#This Row],[ריבית]]+הפחתה7[[#This Row],[קרן]]+הפחתה7[[#This Row],[מדד]])</f>
        <v>0</v>
      </c>
      <c r="AA334" s="13">
        <f ca="1">IF(הפחתה7[[#This Row],[תאריך]]="",0,הפחתה7[[#This Row],[יתרת פתיחה]]-הפחתה7[[#This Row],[קרן]]+הפחתה7[[#This Row],[מדד]])</f>
        <v>0</v>
      </c>
      <c r="AB334" s="11">
        <f ca="1">IF(הפחתה7[[#This Row],[יתרת
סגירה]]&gt;0,LastRow3-ROW(),0)</f>
        <v>0</v>
      </c>
      <c r="AC334" s="17">
        <f>ROWS($AC$4:AC334)</f>
        <v>331</v>
      </c>
      <c r="AD334" s="18" t="str">
        <f ca="1">IF(ValuesEntered4,IF(הפחתה8[[#This Row],[מס'']]&lt;=תקופת_ההלוואה4,IF(ROW()-ROW(הפחתה8[[#Headers],[תאריך]])=1,LoanStart4,IF(AJ333&gt;0,EDATE(AD333,1),"")),""),"")</f>
        <v/>
      </c>
      <c r="AE334" s="19">
        <f ca="1">IF(ROW()-ROW(הפחתה8[[#Headers],[יתרת פתיחה]])=1,סכום_הלוואה4,IF(הפחתה8[[#This Row],[תאריך]]="",0,INDEX(הפחתה8[], ROW()-4,8)))</f>
        <v>0</v>
      </c>
      <c r="AF334" s="19">
        <f ca="1">IF(ValuesEntered4,IF(ROW()-ROW(הפחתה8[[#Headers],[ריבית]])=1,-IPMT(שיעור_ריבית4/12,1,תקופת_ההלוואה4-ROWS($C$4:AD334)+1,הפחתה8[[#This Row],[יתרת פתיחה]]),IFERROR(-IPMT(שיעור_ריבית4/12,1,הפחתה8[[#This Row],[תשלומים
שנותרו]],AE335),0)),0)</f>
        <v>0</v>
      </c>
      <c r="AG334" s="19" t="str">
        <f ca="1">IFERROR(IF(AND(ValuesEntered4,הפחתה8[[#This Row],[תאריך]]&lt;&gt;""),-PPMT(שיעור_ריבית4/12,1,תקופת_ההלוואה4-ROWS($C$4:AD334)+1,הפחתה8[[#This Row],[יתרת פתיחה]]),""),0)</f>
        <v/>
      </c>
      <c r="AH334" s="19">
        <f ca="1">(הפחתה8[[#This Row],[יתרת פתיחה]])*(מדד4/12)</f>
        <v>0</v>
      </c>
      <c r="AI334" s="19">
        <f ca="1">IF(הפחתה8[[#This Row],[תאריך]]="",0,הפחתה8[[#This Row],[ריבית]]+הפחתה8[[#This Row],[קרן]]+הפחתה8[[#This Row],[מדד]])</f>
        <v>0</v>
      </c>
      <c r="AJ334" s="19">
        <f ca="1">IF(הפחתה8[[#This Row],[תאריך]]="",0,הפחתה8[[#This Row],[יתרת פתיחה]]-הפחתה8[[#This Row],[קרן]])</f>
        <v>0</v>
      </c>
      <c r="AK334" s="20">
        <f ca="1">IF(הפחתה8[[#This Row],[יתרת
סגירה]]&gt;0,LastRow4-ROW(),0)</f>
        <v>0</v>
      </c>
    </row>
    <row r="335" spans="1:37" ht="15" customHeight="1" x14ac:dyDescent="0.25">
      <c r="A335" s="8"/>
      <c r="B335" s="11">
        <f>ROWS($B$4:B335)</f>
        <v>332</v>
      </c>
      <c r="C335" s="12">
        <f>IF(ValuesEntered,IF(הפחתה[[#This Row],[מס'']]&lt;=תקופת_ההלוואה,IF(ROW()-ROW(הפחתה[[#Headers],[תאריך]])=1,LoanStart,IF(I334&gt;0,EDATE(C334,1),"")),""),"")</f>
        <v>55458</v>
      </c>
      <c r="D335" s="13">
        <f>IF(ROW()-ROW(הפחתה[[#Headers],[יתרת פתיחה]])=1,סכום_הלוואה,IF(הפחתה[[#This Row],[תאריך]]="",0,INDEX(הפחתה[], ROW()-4,8)))</f>
        <v>90503.853191634291</v>
      </c>
      <c r="E335" s="13">
        <f>IF(ValuesEntered,IF(ROW()-ROW(הפחתה[[#Headers],[ריבית]])=1,-IPMT(שיעור_ריבית/12,1,תקופת_ההלוואה-ROWS($C$4:C335)+1,הפחתה[[#This Row],[יתרת פתיחה]]),IFERROR(-IPMT(שיעור_ריבית/12,1,הפחתה[[#This Row],[תשלומים
שנותרו]],D336),0)),0)</f>
        <v>386.77523194406746</v>
      </c>
      <c r="F335" s="13">
        <f>IFERROR(IF(AND(ValuesEntered,הפחתה[[#This Row],[תאריך]]&lt;&gt;""),-PPMT(שיעור_ריבית/12,1,תקופת_ההלוואה-ROWS($C$4:C335)+1,הפחתה[[#This Row],[יתרת פתיחה]]),""),0)</f>
        <v>2932.1025627888339</v>
      </c>
      <c r="G335" s="13">
        <f>(הפחתה[[#This Row],[יתרת פתיחה]])*(מדד/12)</f>
        <v>0</v>
      </c>
      <c r="H335" s="13">
        <f>IF(הפחתה[[#This Row],[תאריך]]="",0,הפחתה[[#This Row],[ריבית]]+הפחתה[[#This Row],[קרן]]+הפחתה[[#This Row],[מדד]])</f>
        <v>3318.8777947329013</v>
      </c>
      <c r="I335" s="13">
        <f>IF(הפחתה[[#This Row],[תאריך]]="",0,הפחתה[[#This Row],[יתרת פתיחה]]-הפחתה[[#This Row],[קרן]]+הפחתה[[#This Row],[מדד]])</f>
        <v>87571.750628845461</v>
      </c>
      <c r="J335" s="11">
        <f>IF(הפחתה[[#This Row],[יתרת
סגירה]]&gt;0,LastRow-ROW(),0)</f>
        <v>28</v>
      </c>
      <c r="K335" s="11">
        <f>ROWS($K$4:K335)</f>
        <v>332</v>
      </c>
      <c r="L335" s="12" t="str">
        <f>IF(ValuesEntered2,IF(הפחתה5[[#This Row],[מס'']]&lt;=תקופת_ההלוואה2,IF(ROW()-ROW(הפחתה5[[#Headers],[תאריך]])=1,LoanStart2,IF(R334&gt;0,EDATE(L334,1),"")),""),"")</f>
        <v/>
      </c>
      <c r="M335" s="13">
        <f>IF(ROW()-ROW(הפחתה5[[#Headers],[יתרת פתיחה]])=1,סכום_הלוואה2,IF(הפחתה5[[#This Row],[תאריך]]="",0,INDEX(הפחתה5[], ROW()-4,8)))</f>
        <v>0</v>
      </c>
      <c r="N335" s="13">
        <f>IF(ValuesEntered2,IF(ROW()-ROW(הפחתה5[[#Headers],[ריבית]])=1,-IPMT(שיעור_ריבית2/12,1,תקופת_ההלוואה2-ROWS($L$4:L335)+1,הפחתה5[[#This Row],[יתרת פתיחה]]),IFERROR(-IPMT(שיעור_ריבית2/12,1,הפחתה5[[#This Row],[תשלומים
שנותרו]],M336),0)),0)</f>
        <v>0</v>
      </c>
      <c r="O335" s="13" t="str">
        <f>IFERROR(IF(AND(ValuesEntered2,הפחתה5[[#This Row],[תאריך]]&lt;&gt;""),-PPMT(שיעור_ריבית2/12,1,תקופת_ההלוואה2-ROWS($L$4:L335)+1,הפחתה5[[#This Row],[יתרת פתיחה]]),""),0)</f>
        <v/>
      </c>
      <c r="P335" s="13">
        <f>(הפחתה5[[#This Row],[יתרת פתיחה]])*(מדד2/12)</f>
        <v>0</v>
      </c>
      <c r="Q335" s="13">
        <f>IF(הפחתה5[[#This Row],[תאריך]]="",0,הפחתה5[[#This Row],[ריבית]]+הפחתה5[[#This Row],[קרן]]+הפחתה5[[#This Row],[מדד]])</f>
        <v>0</v>
      </c>
      <c r="R335" s="13">
        <f>IF(הפחתה5[[#This Row],[תאריך]]="",0,הפחתה5[[#This Row],[יתרת פתיחה]]-הפחתה5[[#This Row],[קרן]]+הפחתה5[[#This Row],[מדד]])</f>
        <v>0</v>
      </c>
      <c r="S335" s="11">
        <f>IF(הפחתה5[[#This Row],[יתרת
סגירה]]&gt;0,LastRow2-ROW(),0)</f>
        <v>0</v>
      </c>
      <c r="T335" s="11">
        <f>ROWS($T$4:T335)</f>
        <v>332</v>
      </c>
      <c r="U335" s="12" t="str">
        <f ca="1">IF(ValuesEntered3,IF(הפחתה7[[#This Row],[מס'']]&lt;=תקופת_ההלוואה3,IF(ROW()-ROW(הפחתה7[[#Headers],[תאריך]])=1,LoanStart3,IF(AA334&gt;0,EDATE(U334,1),"")),""),"")</f>
        <v/>
      </c>
      <c r="V335" s="13">
        <f ca="1">IF(ROW()-ROW(הפחתה7[[#Headers],[יתרת פתיחה]])=1,סכום_הלוואה3,IF(הפחתה7[[#This Row],[תאריך]]="",0,INDEX(הפחתה7[], ROW()-4,8)))</f>
        <v>0</v>
      </c>
      <c r="W335" s="13">
        <f ca="1">IF(ValuesEntered3,IF(ROW()-ROW(הפחתה7[[#Headers],[ריבית]])=1,-IPMT(שיעור_ריבית3/12,1,תקופת_ההלוואה3-ROWS($C$4:U335)+1,הפחתה7[[#This Row],[יתרת פתיחה]]),IFERROR(-IPMT(שיעור_ריבית3/12,1,הפחתה7[[#This Row],[תשלומים
שנותרו]],V336),0)),0)</f>
        <v>0</v>
      </c>
      <c r="X335" s="13" t="str">
        <f ca="1">IFERROR(IF(AND(ValuesEntered3,הפחתה7[[#This Row],[תאריך]]&lt;&gt;""),-PPMT(שיעור_ריבית3/12,1,תקופת_ההלוואה3-ROWS($C$4:U335)+1,הפחתה7[[#This Row],[יתרת פתיחה]]),""),0)</f>
        <v/>
      </c>
      <c r="Y335" s="13">
        <f ca="1">(הפחתה7[[#This Row],[יתרת פתיחה]])*(מדד3/12)</f>
        <v>0</v>
      </c>
      <c r="Z335" s="13">
        <f ca="1">IF(הפחתה7[[#This Row],[תאריך]]="",0,הפחתה7[[#This Row],[ריבית]]+הפחתה7[[#This Row],[קרן]]+הפחתה7[[#This Row],[מדד]])</f>
        <v>0</v>
      </c>
      <c r="AA335" s="13">
        <f ca="1">IF(הפחתה7[[#This Row],[תאריך]]="",0,הפחתה7[[#This Row],[יתרת פתיחה]]-הפחתה7[[#This Row],[קרן]]+הפחתה7[[#This Row],[מדד]])</f>
        <v>0</v>
      </c>
      <c r="AB335" s="11">
        <f ca="1">IF(הפחתה7[[#This Row],[יתרת
סגירה]]&gt;0,LastRow3-ROW(),0)</f>
        <v>0</v>
      </c>
      <c r="AC335" s="17">
        <f>ROWS($AC$4:AC335)</f>
        <v>332</v>
      </c>
      <c r="AD335" s="18" t="str">
        <f ca="1">IF(ValuesEntered4,IF(הפחתה8[[#This Row],[מס'']]&lt;=תקופת_ההלוואה4,IF(ROW()-ROW(הפחתה8[[#Headers],[תאריך]])=1,LoanStart4,IF(AJ334&gt;0,EDATE(AD334,1),"")),""),"")</f>
        <v/>
      </c>
      <c r="AE335" s="19">
        <f ca="1">IF(ROW()-ROW(הפחתה8[[#Headers],[יתרת פתיחה]])=1,סכום_הלוואה4,IF(הפחתה8[[#This Row],[תאריך]]="",0,INDEX(הפחתה8[], ROW()-4,8)))</f>
        <v>0</v>
      </c>
      <c r="AF335" s="19">
        <f ca="1">IF(ValuesEntered4,IF(ROW()-ROW(הפחתה8[[#Headers],[ריבית]])=1,-IPMT(שיעור_ריבית4/12,1,תקופת_ההלוואה4-ROWS($C$4:AD335)+1,הפחתה8[[#This Row],[יתרת פתיחה]]),IFERROR(-IPMT(שיעור_ריבית4/12,1,הפחתה8[[#This Row],[תשלומים
שנותרו]],AE336),0)),0)</f>
        <v>0</v>
      </c>
      <c r="AG335" s="19" t="str">
        <f ca="1">IFERROR(IF(AND(ValuesEntered4,הפחתה8[[#This Row],[תאריך]]&lt;&gt;""),-PPMT(שיעור_ריבית4/12,1,תקופת_ההלוואה4-ROWS($C$4:AD335)+1,הפחתה8[[#This Row],[יתרת פתיחה]]),""),0)</f>
        <v/>
      </c>
      <c r="AH335" s="19">
        <f ca="1">(הפחתה8[[#This Row],[יתרת פתיחה]])*(מדד4/12)</f>
        <v>0</v>
      </c>
      <c r="AI335" s="19">
        <f ca="1">IF(הפחתה8[[#This Row],[תאריך]]="",0,הפחתה8[[#This Row],[ריבית]]+הפחתה8[[#This Row],[קרן]]+הפחתה8[[#This Row],[מדד]])</f>
        <v>0</v>
      </c>
      <c r="AJ335" s="19">
        <f ca="1">IF(הפחתה8[[#This Row],[תאריך]]="",0,הפחתה8[[#This Row],[יתרת פתיחה]]-הפחתה8[[#This Row],[קרן]])</f>
        <v>0</v>
      </c>
      <c r="AK335" s="20">
        <f ca="1">IF(הפחתה8[[#This Row],[יתרת
סגירה]]&gt;0,LastRow4-ROW(),0)</f>
        <v>0</v>
      </c>
    </row>
    <row r="336" spans="1:37" ht="15" customHeight="1" x14ac:dyDescent="0.25">
      <c r="A336" s="8"/>
      <c r="B336" s="11">
        <f>ROWS($B$4:B336)</f>
        <v>333</v>
      </c>
      <c r="C336" s="12">
        <f>IF(ValuesEntered,IF(הפחתה[[#This Row],[מס'']]&lt;=תקופת_ההלוואה,IF(ROW()-ROW(הפחתה[[#Headers],[תאריך]])=1,LoanStart,IF(I335&gt;0,EDATE(C335,1),"")),""),"")</f>
        <v>55488</v>
      </c>
      <c r="D336" s="13">
        <f>IF(ROW()-ROW(הפחתה[[#Headers],[יתרת פתיחה]])=1,סכום_הלוואה,IF(הפחתה[[#This Row],[תאריך]]="",0,INDEX(הפחתה[], ROW()-4,8)))</f>
        <v>87571.750628845461</v>
      </c>
      <c r="E336" s="13">
        <f>IF(ValuesEntered,IF(ROW()-ROW(הפחתה[[#Headers],[ריבית]])=1,-IPMT(שיעור_ריבית/12,1,תקופת_ההלוואה-ROWS($C$4:C336)+1,הפחתה[[#This Row],[יתרת פתיחה]]),IFERROR(-IPMT(שיעור_ריבית/12,1,הפחתה[[#This Row],[תשלומים
שנותרו]],D337),0)),0)</f>
        <v>373.76791592995238</v>
      </c>
      <c r="F336" s="13">
        <f>IFERROR(IF(AND(ValuesEntered,הפחתה[[#This Row],[תאריך]]&lt;&gt;""),-PPMT(שיעור_ריבית/12,1,תקופת_ההלוואה-ROWS($C$4:C336)+1,הפחתה[[#This Row],[יתרת פתיחה]]),""),0)</f>
        <v>2945.0526824411522</v>
      </c>
      <c r="G336" s="13">
        <f>(הפחתה[[#This Row],[יתרת פתיחה]])*(מדד/12)</f>
        <v>0</v>
      </c>
      <c r="H336" s="13">
        <f>IF(הפחתה[[#This Row],[תאריך]]="",0,הפחתה[[#This Row],[ריבית]]+הפחתה[[#This Row],[קרן]]+הפחתה[[#This Row],[מדד]])</f>
        <v>3318.8205983711046</v>
      </c>
      <c r="I336" s="13">
        <f>IF(הפחתה[[#This Row],[תאריך]]="",0,הפחתה[[#This Row],[יתרת פתיחה]]-הפחתה[[#This Row],[קרן]]+הפחתה[[#This Row],[מדד]])</f>
        <v>84626.697946404311</v>
      </c>
      <c r="J336" s="11">
        <f>IF(הפחתה[[#This Row],[יתרת
סגירה]]&gt;0,LastRow-ROW(),0)</f>
        <v>27</v>
      </c>
      <c r="K336" s="11">
        <f>ROWS($K$4:K336)</f>
        <v>333</v>
      </c>
      <c r="L336" s="12" t="str">
        <f>IF(ValuesEntered2,IF(הפחתה5[[#This Row],[מס'']]&lt;=תקופת_ההלוואה2,IF(ROW()-ROW(הפחתה5[[#Headers],[תאריך]])=1,LoanStart2,IF(R335&gt;0,EDATE(L335,1),"")),""),"")</f>
        <v/>
      </c>
      <c r="M336" s="13">
        <f>IF(ROW()-ROW(הפחתה5[[#Headers],[יתרת פתיחה]])=1,סכום_הלוואה2,IF(הפחתה5[[#This Row],[תאריך]]="",0,INDEX(הפחתה5[], ROW()-4,8)))</f>
        <v>0</v>
      </c>
      <c r="N336" s="13">
        <f>IF(ValuesEntered2,IF(ROW()-ROW(הפחתה5[[#Headers],[ריבית]])=1,-IPMT(שיעור_ריבית2/12,1,תקופת_ההלוואה2-ROWS($L$4:L336)+1,הפחתה5[[#This Row],[יתרת פתיחה]]),IFERROR(-IPMT(שיעור_ריבית2/12,1,הפחתה5[[#This Row],[תשלומים
שנותרו]],M337),0)),0)</f>
        <v>0</v>
      </c>
      <c r="O336" s="13" t="str">
        <f>IFERROR(IF(AND(ValuesEntered2,הפחתה5[[#This Row],[תאריך]]&lt;&gt;""),-PPMT(שיעור_ריבית2/12,1,תקופת_ההלוואה2-ROWS($L$4:L336)+1,הפחתה5[[#This Row],[יתרת פתיחה]]),""),0)</f>
        <v/>
      </c>
      <c r="P336" s="13">
        <f>(הפחתה5[[#This Row],[יתרת פתיחה]])*(מדד2/12)</f>
        <v>0</v>
      </c>
      <c r="Q336" s="13">
        <f>IF(הפחתה5[[#This Row],[תאריך]]="",0,הפחתה5[[#This Row],[ריבית]]+הפחתה5[[#This Row],[קרן]]+הפחתה5[[#This Row],[מדד]])</f>
        <v>0</v>
      </c>
      <c r="R336" s="13">
        <f>IF(הפחתה5[[#This Row],[תאריך]]="",0,הפחתה5[[#This Row],[יתרת פתיחה]]-הפחתה5[[#This Row],[קרן]]+הפחתה5[[#This Row],[מדד]])</f>
        <v>0</v>
      </c>
      <c r="S336" s="11">
        <f>IF(הפחתה5[[#This Row],[יתרת
סגירה]]&gt;0,LastRow2-ROW(),0)</f>
        <v>0</v>
      </c>
      <c r="T336" s="11">
        <f>ROWS($T$4:T336)</f>
        <v>333</v>
      </c>
      <c r="U336" s="12" t="str">
        <f ca="1">IF(ValuesEntered3,IF(הפחתה7[[#This Row],[מס'']]&lt;=תקופת_ההלוואה3,IF(ROW()-ROW(הפחתה7[[#Headers],[תאריך]])=1,LoanStart3,IF(AA335&gt;0,EDATE(U335,1),"")),""),"")</f>
        <v/>
      </c>
      <c r="V336" s="13">
        <f ca="1">IF(ROW()-ROW(הפחתה7[[#Headers],[יתרת פתיחה]])=1,סכום_הלוואה3,IF(הפחתה7[[#This Row],[תאריך]]="",0,INDEX(הפחתה7[], ROW()-4,8)))</f>
        <v>0</v>
      </c>
      <c r="W336" s="13">
        <f ca="1">IF(ValuesEntered3,IF(ROW()-ROW(הפחתה7[[#Headers],[ריבית]])=1,-IPMT(שיעור_ריבית3/12,1,תקופת_ההלוואה3-ROWS($C$4:U336)+1,הפחתה7[[#This Row],[יתרת פתיחה]]),IFERROR(-IPMT(שיעור_ריבית3/12,1,הפחתה7[[#This Row],[תשלומים
שנותרו]],V337),0)),0)</f>
        <v>0</v>
      </c>
      <c r="X336" s="13" t="str">
        <f ca="1">IFERROR(IF(AND(ValuesEntered3,הפחתה7[[#This Row],[תאריך]]&lt;&gt;""),-PPMT(שיעור_ריבית3/12,1,תקופת_ההלוואה3-ROWS($C$4:U336)+1,הפחתה7[[#This Row],[יתרת פתיחה]]),""),0)</f>
        <v/>
      </c>
      <c r="Y336" s="13">
        <f ca="1">(הפחתה7[[#This Row],[יתרת פתיחה]])*(מדד3/12)</f>
        <v>0</v>
      </c>
      <c r="Z336" s="13">
        <f ca="1">IF(הפחתה7[[#This Row],[תאריך]]="",0,הפחתה7[[#This Row],[ריבית]]+הפחתה7[[#This Row],[קרן]]+הפחתה7[[#This Row],[מדד]])</f>
        <v>0</v>
      </c>
      <c r="AA336" s="13">
        <f ca="1">IF(הפחתה7[[#This Row],[תאריך]]="",0,הפחתה7[[#This Row],[יתרת פתיחה]]-הפחתה7[[#This Row],[קרן]]+הפחתה7[[#This Row],[מדד]])</f>
        <v>0</v>
      </c>
      <c r="AB336" s="11">
        <f ca="1">IF(הפחתה7[[#This Row],[יתרת
סגירה]]&gt;0,LastRow3-ROW(),0)</f>
        <v>0</v>
      </c>
      <c r="AC336" s="17">
        <f>ROWS($AC$4:AC336)</f>
        <v>333</v>
      </c>
      <c r="AD336" s="18" t="str">
        <f ca="1">IF(ValuesEntered4,IF(הפחתה8[[#This Row],[מס'']]&lt;=תקופת_ההלוואה4,IF(ROW()-ROW(הפחתה8[[#Headers],[תאריך]])=1,LoanStart4,IF(AJ335&gt;0,EDATE(AD335,1),"")),""),"")</f>
        <v/>
      </c>
      <c r="AE336" s="19">
        <f ca="1">IF(ROW()-ROW(הפחתה8[[#Headers],[יתרת פתיחה]])=1,סכום_הלוואה4,IF(הפחתה8[[#This Row],[תאריך]]="",0,INDEX(הפחתה8[], ROW()-4,8)))</f>
        <v>0</v>
      </c>
      <c r="AF336" s="19">
        <f ca="1">IF(ValuesEntered4,IF(ROW()-ROW(הפחתה8[[#Headers],[ריבית]])=1,-IPMT(שיעור_ריבית4/12,1,תקופת_ההלוואה4-ROWS($C$4:AD336)+1,הפחתה8[[#This Row],[יתרת פתיחה]]),IFERROR(-IPMT(שיעור_ריבית4/12,1,הפחתה8[[#This Row],[תשלומים
שנותרו]],AE337),0)),0)</f>
        <v>0</v>
      </c>
      <c r="AG336" s="19" t="str">
        <f ca="1">IFERROR(IF(AND(ValuesEntered4,הפחתה8[[#This Row],[תאריך]]&lt;&gt;""),-PPMT(שיעור_ריבית4/12,1,תקופת_ההלוואה4-ROWS($C$4:AD336)+1,הפחתה8[[#This Row],[יתרת פתיחה]]),""),0)</f>
        <v/>
      </c>
      <c r="AH336" s="19">
        <f ca="1">(הפחתה8[[#This Row],[יתרת פתיחה]])*(מדד4/12)</f>
        <v>0</v>
      </c>
      <c r="AI336" s="19">
        <f ca="1">IF(הפחתה8[[#This Row],[תאריך]]="",0,הפחתה8[[#This Row],[ריבית]]+הפחתה8[[#This Row],[קרן]]+הפחתה8[[#This Row],[מדד]])</f>
        <v>0</v>
      </c>
      <c r="AJ336" s="19">
        <f ca="1">IF(הפחתה8[[#This Row],[תאריך]]="",0,הפחתה8[[#This Row],[יתרת פתיחה]]-הפחתה8[[#This Row],[קרן]])</f>
        <v>0</v>
      </c>
      <c r="AK336" s="20">
        <f ca="1">IF(הפחתה8[[#This Row],[יתרת
סגירה]]&gt;0,LastRow4-ROW(),0)</f>
        <v>0</v>
      </c>
    </row>
    <row r="337" spans="1:37" ht="15" customHeight="1" x14ac:dyDescent="0.25">
      <c r="A337" s="8"/>
      <c r="B337" s="11">
        <f>ROWS($B$4:B337)</f>
        <v>334</v>
      </c>
      <c r="C337" s="12">
        <f>IF(ValuesEntered,IF(הפחתה[[#This Row],[מס'']]&lt;=תקופת_ההלוואה,IF(ROW()-ROW(הפחתה[[#Headers],[תאריך]])=1,LoanStart,IF(I336&gt;0,EDATE(C336,1),"")),""),"")</f>
        <v>55519</v>
      </c>
      <c r="D337" s="13">
        <f>IF(ROW()-ROW(הפחתה[[#Headers],[יתרת פתיחה]])=1,סכום_הלוואה,IF(הפחתה[[#This Row],[תאריך]]="",0,INDEX(הפחתה[], ROW()-4,8)))</f>
        <v>84626.697946404311</v>
      </c>
      <c r="E337" s="13">
        <f>IF(ValuesEntered,IF(ROW()-ROW(הפחתה[[#Headers],[ריבית]])=1,-IPMT(שיעור_ריבית/12,1,תקופת_ההלוואה-ROWS($C$4:C337)+1,הפחתה[[#This Row],[יתרת פתיחה]]),IFERROR(-IPMT(שיעור_ריבית/12,1,הפחתה[[#This Row],[תשלומים
שנותרו]],D338),0)),0)</f>
        <v>360.70315093677493</v>
      </c>
      <c r="F337" s="13">
        <f>IFERROR(IF(AND(ValuesEntered,הפחתה[[#This Row],[תאריך]]&lt;&gt;""),-PPMT(שיעור_ריבית/12,1,תקופת_ההלוואה-ROWS($C$4:C337)+1,הפחתה[[#This Row],[יתרת פתיחה]]),""),0)</f>
        <v>2958.0599984552673</v>
      </c>
      <c r="G337" s="13">
        <f>(הפחתה[[#This Row],[יתרת פתיחה]])*(מדד/12)</f>
        <v>0</v>
      </c>
      <c r="H337" s="13">
        <f>IF(הפחתה[[#This Row],[תאריך]]="",0,הפחתה[[#This Row],[ריבית]]+הפחתה[[#This Row],[קרן]]+הפחתה[[#This Row],[מדד]])</f>
        <v>3318.7631493920421</v>
      </c>
      <c r="I337" s="13">
        <f>IF(הפחתה[[#This Row],[תאריך]]="",0,הפחתה[[#This Row],[יתרת פתיחה]]-הפחתה[[#This Row],[קרן]]+הפחתה[[#This Row],[מדד]])</f>
        <v>81668.637947949042</v>
      </c>
      <c r="J337" s="11">
        <f>IF(הפחתה[[#This Row],[יתרת
סגירה]]&gt;0,LastRow-ROW(),0)</f>
        <v>26</v>
      </c>
      <c r="K337" s="11">
        <f>ROWS($K$4:K337)</f>
        <v>334</v>
      </c>
      <c r="L337" s="12" t="str">
        <f>IF(ValuesEntered2,IF(הפחתה5[[#This Row],[מס'']]&lt;=תקופת_ההלוואה2,IF(ROW()-ROW(הפחתה5[[#Headers],[תאריך]])=1,LoanStart2,IF(R336&gt;0,EDATE(L336,1),"")),""),"")</f>
        <v/>
      </c>
      <c r="M337" s="13">
        <f>IF(ROW()-ROW(הפחתה5[[#Headers],[יתרת פתיחה]])=1,סכום_הלוואה2,IF(הפחתה5[[#This Row],[תאריך]]="",0,INDEX(הפחתה5[], ROW()-4,8)))</f>
        <v>0</v>
      </c>
      <c r="N337" s="13">
        <f>IF(ValuesEntered2,IF(ROW()-ROW(הפחתה5[[#Headers],[ריבית]])=1,-IPMT(שיעור_ריבית2/12,1,תקופת_ההלוואה2-ROWS($L$4:L337)+1,הפחתה5[[#This Row],[יתרת פתיחה]]),IFERROR(-IPMT(שיעור_ריבית2/12,1,הפחתה5[[#This Row],[תשלומים
שנותרו]],M338),0)),0)</f>
        <v>0</v>
      </c>
      <c r="O337" s="13" t="str">
        <f>IFERROR(IF(AND(ValuesEntered2,הפחתה5[[#This Row],[תאריך]]&lt;&gt;""),-PPMT(שיעור_ריבית2/12,1,תקופת_ההלוואה2-ROWS($L$4:L337)+1,הפחתה5[[#This Row],[יתרת פתיחה]]),""),0)</f>
        <v/>
      </c>
      <c r="P337" s="13">
        <f>(הפחתה5[[#This Row],[יתרת פתיחה]])*(מדד2/12)</f>
        <v>0</v>
      </c>
      <c r="Q337" s="13">
        <f>IF(הפחתה5[[#This Row],[תאריך]]="",0,הפחתה5[[#This Row],[ריבית]]+הפחתה5[[#This Row],[קרן]]+הפחתה5[[#This Row],[מדד]])</f>
        <v>0</v>
      </c>
      <c r="R337" s="13">
        <f>IF(הפחתה5[[#This Row],[תאריך]]="",0,הפחתה5[[#This Row],[יתרת פתיחה]]-הפחתה5[[#This Row],[קרן]]+הפחתה5[[#This Row],[מדד]])</f>
        <v>0</v>
      </c>
      <c r="S337" s="11">
        <f>IF(הפחתה5[[#This Row],[יתרת
סגירה]]&gt;0,LastRow2-ROW(),0)</f>
        <v>0</v>
      </c>
      <c r="T337" s="11">
        <f>ROWS($T$4:T337)</f>
        <v>334</v>
      </c>
      <c r="U337" s="12" t="str">
        <f ca="1">IF(ValuesEntered3,IF(הפחתה7[[#This Row],[מס'']]&lt;=תקופת_ההלוואה3,IF(ROW()-ROW(הפחתה7[[#Headers],[תאריך]])=1,LoanStart3,IF(AA336&gt;0,EDATE(U336,1),"")),""),"")</f>
        <v/>
      </c>
      <c r="V337" s="13">
        <f ca="1">IF(ROW()-ROW(הפחתה7[[#Headers],[יתרת פתיחה]])=1,סכום_הלוואה3,IF(הפחתה7[[#This Row],[תאריך]]="",0,INDEX(הפחתה7[], ROW()-4,8)))</f>
        <v>0</v>
      </c>
      <c r="W337" s="13">
        <f ca="1">IF(ValuesEntered3,IF(ROW()-ROW(הפחתה7[[#Headers],[ריבית]])=1,-IPMT(שיעור_ריבית3/12,1,תקופת_ההלוואה3-ROWS($C$4:U337)+1,הפחתה7[[#This Row],[יתרת פתיחה]]),IFERROR(-IPMT(שיעור_ריבית3/12,1,הפחתה7[[#This Row],[תשלומים
שנותרו]],V338),0)),0)</f>
        <v>0</v>
      </c>
      <c r="X337" s="13" t="str">
        <f ca="1">IFERROR(IF(AND(ValuesEntered3,הפחתה7[[#This Row],[תאריך]]&lt;&gt;""),-PPMT(שיעור_ריבית3/12,1,תקופת_ההלוואה3-ROWS($C$4:U337)+1,הפחתה7[[#This Row],[יתרת פתיחה]]),""),0)</f>
        <v/>
      </c>
      <c r="Y337" s="13">
        <f ca="1">(הפחתה7[[#This Row],[יתרת פתיחה]])*(מדד3/12)</f>
        <v>0</v>
      </c>
      <c r="Z337" s="13">
        <f ca="1">IF(הפחתה7[[#This Row],[תאריך]]="",0,הפחתה7[[#This Row],[ריבית]]+הפחתה7[[#This Row],[קרן]]+הפחתה7[[#This Row],[מדד]])</f>
        <v>0</v>
      </c>
      <c r="AA337" s="13">
        <f ca="1">IF(הפחתה7[[#This Row],[תאריך]]="",0,הפחתה7[[#This Row],[יתרת פתיחה]]-הפחתה7[[#This Row],[קרן]]+הפחתה7[[#This Row],[מדד]])</f>
        <v>0</v>
      </c>
      <c r="AB337" s="11">
        <f ca="1">IF(הפחתה7[[#This Row],[יתרת
סגירה]]&gt;0,LastRow3-ROW(),0)</f>
        <v>0</v>
      </c>
      <c r="AC337" s="17">
        <f>ROWS($AC$4:AC337)</f>
        <v>334</v>
      </c>
      <c r="AD337" s="18" t="str">
        <f ca="1">IF(ValuesEntered4,IF(הפחתה8[[#This Row],[מס'']]&lt;=תקופת_ההלוואה4,IF(ROW()-ROW(הפחתה8[[#Headers],[תאריך]])=1,LoanStart4,IF(AJ336&gt;0,EDATE(AD336,1),"")),""),"")</f>
        <v/>
      </c>
      <c r="AE337" s="19">
        <f ca="1">IF(ROW()-ROW(הפחתה8[[#Headers],[יתרת פתיחה]])=1,סכום_הלוואה4,IF(הפחתה8[[#This Row],[תאריך]]="",0,INDEX(הפחתה8[], ROW()-4,8)))</f>
        <v>0</v>
      </c>
      <c r="AF337" s="19">
        <f ca="1">IF(ValuesEntered4,IF(ROW()-ROW(הפחתה8[[#Headers],[ריבית]])=1,-IPMT(שיעור_ריבית4/12,1,תקופת_ההלוואה4-ROWS($C$4:AD337)+1,הפחתה8[[#This Row],[יתרת פתיחה]]),IFERROR(-IPMT(שיעור_ריבית4/12,1,הפחתה8[[#This Row],[תשלומים
שנותרו]],AE338),0)),0)</f>
        <v>0</v>
      </c>
      <c r="AG337" s="19" t="str">
        <f ca="1">IFERROR(IF(AND(ValuesEntered4,הפחתה8[[#This Row],[תאריך]]&lt;&gt;""),-PPMT(שיעור_ריבית4/12,1,תקופת_ההלוואה4-ROWS($C$4:AD337)+1,הפחתה8[[#This Row],[יתרת פתיחה]]),""),0)</f>
        <v/>
      </c>
      <c r="AH337" s="19">
        <f ca="1">(הפחתה8[[#This Row],[יתרת פתיחה]])*(מדד4/12)</f>
        <v>0</v>
      </c>
      <c r="AI337" s="19">
        <f ca="1">IF(הפחתה8[[#This Row],[תאריך]]="",0,הפחתה8[[#This Row],[ריבית]]+הפחתה8[[#This Row],[קרן]]+הפחתה8[[#This Row],[מדד]])</f>
        <v>0</v>
      </c>
      <c r="AJ337" s="19">
        <f ca="1">IF(הפחתה8[[#This Row],[תאריך]]="",0,הפחתה8[[#This Row],[יתרת פתיחה]]-הפחתה8[[#This Row],[קרן]])</f>
        <v>0</v>
      </c>
      <c r="AK337" s="20">
        <f ca="1">IF(הפחתה8[[#This Row],[יתרת
סגירה]]&gt;0,LastRow4-ROW(),0)</f>
        <v>0</v>
      </c>
    </row>
    <row r="338" spans="1:37" ht="15" customHeight="1" x14ac:dyDescent="0.25">
      <c r="A338" s="8"/>
      <c r="B338" s="11">
        <f>ROWS($B$4:B338)</f>
        <v>335</v>
      </c>
      <c r="C338" s="12">
        <f>IF(ValuesEntered,IF(הפחתה[[#This Row],[מס'']]&lt;=תקופת_ההלוואה,IF(ROW()-ROW(הפחתה[[#Headers],[תאריך]])=1,LoanStart,IF(I337&gt;0,EDATE(C337,1),"")),""),"")</f>
        <v>55550</v>
      </c>
      <c r="D338" s="13">
        <f>IF(ROW()-ROW(הפחתה[[#Headers],[יתרת פתיחה]])=1,סכום_הלוואה,IF(הפחתה[[#This Row],[תאריך]]="",0,INDEX(הפחתה[], ROW()-4,8)))</f>
        <v>81668.637947949042</v>
      </c>
      <c r="E338" s="13">
        <f>IF(ValuesEntered,IF(ROW()-ROW(הפחתה[[#Headers],[ריבית]])=1,-IPMT(שיעור_ריבית/12,1,תקופת_ההלוואה-ROWS($C$4:C338)+1,הפחתה[[#This Row],[יתרת פתיחה]]),IFERROR(-IPMT(שיעור_ריבית/12,1,הפחתה[[#This Row],[תשלומים
שנותרו]],D339),0)),0)</f>
        <v>347.5806832315443</v>
      </c>
      <c r="F338" s="13">
        <f>IFERROR(IF(AND(ValuesEntered,הפחתה[[#This Row],[תאריך]]&lt;&gt;""),-PPMT(שיעור_ריבית/12,1,תקופת_ההלוואה-ROWS($C$4:C338)+1,הפחתה[[#This Row],[יתרת פתיחה]]),""),0)</f>
        <v>2971.1247634484453</v>
      </c>
      <c r="G338" s="13">
        <f>(הפחתה[[#This Row],[יתרת פתיחה]])*(מדד/12)</f>
        <v>0</v>
      </c>
      <c r="H338" s="13">
        <f>IF(הפחתה[[#This Row],[תאריך]]="",0,הפחתה[[#This Row],[ריבית]]+הפחתה[[#This Row],[קרן]]+הפחתה[[#This Row],[מדד]])</f>
        <v>3318.7054466799896</v>
      </c>
      <c r="I338" s="13">
        <f>IF(הפחתה[[#This Row],[תאריך]]="",0,הפחתה[[#This Row],[יתרת פתיחה]]-הפחתה[[#This Row],[קרן]]+הפחתה[[#This Row],[מדד]])</f>
        <v>78697.513184500596</v>
      </c>
      <c r="J338" s="11">
        <f>IF(הפחתה[[#This Row],[יתרת
סגירה]]&gt;0,LastRow-ROW(),0)</f>
        <v>25</v>
      </c>
      <c r="K338" s="11">
        <f>ROWS($K$4:K338)</f>
        <v>335</v>
      </c>
      <c r="L338" s="12" t="str">
        <f>IF(ValuesEntered2,IF(הפחתה5[[#This Row],[מס'']]&lt;=תקופת_ההלוואה2,IF(ROW()-ROW(הפחתה5[[#Headers],[תאריך]])=1,LoanStart2,IF(R337&gt;0,EDATE(L337,1),"")),""),"")</f>
        <v/>
      </c>
      <c r="M338" s="13">
        <f>IF(ROW()-ROW(הפחתה5[[#Headers],[יתרת פתיחה]])=1,סכום_הלוואה2,IF(הפחתה5[[#This Row],[תאריך]]="",0,INDEX(הפחתה5[], ROW()-4,8)))</f>
        <v>0</v>
      </c>
      <c r="N338" s="13">
        <f>IF(ValuesEntered2,IF(ROW()-ROW(הפחתה5[[#Headers],[ריבית]])=1,-IPMT(שיעור_ריבית2/12,1,תקופת_ההלוואה2-ROWS($L$4:L338)+1,הפחתה5[[#This Row],[יתרת פתיחה]]),IFERROR(-IPMT(שיעור_ריבית2/12,1,הפחתה5[[#This Row],[תשלומים
שנותרו]],M339),0)),0)</f>
        <v>0</v>
      </c>
      <c r="O338" s="13" t="str">
        <f>IFERROR(IF(AND(ValuesEntered2,הפחתה5[[#This Row],[תאריך]]&lt;&gt;""),-PPMT(שיעור_ריבית2/12,1,תקופת_ההלוואה2-ROWS($L$4:L338)+1,הפחתה5[[#This Row],[יתרת פתיחה]]),""),0)</f>
        <v/>
      </c>
      <c r="P338" s="13">
        <f>(הפחתה5[[#This Row],[יתרת פתיחה]])*(מדד2/12)</f>
        <v>0</v>
      </c>
      <c r="Q338" s="13">
        <f>IF(הפחתה5[[#This Row],[תאריך]]="",0,הפחתה5[[#This Row],[ריבית]]+הפחתה5[[#This Row],[קרן]]+הפחתה5[[#This Row],[מדד]])</f>
        <v>0</v>
      </c>
      <c r="R338" s="13">
        <f>IF(הפחתה5[[#This Row],[תאריך]]="",0,הפחתה5[[#This Row],[יתרת פתיחה]]-הפחתה5[[#This Row],[קרן]]+הפחתה5[[#This Row],[מדד]])</f>
        <v>0</v>
      </c>
      <c r="S338" s="11">
        <f>IF(הפחתה5[[#This Row],[יתרת
סגירה]]&gt;0,LastRow2-ROW(),0)</f>
        <v>0</v>
      </c>
      <c r="T338" s="11">
        <f>ROWS($T$4:T338)</f>
        <v>335</v>
      </c>
      <c r="U338" s="12" t="str">
        <f ca="1">IF(ValuesEntered3,IF(הפחתה7[[#This Row],[מס'']]&lt;=תקופת_ההלוואה3,IF(ROW()-ROW(הפחתה7[[#Headers],[תאריך]])=1,LoanStart3,IF(AA337&gt;0,EDATE(U337,1),"")),""),"")</f>
        <v/>
      </c>
      <c r="V338" s="13">
        <f ca="1">IF(ROW()-ROW(הפחתה7[[#Headers],[יתרת פתיחה]])=1,סכום_הלוואה3,IF(הפחתה7[[#This Row],[תאריך]]="",0,INDEX(הפחתה7[], ROW()-4,8)))</f>
        <v>0</v>
      </c>
      <c r="W338" s="13">
        <f ca="1">IF(ValuesEntered3,IF(ROW()-ROW(הפחתה7[[#Headers],[ריבית]])=1,-IPMT(שיעור_ריבית3/12,1,תקופת_ההלוואה3-ROWS($C$4:U338)+1,הפחתה7[[#This Row],[יתרת פתיחה]]),IFERROR(-IPMT(שיעור_ריבית3/12,1,הפחתה7[[#This Row],[תשלומים
שנותרו]],V339),0)),0)</f>
        <v>0</v>
      </c>
      <c r="X338" s="13" t="str">
        <f ca="1">IFERROR(IF(AND(ValuesEntered3,הפחתה7[[#This Row],[תאריך]]&lt;&gt;""),-PPMT(שיעור_ריבית3/12,1,תקופת_ההלוואה3-ROWS($C$4:U338)+1,הפחתה7[[#This Row],[יתרת פתיחה]]),""),0)</f>
        <v/>
      </c>
      <c r="Y338" s="13">
        <f ca="1">(הפחתה7[[#This Row],[יתרת פתיחה]])*(מדד3/12)</f>
        <v>0</v>
      </c>
      <c r="Z338" s="13">
        <f ca="1">IF(הפחתה7[[#This Row],[תאריך]]="",0,הפחתה7[[#This Row],[ריבית]]+הפחתה7[[#This Row],[קרן]]+הפחתה7[[#This Row],[מדד]])</f>
        <v>0</v>
      </c>
      <c r="AA338" s="13">
        <f ca="1">IF(הפחתה7[[#This Row],[תאריך]]="",0,הפחתה7[[#This Row],[יתרת פתיחה]]-הפחתה7[[#This Row],[קרן]]+הפחתה7[[#This Row],[מדד]])</f>
        <v>0</v>
      </c>
      <c r="AB338" s="11">
        <f ca="1">IF(הפחתה7[[#This Row],[יתרת
סגירה]]&gt;0,LastRow3-ROW(),0)</f>
        <v>0</v>
      </c>
      <c r="AC338" s="17">
        <f>ROWS($AC$4:AC338)</f>
        <v>335</v>
      </c>
      <c r="AD338" s="18" t="str">
        <f ca="1">IF(ValuesEntered4,IF(הפחתה8[[#This Row],[מס'']]&lt;=תקופת_ההלוואה4,IF(ROW()-ROW(הפחתה8[[#Headers],[תאריך]])=1,LoanStart4,IF(AJ337&gt;0,EDATE(AD337,1),"")),""),"")</f>
        <v/>
      </c>
      <c r="AE338" s="19">
        <f ca="1">IF(ROW()-ROW(הפחתה8[[#Headers],[יתרת פתיחה]])=1,סכום_הלוואה4,IF(הפחתה8[[#This Row],[תאריך]]="",0,INDEX(הפחתה8[], ROW()-4,8)))</f>
        <v>0</v>
      </c>
      <c r="AF338" s="19">
        <f ca="1">IF(ValuesEntered4,IF(ROW()-ROW(הפחתה8[[#Headers],[ריבית]])=1,-IPMT(שיעור_ריבית4/12,1,תקופת_ההלוואה4-ROWS($C$4:AD338)+1,הפחתה8[[#This Row],[יתרת פתיחה]]),IFERROR(-IPMT(שיעור_ריבית4/12,1,הפחתה8[[#This Row],[תשלומים
שנותרו]],AE339),0)),0)</f>
        <v>0</v>
      </c>
      <c r="AG338" s="19" t="str">
        <f ca="1">IFERROR(IF(AND(ValuesEntered4,הפחתה8[[#This Row],[תאריך]]&lt;&gt;""),-PPMT(שיעור_ריבית4/12,1,תקופת_ההלוואה4-ROWS($C$4:AD338)+1,הפחתה8[[#This Row],[יתרת פתיחה]]),""),0)</f>
        <v/>
      </c>
      <c r="AH338" s="19">
        <f ca="1">(הפחתה8[[#This Row],[יתרת פתיחה]])*(מדד4/12)</f>
        <v>0</v>
      </c>
      <c r="AI338" s="19">
        <f ca="1">IF(הפחתה8[[#This Row],[תאריך]]="",0,הפחתה8[[#This Row],[ריבית]]+הפחתה8[[#This Row],[קרן]]+הפחתה8[[#This Row],[מדד]])</f>
        <v>0</v>
      </c>
      <c r="AJ338" s="19">
        <f ca="1">IF(הפחתה8[[#This Row],[תאריך]]="",0,הפחתה8[[#This Row],[יתרת פתיחה]]-הפחתה8[[#This Row],[קרן]])</f>
        <v>0</v>
      </c>
      <c r="AK338" s="20">
        <f ca="1">IF(הפחתה8[[#This Row],[יתרת
סגירה]]&gt;0,LastRow4-ROW(),0)</f>
        <v>0</v>
      </c>
    </row>
    <row r="339" spans="1:37" ht="15" customHeight="1" x14ac:dyDescent="0.25">
      <c r="A339" s="8"/>
      <c r="B339" s="11">
        <f>ROWS($B$4:B339)</f>
        <v>336</v>
      </c>
      <c r="C339" s="12">
        <f>IF(ValuesEntered,IF(הפחתה[[#This Row],[מס'']]&lt;=תקופת_ההלוואה,IF(ROW()-ROW(הפחתה[[#Headers],[תאריך]])=1,LoanStart,IF(I338&gt;0,EDATE(C338,1),"")),""),"")</f>
        <v>55579</v>
      </c>
      <c r="D339" s="13">
        <f>IF(ROW()-ROW(הפחתה[[#Headers],[יתרת פתיחה]])=1,סכום_הלוואה,IF(הפחתה[[#This Row],[תאריך]]="",0,INDEX(הפחתה[], ROW()-4,8)))</f>
        <v>78697.513184500596</v>
      </c>
      <c r="E339" s="13">
        <f>IF(ValuesEntered,IF(ROW()-ROW(הפחתה[[#Headers],[ריבית]])=1,-IPMT(שיעור_ריבית/12,1,תקופת_ההלוואה-ROWS($C$4:C339)+1,הפחתה[[#This Row],[יתרת פתיחה]]),IFERROR(-IPMT(שיעור_ריבית/12,1,הפחתה[[#This Row],[תשלומים
שנותרו]],D340),0)),0)</f>
        <v>334.40025796061559</v>
      </c>
      <c r="F339" s="13">
        <f>IFERROR(IF(AND(ValuesEntered,הפחתה[[#This Row],[תאריך]]&lt;&gt;""),-PPMT(שיעור_ריבית/12,1,תקופת_ההלוואה-ROWS($C$4:C339)+1,הפחתה[[#This Row],[יתרת פתיחה]]),""),0)</f>
        <v>2984.2472311536749</v>
      </c>
      <c r="G339" s="13">
        <f>(הפחתה[[#This Row],[יתרת פתיחה]])*(מדד/12)</f>
        <v>0</v>
      </c>
      <c r="H339" s="13">
        <f>IF(הפחתה[[#This Row],[תאריך]]="",0,הפחתה[[#This Row],[ריבית]]+הפחתה[[#This Row],[קרן]]+הפחתה[[#This Row],[מדד]])</f>
        <v>3318.6474891142907</v>
      </c>
      <c r="I339" s="13">
        <f>IF(הפחתה[[#This Row],[תאריך]]="",0,הפחתה[[#This Row],[יתרת פתיחה]]-הפחתה[[#This Row],[קרן]]+הפחתה[[#This Row],[מדד]])</f>
        <v>75713.265953346927</v>
      </c>
      <c r="J339" s="11">
        <f>IF(הפחתה[[#This Row],[יתרת
סגירה]]&gt;0,LastRow-ROW(),0)</f>
        <v>24</v>
      </c>
      <c r="K339" s="11">
        <f>ROWS($K$4:K339)</f>
        <v>336</v>
      </c>
      <c r="L339" s="12" t="str">
        <f>IF(ValuesEntered2,IF(הפחתה5[[#This Row],[מס'']]&lt;=תקופת_ההלוואה2,IF(ROW()-ROW(הפחתה5[[#Headers],[תאריך]])=1,LoanStart2,IF(R338&gt;0,EDATE(L338,1),"")),""),"")</f>
        <v/>
      </c>
      <c r="M339" s="13">
        <f>IF(ROW()-ROW(הפחתה5[[#Headers],[יתרת פתיחה]])=1,סכום_הלוואה2,IF(הפחתה5[[#This Row],[תאריך]]="",0,INDEX(הפחתה5[], ROW()-4,8)))</f>
        <v>0</v>
      </c>
      <c r="N339" s="13">
        <f>IF(ValuesEntered2,IF(ROW()-ROW(הפחתה5[[#Headers],[ריבית]])=1,-IPMT(שיעור_ריבית2/12,1,תקופת_ההלוואה2-ROWS($L$4:L339)+1,הפחתה5[[#This Row],[יתרת פתיחה]]),IFERROR(-IPMT(שיעור_ריבית2/12,1,הפחתה5[[#This Row],[תשלומים
שנותרו]],M340),0)),0)</f>
        <v>0</v>
      </c>
      <c r="O339" s="13" t="str">
        <f>IFERROR(IF(AND(ValuesEntered2,הפחתה5[[#This Row],[תאריך]]&lt;&gt;""),-PPMT(שיעור_ריבית2/12,1,תקופת_ההלוואה2-ROWS($L$4:L339)+1,הפחתה5[[#This Row],[יתרת פתיחה]]),""),0)</f>
        <v/>
      </c>
      <c r="P339" s="13">
        <f>(הפחתה5[[#This Row],[יתרת פתיחה]])*(מדד2/12)</f>
        <v>0</v>
      </c>
      <c r="Q339" s="13">
        <f>IF(הפחתה5[[#This Row],[תאריך]]="",0,הפחתה5[[#This Row],[ריבית]]+הפחתה5[[#This Row],[קרן]]+הפחתה5[[#This Row],[מדד]])</f>
        <v>0</v>
      </c>
      <c r="R339" s="13">
        <f>IF(הפחתה5[[#This Row],[תאריך]]="",0,הפחתה5[[#This Row],[יתרת פתיחה]]-הפחתה5[[#This Row],[קרן]]+הפחתה5[[#This Row],[מדד]])</f>
        <v>0</v>
      </c>
      <c r="S339" s="11">
        <f>IF(הפחתה5[[#This Row],[יתרת
סגירה]]&gt;0,LastRow2-ROW(),0)</f>
        <v>0</v>
      </c>
      <c r="T339" s="11">
        <f>ROWS($T$4:T339)</f>
        <v>336</v>
      </c>
      <c r="U339" s="12" t="str">
        <f ca="1">IF(ValuesEntered3,IF(הפחתה7[[#This Row],[מס'']]&lt;=תקופת_ההלוואה3,IF(ROW()-ROW(הפחתה7[[#Headers],[תאריך]])=1,LoanStart3,IF(AA338&gt;0,EDATE(U338,1),"")),""),"")</f>
        <v/>
      </c>
      <c r="V339" s="13">
        <f ca="1">IF(ROW()-ROW(הפחתה7[[#Headers],[יתרת פתיחה]])=1,סכום_הלוואה3,IF(הפחתה7[[#This Row],[תאריך]]="",0,INDEX(הפחתה7[], ROW()-4,8)))</f>
        <v>0</v>
      </c>
      <c r="W339" s="13">
        <f ca="1">IF(ValuesEntered3,IF(ROW()-ROW(הפחתה7[[#Headers],[ריבית]])=1,-IPMT(שיעור_ריבית3/12,1,תקופת_ההלוואה3-ROWS($C$4:U339)+1,הפחתה7[[#This Row],[יתרת פתיחה]]),IFERROR(-IPMT(שיעור_ריבית3/12,1,הפחתה7[[#This Row],[תשלומים
שנותרו]],V340),0)),0)</f>
        <v>0</v>
      </c>
      <c r="X339" s="13" t="str">
        <f ca="1">IFERROR(IF(AND(ValuesEntered3,הפחתה7[[#This Row],[תאריך]]&lt;&gt;""),-PPMT(שיעור_ריבית3/12,1,תקופת_ההלוואה3-ROWS($C$4:U339)+1,הפחתה7[[#This Row],[יתרת פתיחה]]),""),0)</f>
        <v/>
      </c>
      <c r="Y339" s="13">
        <f ca="1">(הפחתה7[[#This Row],[יתרת פתיחה]])*(מדד3/12)</f>
        <v>0</v>
      </c>
      <c r="Z339" s="13">
        <f ca="1">IF(הפחתה7[[#This Row],[תאריך]]="",0,הפחתה7[[#This Row],[ריבית]]+הפחתה7[[#This Row],[קרן]]+הפחתה7[[#This Row],[מדד]])</f>
        <v>0</v>
      </c>
      <c r="AA339" s="13">
        <f ca="1">IF(הפחתה7[[#This Row],[תאריך]]="",0,הפחתה7[[#This Row],[יתרת פתיחה]]-הפחתה7[[#This Row],[קרן]]+הפחתה7[[#This Row],[מדד]])</f>
        <v>0</v>
      </c>
      <c r="AB339" s="11">
        <f ca="1">IF(הפחתה7[[#This Row],[יתרת
סגירה]]&gt;0,LastRow3-ROW(),0)</f>
        <v>0</v>
      </c>
      <c r="AC339" s="17">
        <f>ROWS($AC$4:AC339)</f>
        <v>336</v>
      </c>
      <c r="AD339" s="18" t="str">
        <f ca="1">IF(ValuesEntered4,IF(הפחתה8[[#This Row],[מס'']]&lt;=תקופת_ההלוואה4,IF(ROW()-ROW(הפחתה8[[#Headers],[תאריך]])=1,LoanStart4,IF(AJ338&gt;0,EDATE(AD338,1),"")),""),"")</f>
        <v/>
      </c>
      <c r="AE339" s="19">
        <f ca="1">IF(ROW()-ROW(הפחתה8[[#Headers],[יתרת פתיחה]])=1,סכום_הלוואה4,IF(הפחתה8[[#This Row],[תאריך]]="",0,INDEX(הפחתה8[], ROW()-4,8)))</f>
        <v>0</v>
      </c>
      <c r="AF339" s="19">
        <f ca="1">IF(ValuesEntered4,IF(ROW()-ROW(הפחתה8[[#Headers],[ריבית]])=1,-IPMT(שיעור_ריבית4/12,1,תקופת_ההלוואה4-ROWS($C$4:AD339)+1,הפחתה8[[#This Row],[יתרת פתיחה]]),IFERROR(-IPMT(שיעור_ריבית4/12,1,הפחתה8[[#This Row],[תשלומים
שנותרו]],AE340),0)),0)</f>
        <v>0</v>
      </c>
      <c r="AG339" s="19" t="str">
        <f ca="1">IFERROR(IF(AND(ValuesEntered4,הפחתה8[[#This Row],[תאריך]]&lt;&gt;""),-PPMT(שיעור_ריבית4/12,1,תקופת_ההלוואה4-ROWS($C$4:AD339)+1,הפחתה8[[#This Row],[יתרת פתיחה]]),""),0)</f>
        <v/>
      </c>
      <c r="AH339" s="19">
        <f ca="1">(הפחתה8[[#This Row],[יתרת פתיחה]])*(מדד4/12)</f>
        <v>0</v>
      </c>
      <c r="AI339" s="19">
        <f ca="1">IF(הפחתה8[[#This Row],[תאריך]]="",0,הפחתה8[[#This Row],[ריבית]]+הפחתה8[[#This Row],[קרן]]+הפחתה8[[#This Row],[מדד]])</f>
        <v>0</v>
      </c>
      <c r="AJ339" s="19">
        <f ca="1">IF(הפחתה8[[#This Row],[תאריך]]="",0,הפחתה8[[#This Row],[יתרת פתיחה]]-הפחתה8[[#This Row],[קרן]])</f>
        <v>0</v>
      </c>
      <c r="AK339" s="20">
        <f ca="1">IF(הפחתה8[[#This Row],[יתרת
סגירה]]&gt;0,LastRow4-ROW(),0)</f>
        <v>0</v>
      </c>
    </row>
    <row r="340" spans="1:37" ht="15" customHeight="1" x14ac:dyDescent="0.25">
      <c r="A340" s="8"/>
      <c r="B340" s="11">
        <f>ROWS($B$4:B340)</f>
        <v>337</v>
      </c>
      <c r="C340" s="12">
        <f>IF(ValuesEntered,IF(הפחתה[[#This Row],[מס'']]&lt;=תקופת_ההלוואה,IF(ROW()-ROW(הפחתה[[#Headers],[תאריך]])=1,LoanStart,IF(I339&gt;0,EDATE(C339,1),"")),""),"")</f>
        <v>55610</v>
      </c>
      <c r="D340" s="13">
        <f>IF(ROW()-ROW(הפחתה[[#Headers],[יתרת פתיחה]])=1,סכום_הלוואה,IF(הפחתה[[#This Row],[תאריך]]="",0,INDEX(הפחתה[], ROW()-4,8)))</f>
        <v>75713.265953346927</v>
      </c>
      <c r="E340" s="13">
        <f>IF(ValuesEntered,IF(ROW()-ROW(הפחתה[[#Headers],[ריבית]])=1,-IPMT(שיעור_ריבית/12,1,תקופת_ההלוואה-ROWS($C$4:C340)+1,הפחתה[[#This Row],[יתרת פתיחה]]),IFERROR(-IPMT(שיעור_ריבית/12,1,הפחתה[[#This Row],[תשלומים
שנותרו]],D341),0)),0)</f>
        <v>321.16161914474026</v>
      </c>
      <c r="F340" s="13">
        <f>IFERROR(IF(AND(ValuesEntered,הפחתה[[#This Row],[תאריך]]&lt;&gt;""),-PPMT(שיעור_ריבית/12,1,תקופת_ההלוואה-ROWS($C$4:C340)+1,הפחתה[[#This Row],[יתרת פתיחה]]),""),0)</f>
        <v>2997.4276564246043</v>
      </c>
      <c r="G340" s="13">
        <f>(הפחתה[[#This Row],[יתרת פתיחה]])*(מדד/12)</f>
        <v>0</v>
      </c>
      <c r="H340" s="13">
        <f>IF(הפחתה[[#This Row],[תאריך]]="",0,הפחתה[[#This Row],[ריבית]]+הפחתה[[#This Row],[קרן]]+הפחתה[[#This Row],[מדד]])</f>
        <v>3318.5892755693444</v>
      </c>
      <c r="I340" s="13">
        <f>IF(הפחתה[[#This Row],[תאריך]]="",0,הפחתה[[#This Row],[יתרת פתיחה]]-הפחתה[[#This Row],[קרן]]+הפחתה[[#This Row],[מדד]])</f>
        <v>72715.838296922317</v>
      </c>
      <c r="J340" s="11">
        <f>IF(הפחתה[[#This Row],[יתרת
סגירה]]&gt;0,LastRow-ROW(),0)</f>
        <v>23</v>
      </c>
      <c r="K340" s="11">
        <f>ROWS($K$4:K340)</f>
        <v>337</v>
      </c>
      <c r="L340" s="12" t="str">
        <f>IF(ValuesEntered2,IF(הפחתה5[[#This Row],[מס'']]&lt;=תקופת_ההלוואה2,IF(ROW()-ROW(הפחתה5[[#Headers],[תאריך]])=1,LoanStart2,IF(R339&gt;0,EDATE(L339,1),"")),""),"")</f>
        <v/>
      </c>
      <c r="M340" s="13">
        <f>IF(ROW()-ROW(הפחתה5[[#Headers],[יתרת פתיחה]])=1,סכום_הלוואה2,IF(הפחתה5[[#This Row],[תאריך]]="",0,INDEX(הפחתה5[], ROW()-4,8)))</f>
        <v>0</v>
      </c>
      <c r="N340" s="13">
        <f>IF(ValuesEntered2,IF(ROW()-ROW(הפחתה5[[#Headers],[ריבית]])=1,-IPMT(שיעור_ריבית2/12,1,תקופת_ההלוואה2-ROWS($L$4:L340)+1,הפחתה5[[#This Row],[יתרת פתיחה]]),IFERROR(-IPMT(שיעור_ריבית2/12,1,הפחתה5[[#This Row],[תשלומים
שנותרו]],M341),0)),0)</f>
        <v>0</v>
      </c>
      <c r="O340" s="13" t="str">
        <f>IFERROR(IF(AND(ValuesEntered2,הפחתה5[[#This Row],[תאריך]]&lt;&gt;""),-PPMT(שיעור_ריבית2/12,1,תקופת_ההלוואה2-ROWS($L$4:L340)+1,הפחתה5[[#This Row],[יתרת פתיחה]]),""),0)</f>
        <v/>
      </c>
      <c r="P340" s="13">
        <f>(הפחתה5[[#This Row],[יתרת פתיחה]])*(מדד2/12)</f>
        <v>0</v>
      </c>
      <c r="Q340" s="13">
        <f>IF(הפחתה5[[#This Row],[תאריך]]="",0,הפחתה5[[#This Row],[ריבית]]+הפחתה5[[#This Row],[קרן]]+הפחתה5[[#This Row],[מדד]])</f>
        <v>0</v>
      </c>
      <c r="R340" s="13">
        <f>IF(הפחתה5[[#This Row],[תאריך]]="",0,הפחתה5[[#This Row],[יתרת פתיחה]]-הפחתה5[[#This Row],[קרן]]+הפחתה5[[#This Row],[מדד]])</f>
        <v>0</v>
      </c>
      <c r="S340" s="11">
        <f>IF(הפחתה5[[#This Row],[יתרת
סגירה]]&gt;0,LastRow2-ROW(),0)</f>
        <v>0</v>
      </c>
      <c r="T340" s="11">
        <f>ROWS($T$4:T340)</f>
        <v>337</v>
      </c>
      <c r="U340" s="12" t="str">
        <f ca="1">IF(ValuesEntered3,IF(הפחתה7[[#This Row],[מס'']]&lt;=תקופת_ההלוואה3,IF(ROW()-ROW(הפחתה7[[#Headers],[תאריך]])=1,LoanStart3,IF(AA339&gt;0,EDATE(U339,1),"")),""),"")</f>
        <v/>
      </c>
      <c r="V340" s="13">
        <f ca="1">IF(ROW()-ROW(הפחתה7[[#Headers],[יתרת פתיחה]])=1,סכום_הלוואה3,IF(הפחתה7[[#This Row],[תאריך]]="",0,INDEX(הפחתה7[], ROW()-4,8)))</f>
        <v>0</v>
      </c>
      <c r="W340" s="13">
        <f ca="1">IF(ValuesEntered3,IF(ROW()-ROW(הפחתה7[[#Headers],[ריבית]])=1,-IPMT(שיעור_ריבית3/12,1,תקופת_ההלוואה3-ROWS($C$4:U340)+1,הפחתה7[[#This Row],[יתרת פתיחה]]),IFERROR(-IPMT(שיעור_ריבית3/12,1,הפחתה7[[#This Row],[תשלומים
שנותרו]],V341),0)),0)</f>
        <v>0</v>
      </c>
      <c r="X340" s="13" t="str">
        <f ca="1">IFERROR(IF(AND(ValuesEntered3,הפחתה7[[#This Row],[תאריך]]&lt;&gt;""),-PPMT(שיעור_ריבית3/12,1,תקופת_ההלוואה3-ROWS($C$4:U340)+1,הפחתה7[[#This Row],[יתרת פתיחה]]),""),0)</f>
        <v/>
      </c>
      <c r="Y340" s="13">
        <f ca="1">(הפחתה7[[#This Row],[יתרת פתיחה]])*(מדד3/12)</f>
        <v>0</v>
      </c>
      <c r="Z340" s="13">
        <f ca="1">IF(הפחתה7[[#This Row],[תאריך]]="",0,הפחתה7[[#This Row],[ריבית]]+הפחתה7[[#This Row],[קרן]]+הפחתה7[[#This Row],[מדד]])</f>
        <v>0</v>
      </c>
      <c r="AA340" s="13">
        <f ca="1">IF(הפחתה7[[#This Row],[תאריך]]="",0,הפחתה7[[#This Row],[יתרת פתיחה]]-הפחתה7[[#This Row],[קרן]]+הפחתה7[[#This Row],[מדד]])</f>
        <v>0</v>
      </c>
      <c r="AB340" s="11">
        <f ca="1">IF(הפחתה7[[#This Row],[יתרת
סגירה]]&gt;0,LastRow3-ROW(),0)</f>
        <v>0</v>
      </c>
      <c r="AC340" s="17">
        <f>ROWS($AC$4:AC340)</f>
        <v>337</v>
      </c>
      <c r="AD340" s="18" t="str">
        <f ca="1">IF(ValuesEntered4,IF(הפחתה8[[#This Row],[מס'']]&lt;=תקופת_ההלוואה4,IF(ROW()-ROW(הפחתה8[[#Headers],[תאריך]])=1,LoanStart4,IF(AJ339&gt;0,EDATE(AD339,1),"")),""),"")</f>
        <v/>
      </c>
      <c r="AE340" s="19">
        <f ca="1">IF(ROW()-ROW(הפחתה8[[#Headers],[יתרת פתיחה]])=1,סכום_הלוואה4,IF(הפחתה8[[#This Row],[תאריך]]="",0,INDEX(הפחתה8[], ROW()-4,8)))</f>
        <v>0</v>
      </c>
      <c r="AF340" s="19">
        <f ca="1">IF(ValuesEntered4,IF(ROW()-ROW(הפחתה8[[#Headers],[ריבית]])=1,-IPMT(שיעור_ריבית4/12,1,תקופת_ההלוואה4-ROWS($C$4:AD340)+1,הפחתה8[[#This Row],[יתרת פתיחה]]),IFERROR(-IPMT(שיעור_ריבית4/12,1,הפחתה8[[#This Row],[תשלומים
שנותרו]],AE341),0)),0)</f>
        <v>0</v>
      </c>
      <c r="AG340" s="19" t="str">
        <f ca="1">IFERROR(IF(AND(ValuesEntered4,הפחתה8[[#This Row],[תאריך]]&lt;&gt;""),-PPMT(שיעור_ריבית4/12,1,תקופת_ההלוואה4-ROWS($C$4:AD340)+1,הפחתה8[[#This Row],[יתרת פתיחה]]),""),0)</f>
        <v/>
      </c>
      <c r="AH340" s="19">
        <f ca="1">(הפחתה8[[#This Row],[יתרת פתיחה]])*(מדד4/12)</f>
        <v>0</v>
      </c>
      <c r="AI340" s="19">
        <f ca="1">IF(הפחתה8[[#This Row],[תאריך]]="",0,הפחתה8[[#This Row],[ריבית]]+הפחתה8[[#This Row],[קרן]]+הפחתה8[[#This Row],[מדד]])</f>
        <v>0</v>
      </c>
      <c r="AJ340" s="19">
        <f ca="1">IF(הפחתה8[[#This Row],[תאריך]]="",0,הפחתה8[[#This Row],[יתרת פתיחה]]-הפחתה8[[#This Row],[קרן]])</f>
        <v>0</v>
      </c>
      <c r="AK340" s="20">
        <f ca="1">IF(הפחתה8[[#This Row],[יתרת
סגירה]]&gt;0,LastRow4-ROW(),0)</f>
        <v>0</v>
      </c>
    </row>
    <row r="341" spans="1:37" ht="15" customHeight="1" x14ac:dyDescent="0.25">
      <c r="A341" s="8"/>
      <c r="B341" s="11">
        <f>ROWS($B$4:B341)</f>
        <v>338</v>
      </c>
      <c r="C341" s="12">
        <f>IF(ValuesEntered,IF(הפחתה[[#This Row],[מס'']]&lt;=תקופת_ההלוואה,IF(ROW()-ROW(הפחתה[[#Headers],[תאריך]])=1,LoanStart,IF(I340&gt;0,EDATE(C340,1),"")),""),"")</f>
        <v>55640</v>
      </c>
      <c r="D341" s="13">
        <f>IF(ROW()-ROW(הפחתה[[#Headers],[יתרת פתיחה]])=1,סכום_הלוואה,IF(הפחתה[[#This Row],[תאריך]]="",0,INDEX(הפחתה[], ROW()-4,8)))</f>
        <v>72715.838296922317</v>
      </c>
      <c r="E341" s="13">
        <f>IF(ValuesEntered,IF(ROW()-ROW(הפחתה[[#Headers],[ריבית]])=1,-IPMT(שיעור_ריבית/12,1,תקופת_ההלוואה-ROWS($C$4:C341)+1,הפחתה[[#This Row],[יתרת פתיחה]]),IFERROR(-IPMT(שיעור_ריבית/12,1,הפחתה[[#This Row],[תשלומים
שנותרו]],D342),0)),0)</f>
        <v>307.86450967409485</v>
      </c>
      <c r="F341" s="13">
        <f>IFERROR(IF(AND(ValuesEntered,הפחתה[[#This Row],[תאריך]]&lt;&gt;""),-PPMT(שיעור_ריבית/12,1,תקופת_ההלוואה-ROWS($C$4:C341)+1,הפחתה[[#This Row],[יתרת פתיחה]]),""),0)</f>
        <v>3010.6662952404795</v>
      </c>
      <c r="G341" s="13">
        <f>(הפחתה[[#This Row],[יתרת פתיחה]])*(מדד/12)</f>
        <v>0</v>
      </c>
      <c r="H341" s="13">
        <f>IF(הפחתה[[#This Row],[תאריך]]="",0,הפחתה[[#This Row],[ריבית]]+הפחתה[[#This Row],[קרן]]+הפחתה[[#This Row],[מדד]])</f>
        <v>3318.5308049145742</v>
      </c>
      <c r="I341" s="13">
        <f>IF(הפחתה[[#This Row],[תאריך]]="",0,הפחתה[[#This Row],[יתרת פתיחה]]-הפחתה[[#This Row],[קרן]]+הפחתה[[#This Row],[מדד]])</f>
        <v>69705.172001681844</v>
      </c>
      <c r="J341" s="11">
        <f>IF(הפחתה[[#This Row],[יתרת
סגירה]]&gt;0,LastRow-ROW(),0)</f>
        <v>22</v>
      </c>
      <c r="K341" s="11">
        <f>ROWS($K$4:K341)</f>
        <v>338</v>
      </c>
      <c r="L341" s="12" t="str">
        <f>IF(ValuesEntered2,IF(הפחתה5[[#This Row],[מס'']]&lt;=תקופת_ההלוואה2,IF(ROW()-ROW(הפחתה5[[#Headers],[תאריך]])=1,LoanStart2,IF(R340&gt;0,EDATE(L340,1),"")),""),"")</f>
        <v/>
      </c>
      <c r="M341" s="13">
        <f>IF(ROW()-ROW(הפחתה5[[#Headers],[יתרת פתיחה]])=1,סכום_הלוואה2,IF(הפחתה5[[#This Row],[תאריך]]="",0,INDEX(הפחתה5[], ROW()-4,8)))</f>
        <v>0</v>
      </c>
      <c r="N341" s="13">
        <f>IF(ValuesEntered2,IF(ROW()-ROW(הפחתה5[[#Headers],[ריבית]])=1,-IPMT(שיעור_ריבית2/12,1,תקופת_ההלוואה2-ROWS($L$4:L341)+1,הפחתה5[[#This Row],[יתרת פתיחה]]),IFERROR(-IPMT(שיעור_ריבית2/12,1,הפחתה5[[#This Row],[תשלומים
שנותרו]],M342),0)),0)</f>
        <v>0</v>
      </c>
      <c r="O341" s="13" t="str">
        <f>IFERROR(IF(AND(ValuesEntered2,הפחתה5[[#This Row],[תאריך]]&lt;&gt;""),-PPMT(שיעור_ריבית2/12,1,תקופת_ההלוואה2-ROWS($L$4:L341)+1,הפחתה5[[#This Row],[יתרת פתיחה]]),""),0)</f>
        <v/>
      </c>
      <c r="P341" s="13">
        <f>(הפחתה5[[#This Row],[יתרת פתיחה]])*(מדד2/12)</f>
        <v>0</v>
      </c>
      <c r="Q341" s="13">
        <f>IF(הפחתה5[[#This Row],[תאריך]]="",0,הפחתה5[[#This Row],[ריבית]]+הפחתה5[[#This Row],[קרן]]+הפחתה5[[#This Row],[מדד]])</f>
        <v>0</v>
      </c>
      <c r="R341" s="13">
        <f>IF(הפחתה5[[#This Row],[תאריך]]="",0,הפחתה5[[#This Row],[יתרת פתיחה]]-הפחתה5[[#This Row],[קרן]]+הפחתה5[[#This Row],[מדד]])</f>
        <v>0</v>
      </c>
      <c r="S341" s="11">
        <f>IF(הפחתה5[[#This Row],[יתרת
סגירה]]&gt;0,LastRow2-ROW(),0)</f>
        <v>0</v>
      </c>
      <c r="T341" s="11">
        <f>ROWS($T$4:T341)</f>
        <v>338</v>
      </c>
      <c r="U341" s="12" t="str">
        <f ca="1">IF(ValuesEntered3,IF(הפחתה7[[#This Row],[מס'']]&lt;=תקופת_ההלוואה3,IF(ROW()-ROW(הפחתה7[[#Headers],[תאריך]])=1,LoanStart3,IF(AA340&gt;0,EDATE(U340,1),"")),""),"")</f>
        <v/>
      </c>
      <c r="V341" s="13">
        <f ca="1">IF(ROW()-ROW(הפחתה7[[#Headers],[יתרת פתיחה]])=1,סכום_הלוואה3,IF(הפחתה7[[#This Row],[תאריך]]="",0,INDEX(הפחתה7[], ROW()-4,8)))</f>
        <v>0</v>
      </c>
      <c r="W341" s="13">
        <f ca="1">IF(ValuesEntered3,IF(ROW()-ROW(הפחתה7[[#Headers],[ריבית]])=1,-IPMT(שיעור_ריבית3/12,1,תקופת_ההלוואה3-ROWS($C$4:U341)+1,הפחתה7[[#This Row],[יתרת פתיחה]]),IFERROR(-IPMT(שיעור_ריבית3/12,1,הפחתה7[[#This Row],[תשלומים
שנותרו]],V342),0)),0)</f>
        <v>0</v>
      </c>
      <c r="X341" s="13" t="str">
        <f ca="1">IFERROR(IF(AND(ValuesEntered3,הפחתה7[[#This Row],[תאריך]]&lt;&gt;""),-PPMT(שיעור_ריבית3/12,1,תקופת_ההלוואה3-ROWS($C$4:U341)+1,הפחתה7[[#This Row],[יתרת פתיחה]]),""),0)</f>
        <v/>
      </c>
      <c r="Y341" s="13">
        <f ca="1">(הפחתה7[[#This Row],[יתרת פתיחה]])*(מדד3/12)</f>
        <v>0</v>
      </c>
      <c r="Z341" s="13">
        <f ca="1">IF(הפחתה7[[#This Row],[תאריך]]="",0,הפחתה7[[#This Row],[ריבית]]+הפחתה7[[#This Row],[קרן]]+הפחתה7[[#This Row],[מדד]])</f>
        <v>0</v>
      </c>
      <c r="AA341" s="13">
        <f ca="1">IF(הפחתה7[[#This Row],[תאריך]]="",0,הפחתה7[[#This Row],[יתרת פתיחה]]-הפחתה7[[#This Row],[קרן]]+הפחתה7[[#This Row],[מדד]])</f>
        <v>0</v>
      </c>
      <c r="AB341" s="11">
        <f ca="1">IF(הפחתה7[[#This Row],[יתרת
סגירה]]&gt;0,LastRow3-ROW(),0)</f>
        <v>0</v>
      </c>
      <c r="AC341" s="17">
        <f>ROWS($AC$4:AC341)</f>
        <v>338</v>
      </c>
      <c r="AD341" s="18" t="str">
        <f ca="1">IF(ValuesEntered4,IF(הפחתה8[[#This Row],[מס'']]&lt;=תקופת_ההלוואה4,IF(ROW()-ROW(הפחתה8[[#Headers],[תאריך]])=1,LoanStart4,IF(AJ340&gt;0,EDATE(AD340,1),"")),""),"")</f>
        <v/>
      </c>
      <c r="AE341" s="19">
        <f ca="1">IF(ROW()-ROW(הפחתה8[[#Headers],[יתרת פתיחה]])=1,סכום_הלוואה4,IF(הפחתה8[[#This Row],[תאריך]]="",0,INDEX(הפחתה8[], ROW()-4,8)))</f>
        <v>0</v>
      </c>
      <c r="AF341" s="19">
        <f ca="1">IF(ValuesEntered4,IF(ROW()-ROW(הפחתה8[[#Headers],[ריבית]])=1,-IPMT(שיעור_ריבית4/12,1,תקופת_ההלוואה4-ROWS($C$4:AD341)+1,הפחתה8[[#This Row],[יתרת פתיחה]]),IFERROR(-IPMT(שיעור_ריבית4/12,1,הפחתה8[[#This Row],[תשלומים
שנותרו]],AE342),0)),0)</f>
        <v>0</v>
      </c>
      <c r="AG341" s="19" t="str">
        <f ca="1">IFERROR(IF(AND(ValuesEntered4,הפחתה8[[#This Row],[תאריך]]&lt;&gt;""),-PPMT(שיעור_ריבית4/12,1,תקופת_ההלוואה4-ROWS($C$4:AD341)+1,הפחתה8[[#This Row],[יתרת פתיחה]]),""),0)</f>
        <v/>
      </c>
      <c r="AH341" s="19">
        <f ca="1">(הפחתה8[[#This Row],[יתרת פתיחה]])*(מדד4/12)</f>
        <v>0</v>
      </c>
      <c r="AI341" s="19">
        <f ca="1">IF(הפחתה8[[#This Row],[תאריך]]="",0,הפחתה8[[#This Row],[ריבית]]+הפחתה8[[#This Row],[קרן]]+הפחתה8[[#This Row],[מדד]])</f>
        <v>0</v>
      </c>
      <c r="AJ341" s="19">
        <f ca="1">IF(הפחתה8[[#This Row],[תאריך]]="",0,הפחתה8[[#This Row],[יתרת פתיחה]]-הפחתה8[[#This Row],[קרן]])</f>
        <v>0</v>
      </c>
      <c r="AK341" s="20">
        <f ca="1">IF(הפחתה8[[#This Row],[יתרת
סגירה]]&gt;0,LastRow4-ROW(),0)</f>
        <v>0</v>
      </c>
    </row>
    <row r="342" spans="1:37" ht="15" customHeight="1" x14ac:dyDescent="0.25">
      <c r="A342" s="8"/>
      <c r="B342" s="11">
        <f>ROWS($B$4:B342)</f>
        <v>339</v>
      </c>
      <c r="C342" s="12">
        <f>IF(ValuesEntered,IF(הפחתה[[#This Row],[מס'']]&lt;=תקופת_ההלוואה,IF(ROW()-ROW(הפחתה[[#Headers],[תאריך]])=1,LoanStart,IF(I341&gt;0,EDATE(C341,1),"")),""),"")</f>
        <v>55671</v>
      </c>
      <c r="D342" s="13">
        <f>IF(ROW()-ROW(הפחתה[[#Headers],[יתרת פתיחה]])=1,סכום_הלוואה,IF(הפחתה[[#This Row],[תאריך]]="",0,INDEX(הפחתה[], ROW()-4,8)))</f>
        <v>69705.172001681844</v>
      </c>
      <c r="E342" s="13">
        <f>IF(ValuesEntered,IF(ROW()-ROW(הפחתה[[#Headers],[ריבית]])=1,-IPMT(שיעור_ריבית/12,1,תקופת_ההלוואה-ROWS($C$4:C342)+1,הפחתה[[#This Row],[יתרת פתיחה]]),IFERROR(-IPMT(שיעור_ריבית/12,1,הפחתה[[#This Row],[תשלומים
שנותרו]],D343),0)),0)</f>
        <v>294.50867130328737</v>
      </c>
      <c r="F342" s="13">
        <f>IFERROR(IF(AND(ValuesEntered,הפחתה[[#This Row],[תאריך]]&lt;&gt;""),-PPMT(שיעור_ריבית/12,1,תקופת_ההלוואה-ROWS($C$4:C342)+1,הפחתה[[#This Row],[יתרת פתיחה]]),""),0)</f>
        <v>3023.9634047111244</v>
      </c>
      <c r="G342" s="13">
        <f>(הפחתה[[#This Row],[יתרת פתיחה]])*(מדד/12)</f>
        <v>0</v>
      </c>
      <c r="H342" s="13">
        <f>IF(הפחתה[[#This Row],[תאריך]]="",0,הפחתה[[#This Row],[ריבית]]+הפחתה[[#This Row],[קרן]]+הפחתה[[#This Row],[מדד]])</f>
        <v>3318.4720760144119</v>
      </c>
      <c r="I342" s="13">
        <f>IF(הפחתה[[#This Row],[תאריך]]="",0,הפחתה[[#This Row],[יתרת פתיחה]]-הפחתה[[#This Row],[קרן]]+הפחתה[[#This Row],[מדד]])</f>
        <v>66681.208596970726</v>
      </c>
      <c r="J342" s="11">
        <f>IF(הפחתה[[#This Row],[יתרת
סגירה]]&gt;0,LastRow-ROW(),0)</f>
        <v>21</v>
      </c>
      <c r="K342" s="11">
        <f>ROWS($K$4:K342)</f>
        <v>339</v>
      </c>
      <c r="L342" s="12" t="str">
        <f>IF(ValuesEntered2,IF(הפחתה5[[#This Row],[מס'']]&lt;=תקופת_ההלוואה2,IF(ROW()-ROW(הפחתה5[[#Headers],[תאריך]])=1,LoanStart2,IF(R341&gt;0,EDATE(L341,1),"")),""),"")</f>
        <v/>
      </c>
      <c r="M342" s="13">
        <f>IF(ROW()-ROW(הפחתה5[[#Headers],[יתרת פתיחה]])=1,סכום_הלוואה2,IF(הפחתה5[[#This Row],[תאריך]]="",0,INDEX(הפחתה5[], ROW()-4,8)))</f>
        <v>0</v>
      </c>
      <c r="N342" s="13">
        <f>IF(ValuesEntered2,IF(ROW()-ROW(הפחתה5[[#Headers],[ריבית]])=1,-IPMT(שיעור_ריבית2/12,1,תקופת_ההלוואה2-ROWS($L$4:L342)+1,הפחתה5[[#This Row],[יתרת פתיחה]]),IFERROR(-IPMT(שיעור_ריבית2/12,1,הפחתה5[[#This Row],[תשלומים
שנותרו]],M343),0)),0)</f>
        <v>0</v>
      </c>
      <c r="O342" s="13" t="str">
        <f>IFERROR(IF(AND(ValuesEntered2,הפחתה5[[#This Row],[תאריך]]&lt;&gt;""),-PPMT(שיעור_ריבית2/12,1,תקופת_ההלוואה2-ROWS($L$4:L342)+1,הפחתה5[[#This Row],[יתרת פתיחה]]),""),0)</f>
        <v/>
      </c>
      <c r="P342" s="13">
        <f>(הפחתה5[[#This Row],[יתרת פתיחה]])*(מדד2/12)</f>
        <v>0</v>
      </c>
      <c r="Q342" s="13">
        <f>IF(הפחתה5[[#This Row],[תאריך]]="",0,הפחתה5[[#This Row],[ריבית]]+הפחתה5[[#This Row],[קרן]]+הפחתה5[[#This Row],[מדד]])</f>
        <v>0</v>
      </c>
      <c r="R342" s="13">
        <f>IF(הפחתה5[[#This Row],[תאריך]]="",0,הפחתה5[[#This Row],[יתרת פתיחה]]-הפחתה5[[#This Row],[קרן]]+הפחתה5[[#This Row],[מדד]])</f>
        <v>0</v>
      </c>
      <c r="S342" s="11">
        <f>IF(הפחתה5[[#This Row],[יתרת
סגירה]]&gt;0,LastRow2-ROW(),0)</f>
        <v>0</v>
      </c>
      <c r="T342" s="11">
        <f>ROWS($T$4:T342)</f>
        <v>339</v>
      </c>
      <c r="U342" s="12" t="str">
        <f ca="1">IF(ValuesEntered3,IF(הפחתה7[[#This Row],[מס'']]&lt;=תקופת_ההלוואה3,IF(ROW()-ROW(הפחתה7[[#Headers],[תאריך]])=1,LoanStart3,IF(AA341&gt;0,EDATE(U341,1),"")),""),"")</f>
        <v/>
      </c>
      <c r="V342" s="13">
        <f ca="1">IF(ROW()-ROW(הפחתה7[[#Headers],[יתרת פתיחה]])=1,סכום_הלוואה3,IF(הפחתה7[[#This Row],[תאריך]]="",0,INDEX(הפחתה7[], ROW()-4,8)))</f>
        <v>0</v>
      </c>
      <c r="W342" s="13">
        <f ca="1">IF(ValuesEntered3,IF(ROW()-ROW(הפחתה7[[#Headers],[ריבית]])=1,-IPMT(שיעור_ריבית3/12,1,תקופת_ההלוואה3-ROWS($C$4:U342)+1,הפחתה7[[#This Row],[יתרת פתיחה]]),IFERROR(-IPMT(שיעור_ריבית3/12,1,הפחתה7[[#This Row],[תשלומים
שנותרו]],V343),0)),0)</f>
        <v>0</v>
      </c>
      <c r="X342" s="13" t="str">
        <f ca="1">IFERROR(IF(AND(ValuesEntered3,הפחתה7[[#This Row],[תאריך]]&lt;&gt;""),-PPMT(שיעור_ריבית3/12,1,תקופת_ההלוואה3-ROWS($C$4:U342)+1,הפחתה7[[#This Row],[יתרת פתיחה]]),""),0)</f>
        <v/>
      </c>
      <c r="Y342" s="13">
        <f ca="1">(הפחתה7[[#This Row],[יתרת פתיחה]])*(מדד3/12)</f>
        <v>0</v>
      </c>
      <c r="Z342" s="13">
        <f ca="1">IF(הפחתה7[[#This Row],[תאריך]]="",0,הפחתה7[[#This Row],[ריבית]]+הפחתה7[[#This Row],[קרן]]+הפחתה7[[#This Row],[מדד]])</f>
        <v>0</v>
      </c>
      <c r="AA342" s="13">
        <f ca="1">IF(הפחתה7[[#This Row],[תאריך]]="",0,הפחתה7[[#This Row],[יתרת פתיחה]]-הפחתה7[[#This Row],[קרן]]+הפחתה7[[#This Row],[מדד]])</f>
        <v>0</v>
      </c>
      <c r="AB342" s="11">
        <f ca="1">IF(הפחתה7[[#This Row],[יתרת
סגירה]]&gt;0,LastRow3-ROW(),0)</f>
        <v>0</v>
      </c>
      <c r="AC342" s="17">
        <f>ROWS($AC$4:AC342)</f>
        <v>339</v>
      </c>
      <c r="AD342" s="18" t="str">
        <f ca="1">IF(ValuesEntered4,IF(הפחתה8[[#This Row],[מס'']]&lt;=תקופת_ההלוואה4,IF(ROW()-ROW(הפחתה8[[#Headers],[תאריך]])=1,LoanStart4,IF(AJ341&gt;0,EDATE(AD341,1),"")),""),"")</f>
        <v/>
      </c>
      <c r="AE342" s="19">
        <f ca="1">IF(ROW()-ROW(הפחתה8[[#Headers],[יתרת פתיחה]])=1,סכום_הלוואה4,IF(הפחתה8[[#This Row],[תאריך]]="",0,INDEX(הפחתה8[], ROW()-4,8)))</f>
        <v>0</v>
      </c>
      <c r="AF342" s="19">
        <f ca="1">IF(ValuesEntered4,IF(ROW()-ROW(הפחתה8[[#Headers],[ריבית]])=1,-IPMT(שיעור_ריבית4/12,1,תקופת_ההלוואה4-ROWS($C$4:AD342)+1,הפחתה8[[#This Row],[יתרת פתיחה]]),IFERROR(-IPMT(שיעור_ריבית4/12,1,הפחתה8[[#This Row],[תשלומים
שנותרו]],AE343),0)),0)</f>
        <v>0</v>
      </c>
      <c r="AG342" s="19" t="str">
        <f ca="1">IFERROR(IF(AND(ValuesEntered4,הפחתה8[[#This Row],[תאריך]]&lt;&gt;""),-PPMT(שיעור_ריבית4/12,1,תקופת_ההלוואה4-ROWS($C$4:AD342)+1,הפחתה8[[#This Row],[יתרת פתיחה]]),""),0)</f>
        <v/>
      </c>
      <c r="AH342" s="19">
        <f ca="1">(הפחתה8[[#This Row],[יתרת פתיחה]])*(מדד4/12)</f>
        <v>0</v>
      </c>
      <c r="AI342" s="19">
        <f ca="1">IF(הפחתה8[[#This Row],[תאריך]]="",0,הפחתה8[[#This Row],[ריבית]]+הפחתה8[[#This Row],[קרן]]+הפחתה8[[#This Row],[מדד]])</f>
        <v>0</v>
      </c>
      <c r="AJ342" s="19">
        <f ca="1">IF(הפחתה8[[#This Row],[תאריך]]="",0,הפחתה8[[#This Row],[יתרת פתיחה]]-הפחתה8[[#This Row],[קרן]])</f>
        <v>0</v>
      </c>
      <c r="AK342" s="20">
        <f ca="1">IF(הפחתה8[[#This Row],[יתרת
סגירה]]&gt;0,LastRow4-ROW(),0)</f>
        <v>0</v>
      </c>
    </row>
    <row r="343" spans="1:37" ht="15" customHeight="1" x14ac:dyDescent="0.25">
      <c r="A343" s="8"/>
      <c r="B343" s="11">
        <f>ROWS($B$4:B343)</f>
        <v>340</v>
      </c>
      <c r="C343" s="12">
        <f>IF(ValuesEntered,IF(הפחתה[[#This Row],[מס'']]&lt;=תקופת_ההלוואה,IF(ROW()-ROW(הפחתה[[#Headers],[תאריך]])=1,LoanStart,IF(I342&gt;0,EDATE(C342,1),"")),""),"")</f>
        <v>55701</v>
      </c>
      <c r="D343" s="13">
        <f>IF(ROW()-ROW(הפחתה[[#Headers],[יתרת פתיחה]])=1,סכום_הלוואה,IF(הפחתה[[#This Row],[תאריך]]="",0,INDEX(הפחתה[], ROW()-4,8)))</f>
        <v>66681.208596970726</v>
      </c>
      <c r="E343" s="13">
        <f>IF(ValuesEntered,IF(ROW()-ROW(הפחתה[[#Headers],[ריבית]])=1,-IPMT(שיעור_ריבית/12,1,תקופת_ההלוואה-ROWS($C$4:C343)+1,הפחתה[[#This Row],[יתרת פתיחה]]),IFERROR(-IPMT(שיעור_ריבית/12,1,הפחתה[[#This Row],[תשלומים
שנותרו]],D344),0)),0)</f>
        <v>281.09384464634218</v>
      </c>
      <c r="F343" s="13">
        <f>IFERROR(IF(AND(ValuesEntered,הפחתה[[#This Row],[תאריך]]&lt;&gt;""),-PPMT(שיעור_ריבית/12,1,תקופת_ההלוואה-ROWS($C$4:C343)+1,הפחתה[[#This Row],[יתרת פתיחה]]),""),0)</f>
        <v>3037.3192430819331</v>
      </c>
      <c r="G343" s="13">
        <f>(הפחתה[[#This Row],[יתרת פתיחה]])*(מדד/12)</f>
        <v>0</v>
      </c>
      <c r="H343" s="13">
        <f>IF(הפחתה[[#This Row],[תאריך]]="",0,הפחתה[[#This Row],[ריבית]]+הפחתה[[#This Row],[קרן]]+הפחתה[[#This Row],[מדד]])</f>
        <v>3318.4130877282751</v>
      </c>
      <c r="I343" s="13">
        <f>IF(הפחתה[[#This Row],[תאריך]]="",0,הפחתה[[#This Row],[יתרת פתיחה]]-הפחתה[[#This Row],[קרן]]+הפחתה[[#This Row],[מדד]])</f>
        <v>63643.889353888793</v>
      </c>
      <c r="J343" s="11">
        <f>IF(הפחתה[[#This Row],[יתרת
סגירה]]&gt;0,LastRow-ROW(),0)</f>
        <v>20</v>
      </c>
      <c r="K343" s="11">
        <f>ROWS($K$4:K343)</f>
        <v>340</v>
      </c>
      <c r="L343" s="12" t="str">
        <f>IF(ValuesEntered2,IF(הפחתה5[[#This Row],[מס'']]&lt;=תקופת_ההלוואה2,IF(ROW()-ROW(הפחתה5[[#Headers],[תאריך]])=1,LoanStart2,IF(R342&gt;0,EDATE(L342,1),"")),""),"")</f>
        <v/>
      </c>
      <c r="M343" s="13">
        <f>IF(ROW()-ROW(הפחתה5[[#Headers],[יתרת פתיחה]])=1,סכום_הלוואה2,IF(הפחתה5[[#This Row],[תאריך]]="",0,INDEX(הפחתה5[], ROW()-4,8)))</f>
        <v>0</v>
      </c>
      <c r="N343" s="13">
        <f>IF(ValuesEntered2,IF(ROW()-ROW(הפחתה5[[#Headers],[ריבית]])=1,-IPMT(שיעור_ריבית2/12,1,תקופת_ההלוואה2-ROWS($L$4:L343)+1,הפחתה5[[#This Row],[יתרת פתיחה]]),IFERROR(-IPMT(שיעור_ריבית2/12,1,הפחתה5[[#This Row],[תשלומים
שנותרו]],M344),0)),0)</f>
        <v>0</v>
      </c>
      <c r="O343" s="13" t="str">
        <f>IFERROR(IF(AND(ValuesEntered2,הפחתה5[[#This Row],[תאריך]]&lt;&gt;""),-PPMT(שיעור_ריבית2/12,1,תקופת_ההלוואה2-ROWS($L$4:L343)+1,הפחתה5[[#This Row],[יתרת פתיחה]]),""),0)</f>
        <v/>
      </c>
      <c r="P343" s="13">
        <f>(הפחתה5[[#This Row],[יתרת פתיחה]])*(מדד2/12)</f>
        <v>0</v>
      </c>
      <c r="Q343" s="13">
        <f>IF(הפחתה5[[#This Row],[תאריך]]="",0,הפחתה5[[#This Row],[ריבית]]+הפחתה5[[#This Row],[קרן]]+הפחתה5[[#This Row],[מדד]])</f>
        <v>0</v>
      </c>
      <c r="R343" s="13">
        <f>IF(הפחתה5[[#This Row],[תאריך]]="",0,הפחתה5[[#This Row],[יתרת פתיחה]]-הפחתה5[[#This Row],[קרן]]+הפחתה5[[#This Row],[מדד]])</f>
        <v>0</v>
      </c>
      <c r="S343" s="11">
        <f>IF(הפחתה5[[#This Row],[יתרת
סגירה]]&gt;0,LastRow2-ROW(),0)</f>
        <v>0</v>
      </c>
      <c r="T343" s="11">
        <f>ROWS($T$4:T343)</f>
        <v>340</v>
      </c>
      <c r="U343" s="12" t="str">
        <f ca="1">IF(ValuesEntered3,IF(הפחתה7[[#This Row],[מס'']]&lt;=תקופת_ההלוואה3,IF(ROW()-ROW(הפחתה7[[#Headers],[תאריך]])=1,LoanStart3,IF(AA342&gt;0,EDATE(U342,1),"")),""),"")</f>
        <v/>
      </c>
      <c r="V343" s="13">
        <f ca="1">IF(ROW()-ROW(הפחתה7[[#Headers],[יתרת פתיחה]])=1,סכום_הלוואה3,IF(הפחתה7[[#This Row],[תאריך]]="",0,INDEX(הפחתה7[], ROW()-4,8)))</f>
        <v>0</v>
      </c>
      <c r="W343" s="13">
        <f ca="1">IF(ValuesEntered3,IF(ROW()-ROW(הפחתה7[[#Headers],[ריבית]])=1,-IPMT(שיעור_ריבית3/12,1,תקופת_ההלוואה3-ROWS($C$4:U343)+1,הפחתה7[[#This Row],[יתרת פתיחה]]),IFERROR(-IPMT(שיעור_ריבית3/12,1,הפחתה7[[#This Row],[תשלומים
שנותרו]],V344),0)),0)</f>
        <v>0</v>
      </c>
      <c r="X343" s="13" t="str">
        <f ca="1">IFERROR(IF(AND(ValuesEntered3,הפחתה7[[#This Row],[תאריך]]&lt;&gt;""),-PPMT(שיעור_ריבית3/12,1,תקופת_ההלוואה3-ROWS($C$4:U343)+1,הפחתה7[[#This Row],[יתרת פתיחה]]),""),0)</f>
        <v/>
      </c>
      <c r="Y343" s="13">
        <f ca="1">(הפחתה7[[#This Row],[יתרת פתיחה]])*(מדד3/12)</f>
        <v>0</v>
      </c>
      <c r="Z343" s="13">
        <f ca="1">IF(הפחתה7[[#This Row],[תאריך]]="",0,הפחתה7[[#This Row],[ריבית]]+הפחתה7[[#This Row],[קרן]]+הפחתה7[[#This Row],[מדד]])</f>
        <v>0</v>
      </c>
      <c r="AA343" s="13">
        <f ca="1">IF(הפחתה7[[#This Row],[תאריך]]="",0,הפחתה7[[#This Row],[יתרת פתיחה]]-הפחתה7[[#This Row],[קרן]]+הפחתה7[[#This Row],[מדד]])</f>
        <v>0</v>
      </c>
      <c r="AB343" s="11">
        <f ca="1">IF(הפחתה7[[#This Row],[יתרת
סגירה]]&gt;0,LastRow3-ROW(),0)</f>
        <v>0</v>
      </c>
      <c r="AC343" s="17">
        <f>ROWS($AC$4:AC343)</f>
        <v>340</v>
      </c>
      <c r="AD343" s="18" t="str">
        <f ca="1">IF(ValuesEntered4,IF(הפחתה8[[#This Row],[מס'']]&lt;=תקופת_ההלוואה4,IF(ROW()-ROW(הפחתה8[[#Headers],[תאריך]])=1,LoanStart4,IF(AJ342&gt;0,EDATE(AD342,1),"")),""),"")</f>
        <v/>
      </c>
      <c r="AE343" s="19">
        <f ca="1">IF(ROW()-ROW(הפחתה8[[#Headers],[יתרת פתיחה]])=1,סכום_הלוואה4,IF(הפחתה8[[#This Row],[תאריך]]="",0,INDEX(הפחתה8[], ROW()-4,8)))</f>
        <v>0</v>
      </c>
      <c r="AF343" s="19">
        <f ca="1">IF(ValuesEntered4,IF(ROW()-ROW(הפחתה8[[#Headers],[ריבית]])=1,-IPMT(שיעור_ריבית4/12,1,תקופת_ההלוואה4-ROWS($C$4:AD343)+1,הפחתה8[[#This Row],[יתרת פתיחה]]),IFERROR(-IPMT(שיעור_ריבית4/12,1,הפחתה8[[#This Row],[תשלומים
שנותרו]],AE344),0)),0)</f>
        <v>0</v>
      </c>
      <c r="AG343" s="19" t="str">
        <f ca="1">IFERROR(IF(AND(ValuesEntered4,הפחתה8[[#This Row],[תאריך]]&lt;&gt;""),-PPMT(שיעור_ריבית4/12,1,תקופת_ההלוואה4-ROWS($C$4:AD343)+1,הפחתה8[[#This Row],[יתרת פתיחה]]),""),0)</f>
        <v/>
      </c>
      <c r="AH343" s="19">
        <f ca="1">(הפחתה8[[#This Row],[יתרת פתיחה]])*(מדד4/12)</f>
        <v>0</v>
      </c>
      <c r="AI343" s="19">
        <f ca="1">IF(הפחתה8[[#This Row],[תאריך]]="",0,הפחתה8[[#This Row],[ריבית]]+הפחתה8[[#This Row],[קרן]]+הפחתה8[[#This Row],[מדד]])</f>
        <v>0</v>
      </c>
      <c r="AJ343" s="19">
        <f ca="1">IF(הפחתה8[[#This Row],[תאריך]]="",0,הפחתה8[[#This Row],[יתרת פתיחה]]-הפחתה8[[#This Row],[קרן]])</f>
        <v>0</v>
      </c>
      <c r="AK343" s="20">
        <f ca="1">IF(הפחתה8[[#This Row],[יתרת
סגירה]]&gt;0,LastRow4-ROW(),0)</f>
        <v>0</v>
      </c>
    </row>
    <row r="344" spans="1:37" ht="15" customHeight="1" x14ac:dyDescent="0.25">
      <c r="A344" s="8"/>
      <c r="B344" s="11">
        <f>ROWS($B$4:B344)</f>
        <v>341</v>
      </c>
      <c r="C344" s="12">
        <f>IF(ValuesEntered,IF(הפחתה[[#This Row],[מס'']]&lt;=תקופת_ההלוואה,IF(ROW()-ROW(הפחתה[[#Headers],[תאריך]])=1,LoanStart,IF(I343&gt;0,EDATE(C343,1),"")),""),"")</f>
        <v>55732</v>
      </c>
      <c r="D344" s="13">
        <f>IF(ROW()-ROW(הפחתה[[#Headers],[יתרת פתיחה]])=1,סכום_הלוואה,IF(הפחתה[[#This Row],[תאריך]]="",0,INDEX(הפחתה[], ROW()-4,8)))</f>
        <v>63643.889353888793</v>
      </c>
      <c r="E344" s="13">
        <f>IF(ValuesEntered,IF(ROW()-ROW(הפחתה[[#Headers],[ריבית]])=1,-IPMT(שיעור_ריבית/12,1,תקופת_ההלוואה-ROWS($C$4:C344)+1,הפחתה[[#This Row],[יתרת פתיחה]]),IFERROR(-IPMT(שיעור_ריבית/12,1,הפחתה[[#This Row],[תשלומים
שנותרו]],D345),0)),0)</f>
        <v>267.61976917166214</v>
      </c>
      <c r="F344" s="13">
        <f>IFERROR(IF(AND(ValuesEntered,הפחתה[[#This Row],[תאריך]]&lt;&gt;""),-PPMT(שיעור_ריבית/12,1,תקופת_ההלוואה-ROWS($C$4:C344)+1,הפחתה[[#This Row],[יתרת פתיחה]]),""),0)</f>
        <v>3050.7340697388781</v>
      </c>
      <c r="G344" s="13">
        <f>(הפחתה[[#This Row],[יתרת פתיחה]])*(מדד/12)</f>
        <v>0</v>
      </c>
      <c r="H344" s="13">
        <f>IF(הפחתה[[#This Row],[תאריך]]="",0,הפחתה[[#This Row],[ריבית]]+הפחתה[[#This Row],[קרן]]+הפחתה[[#This Row],[מדד]])</f>
        <v>3318.3538389105402</v>
      </c>
      <c r="I344" s="13">
        <f>IF(הפחתה[[#This Row],[תאריך]]="",0,הפחתה[[#This Row],[יתרת פתיחה]]-הפחתה[[#This Row],[קרן]]+הפחתה[[#This Row],[מדד]])</f>
        <v>60593.155284149914</v>
      </c>
      <c r="J344" s="11">
        <f>IF(הפחתה[[#This Row],[יתרת
סגירה]]&gt;0,LastRow-ROW(),0)</f>
        <v>19</v>
      </c>
      <c r="K344" s="11">
        <f>ROWS($K$4:K344)</f>
        <v>341</v>
      </c>
      <c r="L344" s="12" t="str">
        <f>IF(ValuesEntered2,IF(הפחתה5[[#This Row],[מס'']]&lt;=תקופת_ההלוואה2,IF(ROW()-ROW(הפחתה5[[#Headers],[תאריך]])=1,LoanStart2,IF(R343&gt;0,EDATE(L343,1),"")),""),"")</f>
        <v/>
      </c>
      <c r="M344" s="13">
        <f>IF(ROW()-ROW(הפחתה5[[#Headers],[יתרת פתיחה]])=1,סכום_הלוואה2,IF(הפחתה5[[#This Row],[תאריך]]="",0,INDEX(הפחתה5[], ROW()-4,8)))</f>
        <v>0</v>
      </c>
      <c r="N344" s="13">
        <f>IF(ValuesEntered2,IF(ROW()-ROW(הפחתה5[[#Headers],[ריבית]])=1,-IPMT(שיעור_ריבית2/12,1,תקופת_ההלוואה2-ROWS($L$4:L344)+1,הפחתה5[[#This Row],[יתרת פתיחה]]),IFERROR(-IPMT(שיעור_ריבית2/12,1,הפחתה5[[#This Row],[תשלומים
שנותרו]],M345),0)),0)</f>
        <v>0</v>
      </c>
      <c r="O344" s="13" t="str">
        <f>IFERROR(IF(AND(ValuesEntered2,הפחתה5[[#This Row],[תאריך]]&lt;&gt;""),-PPMT(שיעור_ריבית2/12,1,תקופת_ההלוואה2-ROWS($L$4:L344)+1,הפחתה5[[#This Row],[יתרת פתיחה]]),""),0)</f>
        <v/>
      </c>
      <c r="P344" s="13">
        <f>(הפחתה5[[#This Row],[יתרת פתיחה]])*(מדד2/12)</f>
        <v>0</v>
      </c>
      <c r="Q344" s="13">
        <f>IF(הפחתה5[[#This Row],[תאריך]]="",0,הפחתה5[[#This Row],[ריבית]]+הפחתה5[[#This Row],[קרן]]+הפחתה5[[#This Row],[מדד]])</f>
        <v>0</v>
      </c>
      <c r="R344" s="13">
        <f>IF(הפחתה5[[#This Row],[תאריך]]="",0,הפחתה5[[#This Row],[יתרת פתיחה]]-הפחתה5[[#This Row],[קרן]]+הפחתה5[[#This Row],[מדד]])</f>
        <v>0</v>
      </c>
      <c r="S344" s="11">
        <f>IF(הפחתה5[[#This Row],[יתרת
סגירה]]&gt;0,LastRow2-ROW(),0)</f>
        <v>0</v>
      </c>
      <c r="T344" s="11">
        <f>ROWS($T$4:T344)</f>
        <v>341</v>
      </c>
      <c r="U344" s="12" t="str">
        <f ca="1">IF(ValuesEntered3,IF(הפחתה7[[#This Row],[מס'']]&lt;=תקופת_ההלוואה3,IF(ROW()-ROW(הפחתה7[[#Headers],[תאריך]])=1,LoanStart3,IF(AA343&gt;0,EDATE(U343,1),"")),""),"")</f>
        <v/>
      </c>
      <c r="V344" s="13">
        <f ca="1">IF(ROW()-ROW(הפחתה7[[#Headers],[יתרת פתיחה]])=1,סכום_הלוואה3,IF(הפחתה7[[#This Row],[תאריך]]="",0,INDEX(הפחתה7[], ROW()-4,8)))</f>
        <v>0</v>
      </c>
      <c r="W344" s="13">
        <f ca="1">IF(ValuesEntered3,IF(ROW()-ROW(הפחתה7[[#Headers],[ריבית]])=1,-IPMT(שיעור_ריבית3/12,1,תקופת_ההלוואה3-ROWS($C$4:U344)+1,הפחתה7[[#This Row],[יתרת פתיחה]]),IFERROR(-IPMT(שיעור_ריבית3/12,1,הפחתה7[[#This Row],[תשלומים
שנותרו]],V345),0)),0)</f>
        <v>0</v>
      </c>
      <c r="X344" s="13" t="str">
        <f ca="1">IFERROR(IF(AND(ValuesEntered3,הפחתה7[[#This Row],[תאריך]]&lt;&gt;""),-PPMT(שיעור_ריבית3/12,1,תקופת_ההלוואה3-ROWS($C$4:U344)+1,הפחתה7[[#This Row],[יתרת פתיחה]]),""),0)</f>
        <v/>
      </c>
      <c r="Y344" s="13">
        <f ca="1">(הפחתה7[[#This Row],[יתרת פתיחה]])*(מדד3/12)</f>
        <v>0</v>
      </c>
      <c r="Z344" s="13">
        <f ca="1">IF(הפחתה7[[#This Row],[תאריך]]="",0,הפחתה7[[#This Row],[ריבית]]+הפחתה7[[#This Row],[קרן]]+הפחתה7[[#This Row],[מדד]])</f>
        <v>0</v>
      </c>
      <c r="AA344" s="13">
        <f ca="1">IF(הפחתה7[[#This Row],[תאריך]]="",0,הפחתה7[[#This Row],[יתרת פתיחה]]-הפחתה7[[#This Row],[קרן]]+הפחתה7[[#This Row],[מדד]])</f>
        <v>0</v>
      </c>
      <c r="AB344" s="11">
        <f ca="1">IF(הפחתה7[[#This Row],[יתרת
סגירה]]&gt;0,LastRow3-ROW(),0)</f>
        <v>0</v>
      </c>
      <c r="AC344" s="17">
        <f>ROWS($AC$4:AC344)</f>
        <v>341</v>
      </c>
      <c r="AD344" s="18" t="str">
        <f ca="1">IF(ValuesEntered4,IF(הפחתה8[[#This Row],[מס'']]&lt;=תקופת_ההלוואה4,IF(ROW()-ROW(הפחתה8[[#Headers],[תאריך]])=1,LoanStart4,IF(AJ343&gt;0,EDATE(AD343,1),"")),""),"")</f>
        <v/>
      </c>
      <c r="AE344" s="19">
        <f ca="1">IF(ROW()-ROW(הפחתה8[[#Headers],[יתרת פתיחה]])=1,סכום_הלוואה4,IF(הפחתה8[[#This Row],[תאריך]]="",0,INDEX(הפחתה8[], ROW()-4,8)))</f>
        <v>0</v>
      </c>
      <c r="AF344" s="19">
        <f ca="1">IF(ValuesEntered4,IF(ROW()-ROW(הפחתה8[[#Headers],[ריבית]])=1,-IPMT(שיעור_ריבית4/12,1,תקופת_ההלוואה4-ROWS($C$4:AD344)+1,הפחתה8[[#This Row],[יתרת פתיחה]]),IFERROR(-IPMT(שיעור_ריבית4/12,1,הפחתה8[[#This Row],[תשלומים
שנותרו]],AE345),0)),0)</f>
        <v>0</v>
      </c>
      <c r="AG344" s="19" t="str">
        <f ca="1">IFERROR(IF(AND(ValuesEntered4,הפחתה8[[#This Row],[תאריך]]&lt;&gt;""),-PPMT(שיעור_ריבית4/12,1,תקופת_ההלוואה4-ROWS($C$4:AD344)+1,הפחתה8[[#This Row],[יתרת פתיחה]]),""),0)</f>
        <v/>
      </c>
      <c r="AH344" s="19">
        <f ca="1">(הפחתה8[[#This Row],[יתרת פתיחה]])*(מדד4/12)</f>
        <v>0</v>
      </c>
      <c r="AI344" s="19">
        <f ca="1">IF(הפחתה8[[#This Row],[תאריך]]="",0,הפחתה8[[#This Row],[ריבית]]+הפחתה8[[#This Row],[קרן]]+הפחתה8[[#This Row],[מדד]])</f>
        <v>0</v>
      </c>
      <c r="AJ344" s="19">
        <f ca="1">IF(הפחתה8[[#This Row],[תאריך]]="",0,הפחתה8[[#This Row],[יתרת פתיחה]]-הפחתה8[[#This Row],[קרן]])</f>
        <v>0</v>
      </c>
      <c r="AK344" s="20">
        <f ca="1">IF(הפחתה8[[#This Row],[יתרת
סגירה]]&gt;0,LastRow4-ROW(),0)</f>
        <v>0</v>
      </c>
    </row>
    <row r="345" spans="1:37" ht="15" customHeight="1" x14ac:dyDescent="0.25">
      <c r="A345" s="8"/>
      <c r="B345" s="11">
        <f>ROWS($B$4:B345)</f>
        <v>342</v>
      </c>
      <c r="C345" s="12">
        <f>IF(ValuesEntered,IF(הפחתה[[#This Row],[מס'']]&lt;=תקופת_ההלוואה,IF(ROW()-ROW(הפחתה[[#Headers],[תאריך]])=1,LoanStart,IF(I344&gt;0,EDATE(C344,1),"")),""),"")</f>
        <v>55763</v>
      </c>
      <c r="D345" s="13">
        <f>IF(ROW()-ROW(הפחתה[[#Headers],[יתרת פתיחה]])=1,סכום_הלוואה,IF(הפחתה[[#This Row],[תאריך]]="",0,INDEX(הפחתה[], ROW()-4,8)))</f>
        <v>60593.155284149914</v>
      </c>
      <c r="E345" s="13">
        <f>IF(ValuesEntered,IF(ROW()-ROW(הפחתה[[#Headers],[ריבית]])=1,-IPMT(שיעור_ריבית/12,1,תקופת_ההלוואה-ROWS($C$4:C345)+1,הפחתה[[#This Row],[יתרת פתיחה]]),IFERROR(-IPMT(שיעור_ריבית/12,1,הפחתה[[#This Row],[תשלומים
שנותרו]],D346),0)),0)</f>
        <v>254.0861831969689</v>
      </c>
      <c r="F345" s="13">
        <f>IFERROR(IF(AND(ValuesEntered,הפחתה[[#This Row],[תאריך]]&lt;&gt;""),-PPMT(שיעור_ריבית/12,1,תקופת_ההלוואה-ROWS($C$4:C345)+1,הפחתה[[#This Row],[יתרת פתיחה]]),""),0)</f>
        <v>3064.2081452135576</v>
      </c>
      <c r="G345" s="13">
        <f>(הפחתה[[#This Row],[יתרת פתיחה]])*(מדד/12)</f>
        <v>0</v>
      </c>
      <c r="H345" s="13">
        <f>IF(הפחתה[[#This Row],[תאריך]]="",0,הפחתה[[#This Row],[ריבית]]+הפחתה[[#This Row],[קרן]]+הפחתה[[#This Row],[מדד]])</f>
        <v>3318.2943284105263</v>
      </c>
      <c r="I345" s="13">
        <f>IF(הפחתה[[#This Row],[תאריך]]="",0,הפחתה[[#This Row],[יתרת פתיחה]]-הפחתה[[#This Row],[קרן]]+הפחתה[[#This Row],[מדד]])</f>
        <v>57528.947138936353</v>
      </c>
      <c r="J345" s="11">
        <f>IF(הפחתה[[#This Row],[יתרת
סגירה]]&gt;0,LastRow-ROW(),0)</f>
        <v>18</v>
      </c>
      <c r="K345" s="11">
        <f>ROWS($K$4:K345)</f>
        <v>342</v>
      </c>
      <c r="L345" s="12" t="str">
        <f>IF(ValuesEntered2,IF(הפחתה5[[#This Row],[מס'']]&lt;=תקופת_ההלוואה2,IF(ROW()-ROW(הפחתה5[[#Headers],[תאריך]])=1,LoanStart2,IF(R344&gt;0,EDATE(L344,1),"")),""),"")</f>
        <v/>
      </c>
      <c r="M345" s="13">
        <f>IF(ROW()-ROW(הפחתה5[[#Headers],[יתרת פתיחה]])=1,סכום_הלוואה2,IF(הפחתה5[[#This Row],[תאריך]]="",0,INDEX(הפחתה5[], ROW()-4,8)))</f>
        <v>0</v>
      </c>
      <c r="N345" s="13">
        <f>IF(ValuesEntered2,IF(ROW()-ROW(הפחתה5[[#Headers],[ריבית]])=1,-IPMT(שיעור_ריבית2/12,1,תקופת_ההלוואה2-ROWS($L$4:L345)+1,הפחתה5[[#This Row],[יתרת פתיחה]]),IFERROR(-IPMT(שיעור_ריבית2/12,1,הפחתה5[[#This Row],[תשלומים
שנותרו]],M346),0)),0)</f>
        <v>0</v>
      </c>
      <c r="O345" s="13" t="str">
        <f>IFERROR(IF(AND(ValuesEntered2,הפחתה5[[#This Row],[תאריך]]&lt;&gt;""),-PPMT(שיעור_ריבית2/12,1,תקופת_ההלוואה2-ROWS($L$4:L345)+1,הפחתה5[[#This Row],[יתרת פתיחה]]),""),0)</f>
        <v/>
      </c>
      <c r="P345" s="13">
        <f>(הפחתה5[[#This Row],[יתרת פתיחה]])*(מדד2/12)</f>
        <v>0</v>
      </c>
      <c r="Q345" s="13">
        <f>IF(הפחתה5[[#This Row],[תאריך]]="",0,הפחתה5[[#This Row],[ריבית]]+הפחתה5[[#This Row],[קרן]]+הפחתה5[[#This Row],[מדד]])</f>
        <v>0</v>
      </c>
      <c r="R345" s="13">
        <f>IF(הפחתה5[[#This Row],[תאריך]]="",0,הפחתה5[[#This Row],[יתרת פתיחה]]-הפחתה5[[#This Row],[קרן]]+הפחתה5[[#This Row],[מדד]])</f>
        <v>0</v>
      </c>
      <c r="S345" s="11">
        <f>IF(הפחתה5[[#This Row],[יתרת
סגירה]]&gt;0,LastRow2-ROW(),0)</f>
        <v>0</v>
      </c>
      <c r="T345" s="11">
        <f>ROWS($T$4:T345)</f>
        <v>342</v>
      </c>
      <c r="U345" s="12" t="str">
        <f ca="1">IF(ValuesEntered3,IF(הפחתה7[[#This Row],[מס'']]&lt;=תקופת_ההלוואה3,IF(ROW()-ROW(הפחתה7[[#Headers],[תאריך]])=1,LoanStart3,IF(AA344&gt;0,EDATE(U344,1),"")),""),"")</f>
        <v/>
      </c>
      <c r="V345" s="13">
        <f ca="1">IF(ROW()-ROW(הפחתה7[[#Headers],[יתרת פתיחה]])=1,סכום_הלוואה3,IF(הפחתה7[[#This Row],[תאריך]]="",0,INDEX(הפחתה7[], ROW()-4,8)))</f>
        <v>0</v>
      </c>
      <c r="W345" s="13">
        <f ca="1">IF(ValuesEntered3,IF(ROW()-ROW(הפחתה7[[#Headers],[ריבית]])=1,-IPMT(שיעור_ריבית3/12,1,תקופת_ההלוואה3-ROWS($C$4:U345)+1,הפחתה7[[#This Row],[יתרת פתיחה]]),IFERROR(-IPMT(שיעור_ריבית3/12,1,הפחתה7[[#This Row],[תשלומים
שנותרו]],V346),0)),0)</f>
        <v>0</v>
      </c>
      <c r="X345" s="13" t="str">
        <f ca="1">IFERROR(IF(AND(ValuesEntered3,הפחתה7[[#This Row],[תאריך]]&lt;&gt;""),-PPMT(שיעור_ריבית3/12,1,תקופת_ההלוואה3-ROWS($C$4:U345)+1,הפחתה7[[#This Row],[יתרת פתיחה]]),""),0)</f>
        <v/>
      </c>
      <c r="Y345" s="13">
        <f ca="1">(הפחתה7[[#This Row],[יתרת פתיחה]])*(מדד3/12)</f>
        <v>0</v>
      </c>
      <c r="Z345" s="13">
        <f ca="1">IF(הפחתה7[[#This Row],[תאריך]]="",0,הפחתה7[[#This Row],[ריבית]]+הפחתה7[[#This Row],[קרן]]+הפחתה7[[#This Row],[מדד]])</f>
        <v>0</v>
      </c>
      <c r="AA345" s="13">
        <f ca="1">IF(הפחתה7[[#This Row],[תאריך]]="",0,הפחתה7[[#This Row],[יתרת פתיחה]]-הפחתה7[[#This Row],[קרן]]+הפחתה7[[#This Row],[מדד]])</f>
        <v>0</v>
      </c>
      <c r="AB345" s="11">
        <f ca="1">IF(הפחתה7[[#This Row],[יתרת
סגירה]]&gt;0,LastRow3-ROW(),0)</f>
        <v>0</v>
      </c>
      <c r="AC345" s="17">
        <f>ROWS($AC$4:AC345)</f>
        <v>342</v>
      </c>
      <c r="AD345" s="18" t="str">
        <f ca="1">IF(ValuesEntered4,IF(הפחתה8[[#This Row],[מס'']]&lt;=תקופת_ההלוואה4,IF(ROW()-ROW(הפחתה8[[#Headers],[תאריך]])=1,LoanStart4,IF(AJ344&gt;0,EDATE(AD344,1),"")),""),"")</f>
        <v/>
      </c>
      <c r="AE345" s="19">
        <f ca="1">IF(ROW()-ROW(הפחתה8[[#Headers],[יתרת פתיחה]])=1,סכום_הלוואה4,IF(הפחתה8[[#This Row],[תאריך]]="",0,INDEX(הפחתה8[], ROW()-4,8)))</f>
        <v>0</v>
      </c>
      <c r="AF345" s="19">
        <f ca="1">IF(ValuesEntered4,IF(ROW()-ROW(הפחתה8[[#Headers],[ריבית]])=1,-IPMT(שיעור_ריבית4/12,1,תקופת_ההלוואה4-ROWS($C$4:AD345)+1,הפחתה8[[#This Row],[יתרת פתיחה]]),IFERROR(-IPMT(שיעור_ריבית4/12,1,הפחתה8[[#This Row],[תשלומים
שנותרו]],AE346),0)),0)</f>
        <v>0</v>
      </c>
      <c r="AG345" s="19" t="str">
        <f ca="1">IFERROR(IF(AND(ValuesEntered4,הפחתה8[[#This Row],[תאריך]]&lt;&gt;""),-PPMT(שיעור_ריבית4/12,1,תקופת_ההלוואה4-ROWS($C$4:AD345)+1,הפחתה8[[#This Row],[יתרת פתיחה]]),""),0)</f>
        <v/>
      </c>
      <c r="AH345" s="19">
        <f ca="1">(הפחתה8[[#This Row],[יתרת פתיחה]])*(מדד4/12)</f>
        <v>0</v>
      </c>
      <c r="AI345" s="19">
        <f ca="1">IF(הפחתה8[[#This Row],[תאריך]]="",0,הפחתה8[[#This Row],[ריבית]]+הפחתה8[[#This Row],[קרן]]+הפחתה8[[#This Row],[מדד]])</f>
        <v>0</v>
      </c>
      <c r="AJ345" s="19">
        <f ca="1">IF(הפחתה8[[#This Row],[תאריך]]="",0,הפחתה8[[#This Row],[יתרת פתיחה]]-הפחתה8[[#This Row],[קרן]])</f>
        <v>0</v>
      </c>
      <c r="AK345" s="20">
        <f ca="1">IF(הפחתה8[[#This Row],[יתרת
סגירה]]&gt;0,LastRow4-ROW(),0)</f>
        <v>0</v>
      </c>
    </row>
    <row r="346" spans="1:37" ht="15" customHeight="1" x14ac:dyDescent="0.25">
      <c r="A346" s="8"/>
      <c r="B346" s="11">
        <f>ROWS($B$4:B346)</f>
        <v>343</v>
      </c>
      <c r="C346" s="12">
        <f>IF(ValuesEntered,IF(הפחתה[[#This Row],[מס'']]&lt;=תקופת_ההלוואה,IF(ROW()-ROW(הפחתה[[#Headers],[תאריך]])=1,LoanStart,IF(I345&gt;0,EDATE(C345,1),"")),""),"")</f>
        <v>55793</v>
      </c>
      <c r="D346" s="13">
        <f>IF(ROW()-ROW(הפחתה[[#Headers],[יתרת פתיחה]])=1,סכום_הלוואה,IF(הפחתה[[#This Row],[תאריך]]="",0,INDEX(הפחתה[], ROW()-4,8)))</f>
        <v>57528.947138936353</v>
      </c>
      <c r="E346" s="13">
        <f>IF(ValuesEntered,IF(ROW()-ROW(הפחתה[[#Headers],[ריבית]])=1,-IPMT(שיעור_ריבית/12,1,תקופת_ההלוואה-ROWS($C$4:C346)+1,הפחתה[[#This Row],[יתרת פתיחה]]),IFERROR(-IPMT(שיעור_ריבית/12,1,הפחתה[[#This Row],[תשלומים
שנותרו]],D347),0)),0)</f>
        <v>240.4928238842208</v>
      </c>
      <c r="F346" s="13">
        <f>IFERROR(IF(AND(ValuesEntered,הפחתה[[#This Row],[תאריך]]&lt;&gt;""),-PPMT(שיעור_ריבית/12,1,תקופת_ההלוואה-ROWS($C$4:C346)+1,הפחתה[[#This Row],[יתרת פתיחה]]),""),0)</f>
        <v>3077.7417311882509</v>
      </c>
      <c r="G346" s="13">
        <f>(הפחתה[[#This Row],[יתרת פתיחה]])*(מדד/12)</f>
        <v>0</v>
      </c>
      <c r="H346" s="13">
        <f>IF(הפחתה[[#This Row],[תאריך]]="",0,הפחתה[[#This Row],[ריבית]]+הפחתה[[#This Row],[קרן]]+הפחתה[[#This Row],[מדד]])</f>
        <v>3318.2345550724717</v>
      </c>
      <c r="I346" s="13">
        <f>IF(הפחתה[[#This Row],[תאריך]]="",0,הפחתה[[#This Row],[יתרת פתיחה]]-הפחתה[[#This Row],[קרן]]+הפחתה[[#This Row],[מדד]])</f>
        <v>54451.205407748101</v>
      </c>
      <c r="J346" s="11">
        <f>IF(הפחתה[[#This Row],[יתרת
סגירה]]&gt;0,LastRow-ROW(),0)</f>
        <v>17</v>
      </c>
      <c r="K346" s="11">
        <f>ROWS($K$4:K346)</f>
        <v>343</v>
      </c>
      <c r="L346" s="12" t="str">
        <f>IF(ValuesEntered2,IF(הפחתה5[[#This Row],[מס'']]&lt;=תקופת_ההלוואה2,IF(ROW()-ROW(הפחתה5[[#Headers],[תאריך]])=1,LoanStart2,IF(R345&gt;0,EDATE(L345,1),"")),""),"")</f>
        <v/>
      </c>
      <c r="M346" s="13">
        <f>IF(ROW()-ROW(הפחתה5[[#Headers],[יתרת פתיחה]])=1,סכום_הלוואה2,IF(הפחתה5[[#This Row],[תאריך]]="",0,INDEX(הפחתה5[], ROW()-4,8)))</f>
        <v>0</v>
      </c>
      <c r="N346" s="13">
        <f>IF(ValuesEntered2,IF(ROW()-ROW(הפחתה5[[#Headers],[ריבית]])=1,-IPMT(שיעור_ריבית2/12,1,תקופת_ההלוואה2-ROWS($L$4:L346)+1,הפחתה5[[#This Row],[יתרת פתיחה]]),IFERROR(-IPMT(שיעור_ריבית2/12,1,הפחתה5[[#This Row],[תשלומים
שנותרו]],M347),0)),0)</f>
        <v>0</v>
      </c>
      <c r="O346" s="13" t="str">
        <f>IFERROR(IF(AND(ValuesEntered2,הפחתה5[[#This Row],[תאריך]]&lt;&gt;""),-PPMT(שיעור_ריבית2/12,1,תקופת_ההלוואה2-ROWS($L$4:L346)+1,הפחתה5[[#This Row],[יתרת פתיחה]]),""),0)</f>
        <v/>
      </c>
      <c r="P346" s="13">
        <f>(הפחתה5[[#This Row],[יתרת פתיחה]])*(מדד2/12)</f>
        <v>0</v>
      </c>
      <c r="Q346" s="13">
        <f>IF(הפחתה5[[#This Row],[תאריך]]="",0,הפחתה5[[#This Row],[ריבית]]+הפחתה5[[#This Row],[קרן]]+הפחתה5[[#This Row],[מדד]])</f>
        <v>0</v>
      </c>
      <c r="R346" s="13">
        <f>IF(הפחתה5[[#This Row],[תאריך]]="",0,הפחתה5[[#This Row],[יתרת פתיחה]]-הפחתה5[[#This Row],[קרן]]+הפחתה5[[#This Row],[מדד]])</f>
        <v>0</v>
      </c>
      <c r="S346" s="11">
        <f>IF(הפחתה5[[#This Row],[יתרת
סגירה]]&gt;0,LastRow2-ROW(),0)</f>
        <v>0</v>
      </c>
      <c r="T346" s="11">
        <f>ROWS($T$4:T346)</f>
        <v>343</v>
      </c>
      <c r="U346" s="12" t="str">
        <f ca="1">IF(ValuesEntered3,IF(הפחתה7[[#This Row],[מס'']]&lt;=תקופת_ההלוואה3,IF(ROW()-ROW(הפחתה7[[#Headers],[תאריך]])=1,LoanStart3,IF(AA345&gt;0,EDATE(U345,1),"")),""),"")</f>
        <v/>
      </c>
      <c r="V346" s="13">
        <f ca="1">IF(ROW()-ROW(הפחתה7[[#Headers],[יתרת פתיחה]])=1,סכום_הלוואה3,IF(הפחתה7[[#This Row],[תאריך]]="",0,INDEX(הפחתה7[], ROW()-4,8)))</f>
        <v>0</v>
      </c>
      <c r="W346" s="13">
        <f ca="1">IF(ValuesEntered3,IF(ROW()-ROW(הפחתה7[[#Headers],[ריבית]])=1,-IPMT(שיעור_ריבית3/12,1,תקופת_ההלוואה3-ROWS($C$4:U346)+1,הפחתה7[[#This Row],[יתרת פתיחה]]),IFERROR(-IPMT(שיעור_ריבית3/12,1,הפחתה7[[#This Row],[תשלומים
שנותרו]],V347),0)),0)</f>
        <v>0</v>
      </c>
      <c r="X346" s="13" t="str">
        <f ca="1">IFERROR(IF(AND(ValuesEntered3,הפחתה7[[#This Row],[תאריך]]&lt;&gt;""),-PPMT(שיעור_ריבית3/12,1,תקופת_ההלוואה3-ROWS($C$4:U346)+1,הפחתה7[[#This Row],[יתרת פתיחה]]),""),0)</f>
        <v/>
      </c>
      <c r="Y346" s="13">
        <f ca="1">(הפחתה7[[#This Row],[יתרת פתיחה]])*(מדד3/12)</f>
        <v>0</v>
      </c>
      <c r="Z346" s="13">
        <f ca="1">IF(הפחתה7[[#This Row],[תאריך]]="",0,הפחתה7[[#This Row],[ריבית]]+הפחתה7[[#This Row],[קרן]]+הפחתה7[[#This Row],[מדד]])</f>
        <v>0</v>
      </c>
      <c r="AA346" s="13">
        <f ca="1">IF(הפחתה7[[#This Row],[תאריך]]="",0,הפחתה7[[#This Row],[יתרת פתיחה]]-הפחתה7[[#This Row],[קרן]]+הפחתה7[[#This Row],[מדד]])</f>
        <v>0</v>
      </c>
      <c r="AB346" s="11">
        <f ca="1">IF(הפחתה7[[#This Row],[יתרת
סגירה]]&gt;0,LastRow3-ROW(),0)</f>
        <v>0</v>
      </c>
      <c r="AC346" s="17">
        <f>ROWS($AC$4:AC346)</f>
        <v>343</v>
      </c>
      <c r="AD346" s="18" t="str">
        <f ca="1">IF(ValuesEntered4,IF(הפחתה8[[#This Row],[מס'']]&lt;=תקופת_ההלוואה4,IF(ROW()-ROW(הפחתה8[[#Headers],[תאריך]])=1,LoanStart4,IF(AJ345&gt;0,EDATE(AD345,1),"")),""),"")</f>
        <v/>
      </c>
      <c r="AE346" s="19">
        <f ca="1">IF(ROW()-ROW(הפחתה8[[#Headers],[יתרת פתיחה]])=1,סכום_הלוואה4,IF(הפחתה8[[#This Row],[תאריך]]="",0,INDEX(הפחתה8[], ROW()-4,8)))</f>
        <v>0</v>
      </c>
      <c r="AF346" s="19">
        <f ca="1">IF(ValuesEntered4,IF(ROW()-ROW(הפחתה8[[#Headers],[ריבית]])=1,-IPMT(שיעור_ריבית4/12,1,תקופת_ההלוואה4-ROWS($C$4:AD346)+1,הפחתה8[[#This Row],[יתרת פתיחה]]),IFERROR(-IPMT(שיעור_ריבית4/12,1,הפחתה8[[#This Row],[תשלומים
שנותרו]],AE347),0)),0)</f>
        <v>0</v>
      </c>
      <c r="AG346" s="19" t="str">
        <f ca="1">IFERROR(IF(AND(ValuesEntered4,הפחתה8[[#This Row],[תאריך]]&lt;&gt;""),-PPMT(שיעור_ריבית4/12,1,תקופת_ההלוואה4-ROWS($C$4:AD346)+1,הפחתה8[[#This Row],[יתרת פתיחה]]),""),0)</f>
        <v/>
      </c>
      <c r="AH346" s="19">
        <f ca="1">(הפחתה8[[#This Row],[יתרת פתיחה]])*(מדד4/12)</f>
        <v>0</v>
      </c>
      <c r="AI346" s="19">
        <f ca="1">IF(הפחתה8[[#This Row],[תאריך]]="",0,הפחתה8[[#This Row],[ריבית]]+הפחתה8[[#This Row],[קרן]]+הפחתה8[[#This Row],[מדד]])</f>
        <v>0</v>
      </c>
      <c r="AJ346" s="19">
        <f ca="1">IF(הפחתה8[[#This Row],[תאריך]]="",0,הפחתה8[[#This Row],[יתרת פתיחה]]-הפחתה8[[#This Row],[קרן]])</f>
        <v>0</v>
      </c>
      <c r="AK346" s="20">
        <f ca="1">IF(הפחתה8[[#This Row],[יתרת
סגירה]]&gt;0,LastRow4-ROW(),0)</f>
        <v>0</v>
      </c>
    </row>
    <row r="347" spans="1:37" ht="15" customHeight="1" x14ac:dyDescent="0.25">
      <c r="A347" s="8"/>
      <c r="B347" s="11">
        <f>ROWS($B$4:B347)</f>
        <v>344</v>
      </c>
      <c r="C347" s="12">
        <f>IF(ValuesEntered,IF(הפחתה[[#This Row],[מס'']]&lt;=תקופת_ההלוואה,IF(ROW()-ROW(הפחתה[[#Headers],[תאריך]])=1,LoanStart,IF(I346&gt;0,EDATE(C346,1),"")),""),"")</f>
        <v>55824</v>
      </c>
      <c r="D347" s="13">
        <f>IF(ROW()-ROW(הפחתה[[#Headers],[יתרת פתיחה]])=1,סכום_הלוואה,IF(הפחתה[[#This Row],[תאריך]]="",0,INDEX(הפחתה[], ROW()-4,8)))</f>
        <v>54451.205407748101</v>
      </c>
      <c r="E347" s="13">
        <f>IF(ValuesEntered,IF(ROW()-ROW(הפחתה[[#Headers],[ריבית]])=1,-IPMT(שיעור_ריבית/12,1,תקופת_ההלוואה-ROWS($C$4:C347)+1,הפחתה[[#This Row],[יתרת פתיחה]]),IFERROR(-IPMT(שיעור_ריבית/12,1,הפחתה[[#This Row],[תשלומים
שנותרו]],D348),0)),0)</f>
        <v>226.83942723450804</v>
      </c>
      <c r="F347" s="13">
        <f>IFERROR(IF(AND(ValuesEntered,הפחתה[[#This Row],[תאריך]]&lt;&gt;""),-PPMT(שיעור_ריבית/12,1,תקופת_ההלוואה-ROWS($C$4:C347)+1,הפחתה[[#This Row],[יתרת פתיחה]]),""),0)</f>
        <v>3091.3350905009993</v>
      </c>
      <c r="G347" s="13">
        <f>(הפחתה[[#This Row],[יתרת פתיחה]])*(מדד/12)</f>
        <v>0</v>
      </c>
      <c r="H347" s="13">
        <f>IF(הפחתה[[#This Row],[תאריך]]="",0,הפחתה[[#This Row],[ריבית]]+הפחתה[[#This Row],[קרן]]+הפחתה[[#This Row],[מדד]])</f>
        <v>3318.1745177355074</v>
      </c>
      <c r="I347" s="13">
        <f>IF(הפחתה[[#This Row],[תאריך]]="",0,הפחתה[[#This Row],[יתרת פתיחה]]-הפחתה[[#This Row],[קרן]]+הפחתה[[#This Row],[מדד]])</f>
        <v>51359.8703172471</v>
      </c>
      <c r="J347" s="11">
        <f>IF(הפחתה[[#This Row],[יתרת
סגירה]]&gt;0,LastRow-ROW(),0)</f>
        <v>16</v>
      </c>
      <c r="K347" s="11">
        <f>ROWS($K$4:K347)</f>
        <v>344</v>
      </c>
      <c r="L347" s="12" t="str">
        <f>IF(ValuesEntered2,IF(הפחתה5[[#This Row],[מס'']]&lt;=תקופת_ההלוואה2,IF(ROW()-ROW(הפחתה5[[#Headers],[תאריך]])=1,LoanStart2,IF(R346&gt;0,EDATE(L346,1),"")),""),"")</f>
        <v/>
      </c>
      <c r="M347" s="13">
        <f>IF(ROW()-ROW(הפחתה5[[#Headers],[יתרת פתיחה]])=1,סכום_הלוואה2,IF(הפחתה5[[#This Row],[תאריך]]="",0,INDEX(הפחתה5[], ROW()-4,8)))</f>
        <v>0</v>
      </c>
      <c r="N347" s="13">
        <f>IF(ValuesEntered2,IF(ROW()-ROW(הפחתה5[[#Headers],[ריבית]])=1,-IPMT(שיעור_ריבית2/12,1,תקופת_ההלוואה2-ROWS($L$4:L347)+1,הפחתה5[[#This Row],[יתרת פתיחה]]),IFERROR(-IPMT(שיעור_ריבית2/12,1,הפחתה5[[#This Row],[תשלומים
שנותרו]],M348),0)),0)</f>
        <v>0</v>
      </c>
      <c r="O347" s="13" t="str">
        <f>IFERROR(IF(AND(ValuesEntered2,הפחתה5[[#This Row],[תאריך]]&lt;&gt;""),-PPMT(שיעור_ריבית2/12,1,תקופת_ההלוואה2-ROWS($L$4:L347)+1,הפחתה5[[#This Row],[יתרת פתיחה]]),""),0)</f>
        <v/>
      </c>
      <c r="P347" s="13">
        <f>(הפחתה5[[#This Row],[יתרת פתיחה]])*(מדד2/12)</f>
        <v>0</v>
      </c>
      <c r="Q347" s="13">
        <f>IF(הפחתה5[[#This Row],[תאריך]]="",0,הפחתה5[[#This Row],[ריבית]]+הפחתה5[[#This Row],[קרן]]+הפחתה5[[#This Row],[מדד]])</f>
        <v>0</v>
      </c>
      <c r="R347" s="13">
        <f>IF(הפחתה5[[#This Row],[תאריך]]="",0,הפחתה5[[#This Row],[יתרת פתיחה]]-הפחתה5[[#This Row],[קרן]]+הפחתה5[[#This Row],[מדד]])</f>
        <v>0</v>
      </c>
      <c r="S347" s="11">
        <f>IF(הפחתה5[[#This Row],[יתרת
סגירה]]&gt;0,LastRow2-ROW(),0)</f>
        <v>0</v>
      </c>
      <c r="T347" s="11">
        <f>ROWS($T$4:T347)</f>
        <v>344</v>
      </c>
      <c r="U347" s="12" t="str">
        <f ca="1">IF(ValuesEntered3,IF(הפחתה7[[#This Row],[מס'']]&lt;=תקופת_ההלוואה3,IF(ROW()-ROW(הפחתה7[[#Headers],[תאריך]])=1,LoanStart3,IF(AA346&gt;0,EDATE(U346,1),"")),""),"")</f>
        <v/>
      </c>
      <c r="V347" s="13">
        <f ca="1">IF(ROW()-ROW(הפחתה7[[#Headers],[יתרת פתיחה]])=1,סכום_הלוואה3,IF(הפחתה7[[#This Row],[תאריך]]="",0,INDEX(הפחתה7[], ROW()-4,8)))</f>
        <v>0</v>
      </c>
      <c r="W347" s="13">
        <f ca="1">IF(ValuesEntered3,IF(ROW()-ROW(הפחתה7[[#Headers],[ריבית]])=1,-IPMT(שיעור_ריבית3/12,1,תקופת_ההלוואה3-ROWS($C$4:U347)+1,הפחתה7[[#This Row],[יתרת פתיחה]]),IFERROR(-IPMT(שיעור_ריבית3/12,1,הפחתה7[[#This Row],[תשלומים
שנותרו]],V348),0)),0)</f>
        <v>0</v>
      </c>
      <c r="X347" s="13" t="str">
        <f ca="1">IFERROR(IF(AND(ValuesEntered3,הפחתה7[[#This Row],[תאריך]]&lt;&gt;""),-PPMT(שיעור_ריבית3/12,1,תקופת_ההלוואה3-ROWS($C$4:U347)+1,הפחתה7[[#This Row],[יתרת פתיחה]]),""),0)</f>
        <v/>
      </c>
      <c r="Y347" s="13">
        <f ca="1">(הפחתה7[[#This Row],[יתרת פתיחה]])*(מדד3/12)</f>
        <v>0</v>
      </c>
      <c r="Z347" s="13">
        <f ca="1">IF(הפחתה7[[#This Row],[תאריך]]="",0,הפחתה7[[#This Row],[ריבית]]+הפחתה7[[#This Row],[קרן]]+הפחתה7[[#This Row],[מדד]])</f>
        <v>0</v>
      </c>
      <c r="AA347" s="13">
        <f ca="1">IF(הפחתה7[[#This Row],[תאריך]]="",0,הפחתה7[[#This Row],[יתרת פתיחה]]-הפחתה7[[#This Row],[קרן]]+הפחתה7[[#This Row],[מדד]])</f>
        <v>0</v>
      </c>
      <c r="AB347" s="11">
        <f ca="1">IF(הפחתה7[[#This Row],[יתרת
סגירה]]&gt;0,LastRow3-ROW(),0)</f>
        <v>0</v>
      </c>
      <c r="AC347" s="17">
        <f>ROWS($AC$4:AC347)</f>
        <v>344</v>
      </c>
      <c r="AD347" s="18" t="str">
        <f ca="1">IF(ValuesEntered4,IF(הפחתה8[[#This Row],[מס'']]&lt;=תקופת_ההלוואה4,IF(ROW()-ROW(הפחתה8[[#Headers],[תאריך]])=1,LoanStart4,IF(AJ346&gt;0,EDATE(AD346,1),"")),""),"")</f>
        <v/>
      </c>
      <c r="AE347" s="19">
        <f ca="1">IF(ROW()-ROW(הפחתה8[[#Headers],[יתרת פתיחה]])=1,סכום_הלוואה4,IF(הפחתה8[[#This Row],[תאריך]]="",0,INDEX(הפחתה8[], ROW()-4,8)))</f>
        <v>0</v>
      </c>
      <c r="AF347" s="19">
        <f ca="1">IF(ValuesEntered4,IF(ROW()-ROW(הפחתה8[[#Headers],[ריבית]])=1,-IPMT(שיעור_ריבית4/12,1,תקופת_ההלוואה4-ROWS($C$4:AD347)+1,הפחתה8[[#This Row],[יתרת פתיחה]]),IFERROR(-IPMT(שיעור_ריבית4/12,1,הפחתה8[[#This Row],[תשלומים
שנותרו]],AE348),0)),0)</f>
        <v>0</v>
      </c>
      <c r="AG347" s="19" t="str">
        <f ca="1">IFERROR(IF(AND(ValuesEntered4,הפחתה8[[#This Row],[תאריך]]&lt;&gt;""),-PPMT(שיעור_ריבית4/12,1,תקופת_ההלוואה4-ROWS($C$4:AD347)+1,הפחתה8[[#This Row],[יתרת פתיחה]]),""),0)</f>
        <v/>
      </c>
      <c r="AH347" s="19">
        <f ca="1">(הפחתה8[[#This Row],[יתרת פתיחה]])*(מדד4/12)</f>
        <v>0</v>
      </c>
      <c r="AI347" s="19">
        <f ca="1">IF(הפחתה8[[#This Row],[תאריך]]="",0,הפחתה8[[#This Row],[ריבית]]+הפחתה8[[#This Row],[קרן]]+הפחתה8[[#This Row],[מדד]])</f>
        <v>0</v>
      </c>
      <c r="AJ347" s="19">
        <f ca="1">IF(הפחתה8[[#This Row],[תאריך]]="",0,הפחתה8[[#This Row],[יתרת פתיחה]]-הפחתה8[[#This Row],[קרן]])</f>
        <v>0</v>
      </c>
      <c r="AK347" s="20">
        <f ca="1">IF(הפחתה8[[#This Row],[יתרת
סגירה]]&gt;0,LastRow4-ROW(),0)</f>
        <v>0</v>
      </c>
    </row>
    <row r="348" spans="1:37" ht="15" customHeight="1" x14ac:dyDescent="0.25">
      <c r="A348" s="8"/>
      <c r="B348" s="11">
        <f>ROWS($B$4:B348)</f>
        <v>345</v>
      </c>
      <c r="C348" s="12">
        <f>IF(ValuesEntered,IF(הפחתה[[#This Row],[מס'']]&lt;=תקופת_ההלוואה,IF(ROW()-ROW(הפחתה[[#Headers],[תאריך]])=1,LoanStart,IF(I347&gt;0,EDATE(C347,1),"")),""),"")</f>
        <v>55854</v>
      </c>
      <c r="D348" s="13">
        <f>IF(ROW()-ROW(הפחתה[[#Headers],[יתרת פתיחה]])=1,סכום_הלוואה,IF(הפחתה[[#This Row],[תאריך]]="",0,INDEX(הפחתה[], ROW()-4,8)))</f>
        <v>51359.8703172471</v>
      </c>
      <c r="E348" s="13">
        <f>IF(ValuesEntered,IF(ROW()-ROW(הפחתה[[#Headers],[ריבית]])=1,-IPMT(שיעור_ריבית/12,1,תקופת_ההלוואה-ROWS($C$4:C348)+1,הפחתה[[#This Row],[יתרת פתיחה]]),IFERROR(-IPMT(שיעור_ריבית/12,1,הפחתה[[#This Row],[תשלומים
שנותרו]],D349),0)),0)</f>
        <v>213.12572808292572</v>
      </c>
      <c r="F348" s="13">
        <f>IFERROR(IF(AND(ValuesEntered,הפחתה[[#This Row],[תאריך]]&lt;&gt;""),-PPMT(שיעור_ריבית/12,1,תקופת_ההלוואה-ROWS($C$4:C348)+1,הפחתה[[#This Row],[יתרת פתיחה]]),""),0)</f>
        <v>3104.988487150712</v>
      </c>
      <c r="G348" s="13">
        <f>(הפחתה[[#This Row],[יתרת פתיחה]])*(מדד/12)</f>
        <v>0</v>
      </c>
      <c r="H348" s="13">
        <f>IF(הפחתה[[#This Row],[תאריך]]="",0,הפחתה[[#This Row],[ריבית]]+הפחתה[[#This Row],[קרן]]+הפחתה[[#This Row],[מדד]])</f>
        <v>3318.1142152336379</v>
      </c>
      <c r="I348" s="13">
        <f>IF(הפחתה[[#This Row],[תאריך]]="",0,הפחתה[[#This Row],[יתרת פתיחה]]-הפחתה[[#This Row],[קרן]]+הפחתה[[#This Row],[מדד]])</f>
        <v>48254.88183009639</v>
      </c>
      <c r="J348" s="11">
        <f>IF(הפחתה[[#This Row],[יתרת
סגירה]]&gt;0,LastRow-ROW(),0)</f>
        <v>15</v>
      </c>
      <c r="K348" s="11">
        <f>ROWS($K$4:K348)</f>
        <v>345</v>
      </c>
      <c r="L348" s="12" t="str">
        <f>IF(ValuesEntered2,IF(הפחתה5[[#This Row],[מס'']]&lt;=תקופת_ההלוואה2,IF(ROW()-ROW(הפחתה5[[#Headers],[תאריך]])=1,LoanStart2,IF(R347&gt;0,EDATE(L347,1),"")),""),"")</f>
        <v/>
      </c>
      <c r="M348" s="13">
        <f>IF(ROW()-ROW(הפחתה5[[#Headers],[יתרת פתיחה]])=1,סכום_הלוואה2,IF(הפחתה5[[#This Row],[תאריך]]="",0,INDEX(הפחתה5[], ROW()-4,8)))</f>
        <v>0</v>
      </c>
      <c r="N348" s="13">
        <f>IF(ValuesEntered2,IF(ROW()-ROW(הפחתה5[[#Headers],[ריבית]])=1,-IPMT(שיעור_ריבית2/12,1,תקופת_ההלוואה2-ROWS($L$4:L348)+1,הפחתה5[[#This Row],[יתרת פתיחה]]),IFERROR(-IPMT(שיעור_ריבית2/12,1,הפחתה5[[#This Row],[תשלומים
שנותרו]],M349),0)),0)</f>
        <v>0</v>
      </c>
      <c r="O348" s="13" t="str">
        <f>IFERROR(IF(AND(ValuesEntered2,הפחתה5[[#This Row],[תאריך]]&lt;&gt;""),-PPMT(שיעור_ריבית2/12,1,תקופת_ההלוואה2-ROWS($L$4:L348)+1,הפחתה5[[#This Row],[יתרת פתיחה]]),""),0)</f>
        <v/>
      </c>
      <c r="P348" s="13">
        <f>(הפחתה5[[#This Row],[יתרת פתיחה]])*(מדד2/12)</f>
        <v>0</v>
      </c>
      <c r="Q348" s="13">
        <f>IF(הפחתה5[[#This Row],[תאריך]]="",0,הפחתה5[[#This Row],[ריבית]]+הפחתה5[[#This Row],[קרן]]+הפחתה5[[#This Row],[מדד]])</f>
        <v>0</v>
      </c>
      <c r="R348" s="13">
        <f>IF(הפחתה5[[#This Row],[תאריך]]="",0,הפחתה5[[#This Row],[יתרת פתיחה]]-הפחתה5[[#This Row],[קרן]]+הפחתה5[[#This Row],[מדד]])</f>
        <v>0</v>
      </c>
      <c r="S348" s="11">
        <f>IF(הפחתה5[[#This Row],[יתרת
סגירה]]&gt;0,LastRow2-ROW(),0)</f>
        <v>0</v>
      </c>
      <c r="T348" s="11">
        <f>ROWS($T$4:T348)</f>
        <v>345</v>
      </c>
      <c r="U348" s="12" t="str">
        <f ca="1">IF(ValuesEntered3,IF(הפחתה7[[#This Row],[מס'']]&lt;=תקופת_ההלוואה3,IF(ROW()-ROW(הפחתה7[[#Headers],[תאריך]])=1,LoanStart3,IF(AA347&gt;0,EDATE(U347,1),"")),""),"")</f>
        <v/>
      </c>
      <c r="V348" s="13">
        <f ca="1">IF(ROW()-ROW(הפחתה7[[#Headers],[יתרת פתיחה]])=1,סכום_הלוואה3,IF(הפחתה7[[#This Row],[תאריך]]="",0,INDEX(הפחתה7[], ROW()-4,8)))</f>
        <v>0</v>
      </c>
      <c r="W348" s="13">
        <f ca="1">IF(ValuesEntered3,IF(ROW()-ROW(הפחתה7[[#Headers],[ריבית]])=1,-IPMT(שיעור_ריבית3/12,1,תקופת_ההלוואה3-ROWS($C$4:U348)+1,הפחתה7[[#This Row],[יתרת פתיחה]]),IFERROR(-IPMT(שיעור_ריבית3/12,1,הפחתה7[[#This Row],[תשלומים
שנותרו]],V349),0)),0)</f>
        <v>0</v>
      </c>
      <c r="X348" s="13" t="str">
        <f ca="1">IFERROR(IF(AND(ValuesEntered3,הפחתה7[[#This Row],[תאריך]]&lt;&gt;""),-PPMT(שיעור_ריבית3/12,1,תקופת_ההלוואה3-ROWS($C$4:U348)+1,הפחתה7[[#This Row],[יתרת פתיחה]]),""),0)</f>
        <v/>
      </c>
      <c r="Y348" s="13">
        <f ca="1">(הפחתה7[[#This Row],[יתרת פתיחה]])*(מדד3/12)</f>
        <v>0</v>
      </c>
      <c r="Z348" s="13">
        <f ca="1">IF(הפחתה7[[#This Row],[תאריך]]="",0,הפחתה7[[#This Row],[ריבית]]+הפחתה7[[#This Row],[קרן]]+הפחתה7[[#This Row],[מדד]])</f>
        <v>0</v>
      </c>
      <c r="AA348" s="13">
        <f ca="1">IF(הפחתה7[[#This Row],[תאריך]]="",0,הפחתה7[[#This Row],[יתרת פתיחה]]-הפחתה7[[#This Row],[קרן]]+הפחתה7[[#This Row],[מדד]])</f>
        <v>0</v>
      </c>
      <c r="AB348" s="11">
        <f ca="1">IF(הפחתה7[[#This Row],[יתרת
סגירה]]&gt;0,LastRow3-ROW(),0)</f>
        <v>0</v>
      </c>
      <c r="AC348" s="17">
        <f>ROWS($AC$4:AC348)</f>
        <v>345</v>
      </c>
      <c r="AD348" s="18" t="str">
        <f ca="1">IF(ValuesEntered4,IF(הפחתה8[[#This Row],[מס'']]&lt;=תקופת_ההלוואה4,IF(ROW()-ROW(הפחתה8[[#Headers],[תאריך]])=1,LoanStart4,IF(AJ347&gt;0,EDATE(AD347,1),"")),""),"")</f>
        <v/>
      </c>
      <c r="AE348" s="19">
        <f ca="1">IF(ROW()-ROW(הפחתה8[[#Headers],[יתרת פתיחה]])=1,סכום_הלוואה4,IF(הפחתה8[[#This Row],[תאריך]]="",0,INDEX(הפחתה8[], ROW()-4,8)))</f>
        <v>0</v>
      </c>
      <c r="AF348" s="19">
        <f ca="1">IF(ValuesEntered4,IF(ROW()-ROW(הפחתה8[[#Headers],[ריבית]])=1,-IPMT(שיעור_ריבית4/12,1,תקופת_ההלוואה4-ROWS($C$4:AD348)+1,הפחתה8[[#This Row],[יתרת פתיחה]]),IFERROR(-IPMT(שיעור_ריבית4/12,1,הפחתה8[[#This Row],[תשלומים
שנותרו]],AE349),0)),0)</f>
        <v>0</v>
      </c>
      <c r="AG348" s="19" t="str">
        <f ca="1">IFERROR(IF(AND(ValuesEntered4,הפחתה8[[#This Row],[תאריך]]&lt;&gt;""),-PPMT(שיעור_ריבית4/12,1,תקופת_ההלוואה4-ROWS($C$4:AD348)+1,הפחתה8[[#This Row],[יתרת פתיחה]]),""),0)</f>
        <v/>
      </c>
      <c r="AH348" s="19">
        <f ca="1">(הפחתה8[[#This Row],[יתרת פתיחה]])*(מדד4/12)</f>
        <v>0</v>
      </c>
      <c r="AI348" s="19">
        <f ca="1">IF(הפחתה8[[#This Row],[תאריך]]="",0,הפחתה8[[#This Row],[ריבית]]+הפחתה8[[#This Row],[קרן]]+הפחתה8[[#This Row],[מדד]])</f>
        <v>0</v>
      </c>
      <c r="AJ348" s="19">
        <f ca="1">IF(הפחתה8[[#This Row],[תאריך]]="",0,הפחתה8[[#This Row],[יתרת פתיחה]]-הפחתה8[[#This Row],[קרן]])</f>
        <v>0</v>
      </c>
      <c r="AK348" s="20">
        <f ca="1">IF(הפחתה8[[#This Row],[יתרת
סגירה]]&gt;0,LastRow4-ROW(),0)</f>
        <v>0</v>
      </c>
    </row>
    <row r="349" spans="1:37" ht="15" customHeight="1" x14ac:dyDescent="0.25">
      <c r="A349" s="8"/>
      <c r="B349" s="11">
        <f>ROWS($B$4:B349)</f>
        <v>346</v>
      </c>
      <c r="C349" s="12">
        <f>IF(ValuesEntered,IF(הפחתה[[#This Row],[מס'']]&lt;=תקופת_ההלוואה,IF(ROW()-ROW(הפחתה[[#Headers],[תאריך]])=1,LoanStart,IF(I348&gt;0,EDATE(C348,1),"")),""),"")</f>
        <v>55885</v>
      </c>
      <c r="D349" s="13">
        <f>IF(ROW()-ROW(הפחתה[[#Headers],[יתרת פתיחה]])=1,סכום_הלוואה,IF(הפחתה[[#This Row],[תאריך]]="",0,INDEX(הפחתה[], ROW()-4,8)))</f>
        <v>48254.88183009639</v>
      </c>
      <c r="E349" s="13">
        <f>IF(ValuesEntered,IF(ROW()-ROW(הפחתה[[#Headers],[ריבית]])=1,-IPMT(שיעור_ריבית/12,1,תקופת_ההלוואה-ROWS($C$4:C349)+1,הפחתה[[#This Row],[יתרת פתיחה]]),IFERROR(-IPMT(שיעור_ריבית/12,1,הפחתה[[#This Row],[תשלומים
שנותרו]],D350),0)),0)</f>
        <v>199.35146009342392</v>
      </c>
      <c r="F349" s="13">
        <f>IFERROR(IF(AND(ValuesEntered,הפחתה[[#This Row],[תאריך]]&lt;&gt;""),-PPMT(שיעור_ריבית/12,1,תקופת_ההלוואה-ROWS($C$4:C349)+1,הפחתה[[#This Row],[יתרת פתיחה]]),""),0)</f>
        <v>3118.7021863022946</v>
      </c>
      <c r="G349" s="13">
        <f>(הפחתה[[#This Row],[יתרת פתיחה]])*(מדד/12)</f>
        <v>0</v>
      </c>
      <c r="H349" s="13">
        <f>IF(הפחתה[[#This Row],[תאריך]]="",0,הפחתה[[#This Row],[ריבית]]+הפחתה[[#This Row],[קרן]]+הפחתה[[#This Row],[מדד]])</f>
        <v>3318.0536463957187</v>
      </c>
      <c r="I349" s="13">
        <f>IF(הפחתה[[#This Row],[תאריך]]="",0,הפחתה[[#This Row],[יתרת פתיחה]]-הפחתה[[#This Row],[קרן]]+הפחתה[[#This Row],[מדד]])</f>
        <v>45136.179643794094</v>
      </c>
      <c r="J349" s="11">
        <f>IF(הפחתה[[#This Row],[יתרת
סגירה]]&gt;0,LastRow-ROW(),0)</f>
        <v>14</v>
      </c>
      <c r="K349" s="11">
        <f>ROWS($K$4:K349)</f>
        <v>346</v>
      </c>
      <c r="L349" s="12" t="str">
        <f>IF(ValuesEntered2,IF(הפחתה5[[#This Row],[מס'']]&lt;=תקופת_ההלוואה2,IF(ROW()-ROW(הפחתה5[[#Headers],[תאריך]])=1,LoanStart2,IF(R348&gt;0,EDATE(L348,1),"")),""),"")</f>
        <v/>
      </c>
      <c r="M349" s="13">
        <f>IF(ROW()-ROW(הפחתה5[[#Headers],[יתרת פתיחה]])=1,סכום_הלוואה2,IF(הפחתה5[[#This Row],[תאריך]]="",0,INDEX(הפחתה5[], ROW()-4,8)))</f>
        <v>0</v>
      </c>
      <c r="N349" s="13">
        <f>IF(ValuesEntered2,IF(ROW()-ROW(הפחתה5[[#Headers],[ריבית]])=1,-IPMT(שיעור_ריבית2/12,1,תקופת_ההלוואה2-ROWS($L$4:L349)+1,הפחתה5[[#This Row],[יתרת פתיחה]]),IFERROR(-IPMT(שיעור_ריבית2/12,1,הפחתה5[[#This Row],[תשלומים
שנותרו]],M350),0)),0)</f>
        <v>0</v>
      </c>
      <c r="O349" s="13" t="str">
        <f>IFERROR(IF(AND(ValuesEntered2,הפחתה5[[#This Row],[תאריך]]&lt;&gt;""),-PPMT(שיעור_ריבית2/12,1,תקופת_ההלוואה2-ROWS($L$4:L349)+1,הפחתה5[[#This Row],[יתרת פתיחה]]),""),0)</f>
        <v/>
      </c>
      <c r="P349" s="13">
        <f>(הפחתה5[[#This Row],[יתרת פתיחה]])*(מדד2/12)</f>
        <v>0</v>
      </c>
      <c r="Q349" s="13">
        <f>IF(הפחתה5[[#This Row],[תאריך]]="",0,הפחתה5[[#This Row],[ריבית]]+הפחתה5[[#This Row],[קרן]]+הפחתה5[[#This Row],[מדד]])</f>
        <v>0</v>
      </c>
      <c r="R349" s="13">
        <f>IF(הפחתה5[[#This Row],[תאריך]]="",0,הפחתה5[[#This Row],[יתרת פתיחה]]-הפחתה5[[#This Row],[קרן]]+הפחתה5[[#This Row],[מדד]])</f>
        <v>0</v>
      </c>
      <c r="S349" s="11">
        <f>IF(הפחתה5[[#This Row],[יתרת
סגירה]]&gt;0,LastRow2-ROW(),0)</f>
        <v>0</v>
      </c>
      <c r="T349" s="11">
        <f>ROWS($T$4:T349)</f>
        <v>346</v>
      </c>
      <c r="U349" s="12" t="str">
        <f ca="1">IF(ValuesEntered3,IF(הפחתה7[[#This Row],[מס'']]&lt;=תקופת_ההלוואה3,IF(ROW()-ROW(הפחתה7[[#Headers],[תאריך]])=1,LoanStart3,IF(AA348&gt;0,EDATE(U348,1),"")),""),"")</f>
        <v/>
      </c>
      <c r="V349" s="13">
        <f ca="1">IF(ROW()-ROW(הפחתה7[[#Headers],[יתרת פתיחה]])=1,סכום_הלוואה3,IF(הפחתה7[[#This Row],[תאריך]]="",0,INDEX(הפחתה7[], ROW()-4,8)))</f>
        <v>0</v>
      </c>
      <c r="W349" s="13">
        <f ca="1">IF(ValuesEntered3,IF(ROW()-ROW(הפחתה7[[#Headers],[ריבית]])=1,-IPMT(שיעור_ריבית3/12,1,תקופת_ההלוואה3-ROWS($C$4:U349)+1,הפחתה7[[#This Row],[יתרת פתיחה]]),IFERROR(-IPMT(שיעור_ריבית3/12,1,הפחתה7[[#This Row],[תשלומים
שנותרו]],V350),0)),0)</f>
        <v>0</v>
      </c>
      <c r="X349" s="13" t="str">
        <f ca="1">IFERROR(IF(AND(ValuesEntered3,הפחתה7[[#This Row],[תאריך]]&lt;&gt;""),-PPMT(שיעור_ריבית3/12,1,תקופת_ההלוואה3-ROWS($C$4:U349)+1,הפחתה7[[#This Row],[יתרת פתיחה]]),""),0)</f>
        <v/>
      </c>
      <c r="Y349" s="13">
        <f ca="1">(הפחתה7[[#This Row],[יתרת פתיחה]])*(מדד3/12)</f>
        <v>0</v>
      </c>
      <c r="Z349" s="13">
        <f ca="1">IF(הפחתה7[[#This Row],[תאריך]]="",0,הפחתה7[[#This Row],[ריבית]]+הפחתה7[[#This Row],[קרן]]+הפחתה7[[#This Row],[מדד]])</f>
        <v>0</v>
      </c>
      <c r="AA349" s="13">
        <f ca="1">IF(הפחתה7[[#This Row],[תאריך]]="",0,הפחתה7[[#This Row],[יתרת פתיחה]]-הפחתה7[[#This Row],[קרן]]+הפחתה7[[#This Row],[מדד]])</f>
        <v>0</v>
      </c>
      <c r="AB349" s="11">
        <f ca="1">IF(הפחתה7[[#This Row],[יתרת
סגירה]]&gt;0,LastRow3-ROW(),0)</f>
        <v>0</v>
      </c>
      <c r="AC349" s="17">
        <f>ROWS($AC$4:AC349)</f>
        <v>346</v>
      </c>
      <c r="AD349" s="18" t="str">
        <f ca="1">IF(ValuesEntered4,IF(הפחתה8[[#This Row],[מס'']]&lt;=תקופת_ההלוואה4,IF(ROW()-ROW(הפחתה8[[#Headers],[תאריך]])=1,LoanStart4,IF(AJ348&gt;0,EDATE(AD348,1),"")),""),"")</f>
        <v/>
      </c>
      <c r="AE349" s="19">
        <f ca="1">IF(ROW()-ROW(הפחתה8[[#Headers],[יתרת פתיחה]])=1,סכום_הלוואה4,IF(הפחתה8[[#This Row],[תאריך]]="",0,INDEX(הפחתה8[], ROW()-4,8)))</f>
        <v>0</v>
      </c>
      <c r="AF349" s="19">
        <f ca="1">IF(ValuesEntered4,IF(ROW()-ROW(הפחתה8[[#Headers],[ריבית]])=1,-IPMT(שיעור_ריבית4/12,1,תקופת_ההלוואה4-ROWS($C$4:AD349)+1,הפחתה8[[#This Row],[יתרת פתיחה]]),IFERROR(-IPMT(שיעור_ריבית4/12,1,הפחתה8[[#This Row],[תשלומים
שנותרו]],AE350),0)),0)</f>
        <v>0</v>
      </c>
      <c r="AG349" s="19" t="str">
        <f ca="1">IFERROR(IF(AND(ValuesEntered4,הפחתה8[[#This Row],[תאריך]]&lt;&gt;""),-PPMT(שיעור_ריבית4/12,1,תקופת_ההלוואה4-ROWS($C$4:AD349)+1,הפחתה8[[#This Row],[יתרת פתיחה]]),""),0)</f>
        <v/>
      </c>
      <c r="AH349" s="19">
        <f ca="1">(הפחתה8[[#This Row],[יתרת פתיחה]])*(מדד4/12)</f>
        <v>0</v>
      </c>
      <c r="AI349" s="19">
        <f ca="1">IF(הפחתה8[[#This Row],[תאריך]]="",0,הפחתה8[[#This Row],[ריבית]]+הפחתה8[[#This Row],[קרן]]+הפחתה8[[#This Row],[מדד]])</f>
        <v>0</v>
      </c>
      <c r="AJ349" s="19">
        <f ca="1">IF(הפחתה8[[#This Row],[תאריך]]="",0,הפחתה8[[#This Row],[יתרת פתיחה]]-הפחתה8[[#This Row],[קרן]])</f>
        <v>0</v>
      </c>
      <c r="AK349" s="20">
        <f ca="1">IF(הפחתה8[[#This Row],[יתרת
סגירה]]&gt;0,LastRow4-ROW(),0)</f>
        <v>0</v>
      </c>
    </row>
    <row r="350" spans="1:37" ht="15" customHeight="1" x14ac:dyDescent="0.25">
      <c r="A350" s="8"/>
      <c r="B350" s="11">
        <f>ROWS($B$4:B350)</f>
        <v>347</v>
      </c>
      <c r="C350" s="12">
        <f>IF(ValuesEntered,IF(הפחתה[[#This Row],[מס'']]&lt;=תקופת_ההלוואה,IF(ROW()-ROW(הפחתה[[#Headers],[תאריך]])=1,LoanStart,IF(I349&gt;0,EDATE(C349,1),"")),""),"")</f>
        <v>55916</v>
      </c>
      <c r="D350" s="13">
        <f>IF(ROW()-ROW(הפחתה[[#Headers],[יתרת פתיחה]])=1,סכום_הלוואה,IF(הפחתה[[#This Row],[תאריך]]="",0,INDEX(הפחתה[], ROW()-4,8)))</f>
        <v>45136.179643794094</v>
      </c>
      <c r="E350" s="13">
        <f>IF(ValuesEntered,IF(ROW()-ROW(הפחתה[[#Headers],[ריבית]])=1,-IPMT(שיעור_ריבית/12,1,תקופת_ההלוואה-ROWS($C$4:C350)+1,הפחתה[[#This Row],[יתרת פתיחה]]),IFERROR(-IPMT(שיעור_ריבית/12,1,הפחתה[[#This Row],[תשלומים
שנותרו]],D351),0)),0)</f>
        <v>185.51635575363514</v>
      </c>
      <c r="F350" s="13">
        <f>IFERROR(IF(AND(ValuesEntered,הפחתה[[#This Row],[תאריך]]&lt;&gt;""),-PPMT(שיעור_ריבית/12,1,תקופת_ההלוואה-ROWS($C$4:C350)+1,הפחתה[[#This Row],[יתרת פתיחה]]),""),0)</f>
        <v>3132.4764542917956</v>
      </c>
      <c r="G350" s="13">
        <f>(הפחתה[[#This Row],[יתרת פתיחה]])*(מדד/12)</f>
        <v>0</v>
      </c>
      <c r="H350" s="13">
        <f>IF(הפחתה[[#This Row],[תאריך]]="",0,הפחתה[[#This Row],[ריבית]]+הפחתה[[#This Row],[קרן]]+הפחתה[[#This Row],[מדד]])</f>
        <v>3317.9928100454308</v>
      </c>
      <c r="I350" s="13">
        <f>IF(הפחתה[[#This Row],[תאריך]]="",0,הפחתה[[#This Row],[יתרת פתיחה]]-הפחתה[[#This Row],[קרן]]+הפחתה[[#This Row],[מדד]])</f>
        <v>42003.703189502296</v>
      </c>
      <c r="J350" s="11">
        <f>IF(הפחתה[[#This Row],[יתרת
סגירה]]&gt;0,LastRow-ROW(),0)</f>
        <v>13</v>
      </c>
      <c r="K350" s="11">
        <f>ROWS($K$4:K350)</f>
        <v>347</v>
      </c>
      <c r="L350" s="12" t="str">
        <f>IF(ValuesEntered2,IF(הפחתה5[[#This Row],[מס'']]&lt;=תקופת_ההלוואה2,IF(ROW()-ROW(הפחתה5[[#Headers],[תאריך]])=1,LoanStart2,IF(R349&gt;0,EDATE(L349,1),"")),""),"")</f>
        <v/>
      </c>
      <c r="M350" s="13">
        <f>IF(ROW()-ROW(הפחתה5[[#Headers],[יתרת פתיחה]])=1,סכום_הלוואה2,IF(הפחתה5[[#This Row],[תאריך]]="",0,INDEX(הפחתה5[], ROW()-4,8)))</f>
        <v>0</v>
      </c>
      <c r="N350" s="13">
        <f>IF(ValuesEntered2,IF(ROW()-ROW(הפחתה5[[#Headers],[ריבית]])=1,-IPMT(שיעור_ריבית2/12,1,תקופת_ההלוואה2-ROWS($L$4:L350)+1,הפחתה5[[#This Row],[יתרת פתיחה]]),IFERROR(-IPMT(שיעור_ריבית2/12,1,הפחתה5[[#This Row],[תשלומים
שנותרו]],M351),0)),0)</f>
        <v>0</v>
      </c>
      <c r="O350" s="13" t="str">
        <f>IFERROR(IF(AND(ValuesEntered2,הפחתה5[[#This Row],[תאריך]]&lt;&gt;""),-PPMT(שיעור_ריבית2/12,1,תקופת_ההלוואה2-ROWS($L$4:L350)+1,הפחתה5[[#This Row],[יתרת פתיחה]]),""),0)</f>
        <v/>
      </c>
      <c r="P350" s="13">
        <f>(הפחתה5[[#This Row],[יתרת פתיחה]])*(מדד2/12)</f>
        <v>0</v>
      </c>
      <c r="Q350" s="13">
        <f>IF(הפחתה5[[#This Row],[תאריך]]="",0,הפחתה5[[#This Row],[ריבית]]+הפחתה5[[#This Row],[קרן]]+הפחתה5[[#This Row],[מדד]])</f>
        <v>0</v>
      </c>
      <c r="R350" s="13">
        <f>IF(הפחתה5[[#This Row],[תאריך]]="",0,הפחתה5[[#This Row],[יתרת פתיחה]]-הפחתה5[[#This Row],[קרן]]+הפחתה5[[#This Row],[מדד]])</f>
        <v>0</v>
      </c>
      <c r="S350" s="11">
        <f>IF(הפחתה5[[#This Row],[יתרת
סגירה]]&gt;0,LastRow2-ROW(),0)</f>
        <v>0</v>
      </c>
      <c r="T350" s="11">
        <f>ROWS($T$4:T350)</f>
        <v>347</v>
      </c>
      <c r="U350" s="12" t="str">
        <f ca="1">IF(ValuesEntered3,IF(הפחתה7[[#This Row],[מס'']]&lt;=תקופת_ההלוואה3,IF(ROW()-ROW(הפחתה7[[#Headers],[תאריך]])=1,LoanStart3,IF(AA349&gt;0,EDATE(U349,1),"")),""),"")</f>
        <v/>
      </c>
      <c r="V350" s="13">
        <f ca="1">IF(ROW()-ROW(הפחתה7[[#Headers],[יתרת פתיחה]])=1,סכום_הלוואה3,IF(הפחתה7[[#This Row],[תאריך]]="",0,INDEX(הפחתה7[], ROW()-4,8)))</f>
        <v>0</v>
      </c>
      <c r="W350" s="13">
        <f ca="1">IF(ValuesEntered3,IF(ROW()-ROW(הפחתה7[[#Headers],[ריבית]])=1,-IPMT(שיעור_ריבית3/12,1,תקופת_ההלוואה3-ROWS($C$4:U350)+1,הפחתה7[[#This Row],[יתרת פתיחה]]),IFERROR(-IPMT(שיעור_ריבית3/12,1,הפחתה7[[#This Row],[תשלומים
שנותרו]],V351),0)),0)</f>
        <v>0</v>
      </c>
      <c r="X350" s="13" t="str">
        <f ca="1">IFERROR(IF(AND(ValuesEntered3,הפחתה7[[#This Row],[תאריך]]&lt;&gt;""),-PPMT(שיעור_ריבית3/12,1,תקופת_ההלוואה3-ROWS($C$4:U350)+1,הפחתה7[[#This Row],[יתרת פתיחה]]),""),0)</f>
        <v/>
      </c>
      <c r="Y350" s="13">
        <f ca="1">(הפחתה7[[#This Row],[יתרת פתיחה]])*(מדד3/12)</f>
        <v>0</v>
      </c>
      <c r="Z350" s="13">
        <f ca="1">IF(הפחתה7[[#This Row],[תאריך]]="",0,הפחתה7[[#This Row],[ריבית]]+הפחתה7[[#This Row],[קרן]]+הפחתה7[[#This Row],[מדד]])</f>
        <v>0</v>
      </c>
      <c r="AA350" s="13">
        <f ca="1">IF(הפחתה7[[#This Row],[תאריך]]="",0,הפחתה7[[#This Row],[יתרת פתיחה]]-הפחתה7[[#This Row],[קרן]]+הפחתה7[[#This Row],[מדד]])</f>
        <v>0</v>
      </c>
      <c r="AB350" s="11">
        <f ca="1">IF(הפחתה7[[#This Row],[יתרת
סגירה]]&gt;0,LastRow3-ROW(),0)</f>
        <v>0</v>
      </c>
      <c r="AC350" s="17">
        <f>ROWS($AC$4:AC350)</f>
        <v>347</v>
      </c>
      <c r="AD350" s="18" t="str">
        <f ca="1">IF(ValuesEntered4,IF(הפחתה8[[#This Row],[מס'']]&lt;=תקופת_ההלוואה4,IF(ROW()-ROW(הפחתה8[[#Headers],[תאריך]])=1,LoanStart4,IF(AJ349&gt;0,EDATE(AD349,1),"")),""),"")</f>
        <v/>
      </c>
      <c r="AE350" s="19">
        <f ca="1">IF(ROW()-ROW(הפחתה8[[#Headers],[יתרת פתיחה]])=1,סכום_הלוואה4,IF(הפחתה8[[#This Row],[תאריך]]="",0,INDEX(הפחתה8[], ROW()-4,8)))</f>
        <v>0</v>
      </c>
      <c r="AF350" s="19">
        <f ca="1">IF(ValuesEntered4,IF(ROW()-ROW(הפחתה8[[#Headers],[ריבית]])=1,-IPMT(שיעור_ריבית4/12,1,תקופת_ההלוואה4-ROWS($C$4:AD350)+1,הפחתה8[[#This Row],[יתרת פתיחה]]),IFERROR(-IPMT(שיעור_ריבית4/12,1,הפחתה8[[#This Row],[תשלומים
שנותרו]],AE351),0)),0)</f>
        <v>0</v>
      </c>
      <c r="AG350" s="19" t="str">
        <f ca="1">IFERROR(IF(AND(ValuesEntered4,הפחתה8[[#This Row],[תאריך]]&lt;&gt;""),-PPMT(שיעור_ריבית4/12,1,תקופת_ההלוואה4-ROWS($C$4:AD350)+1,הפחתה8[[#This Row],[יתרת פתיחה]]),""),0)</f>
        <v/>
      </c>
      <c r="AH350" s="19">
        <f ca="1">(הפחתה8[[#This Row],[יתרת פתיחה]])*(מדד4/12)</f>
        <v>0</v>
      </c>
      <c r="AI350" s="19">
        <f ca="1">IF(הפחתה8[[#This Row],[תאריך]]="",0,הפחתה8[[#This Row],[ריבית]]+הפחתה8[[#This Row],[קרן]]+הפחתה8[[#This Row],[מדד]])</f>
        <v>0</v>
      </c>
      <c r="AJ350" s="19">
        <f ca="1">IF(הפחתה8[[#This Row],[תאריך]]="",0,הפחתה8[[#This Row],[יתרת פתיחה]]-הפחתה8[[#This Row],[קרן]])</f>
        <v>0</v>
      </c>
      <c r="AK350" s="20">
        <f ca="1">IF(הפחתה8[[#This Row],[יתרת
סגירה]]&gt;0,LastRow4-ROW(),0)</f>
        <v>0</v>
      </c>
    </row>
    <row r="351" spans="1:37" ht="15" customHeight="1" x14ac:dyDescent="0.25">
      <c r="A351" s="8"/>
      <c r="B351" s="11">
        <f>ROWS($B$4:B351)</f>
        <v>348</v>
      </c>
      <c r="C351" s="12">
        <f>IF(ValuesEntered,IF(הפחתה[[#This Row],[מס'']]&lt;=תקופת_ההלוואה,IF(ROW()-ROW(הפחתה[[#Headers],[תאריך]])=1,LoanStart,IF(I350&gt;0,EDATE(C350,1),"")),""),"")</f>
        <v>55944</v>
      </c>
      <c r="D351" s="13">
        <f>IF(ROW()-ROW(הפחתה[[#Headers],[יתרת פתיחה]])=1,סכום_הלוואה,IF(הפחתה[[#This Row],[תאריך]]="",0,INDEX(הפחתה[], ROW()-4,8)))</f>
        <v>42003.703189502296</v>
      </c>
      <c r="E351" s="13">
        <f>IF(ValuesEntered,IF(ROW()-ROW(הפחתה[[#Headers],[ריבית]])=1,-IPMT(שיעור_ריבית/12,1,תקופת_ההלוואה-ROWS($C$4:C351)+1,הפחתה[[#This Row],[יתרת פתיחה]]),IFERROR(-IPMT(שיעור_ריבית/12,1,הפחתה[[#This Row],[תשלומים
שנותרו]],D352),0)),0)</f>
        <v>171.62014636967899</v>
      </c>
      <c r="F351" s="13">
        <f>IFERROR(IF(AND(ValuesEntered,הפחתה[[#This Row],[תאריך]]&lt;&gt;""),-PPMT(שיעור_ריבית/12,1,תקופת_ההלוואה-ROWS($C$4:C351)+1,הפחתה[[#This Row],[יתרת פתיחה]]),""),0)</f>
        <v>3146.3115586315839</v>
      </c>
      <c r="G351" s="13">
        <f>(הפחתה[[#This Row],[יתרת פתיחה]])*(מדד/12)</f>
        <v>0</v>
      </c>
      <c r="H351" s="13">
        <f>IF(הפחתה[[#This Row],[תאריך]]="",0,הפחתה[[#This Row],[ריבית]]+הפחתה[[#This Row],[קרן]]+הפחתה[[#This Row],[מדד]])</f>
        <v>3317.9317050012628</v>
      </c>
      <c r="I351" s="13">
        <f>IF(הפחתה[[#This Row],[תאריך]]="",0,הפחתה[[#This Row],[יתרת פתיחה]]-הפחתה[[#This Row],[קרן]]+הפחתה[[#This Row],[מדד]])</f>
        <v>38857.391630870712</v>
      </c>
      <c r="J351" s="11">
        <f>IF(הפחתה[[#This Row],[יתרת
סגירה]]&gt;0,LastRow-ROW(),0)</f>
        <v>12</v>
      </c>
      <c r="K351" s="11">
        <f>ROWS($K$4:K351)</f>
        <v>348</v>
      </c>
      <c r="L351" s="12" t="str">
        <f>IF(ValuesEntered2,IF(הפחתה5[[#This Row],[מס'']]&lt;=תקופת_ההלוואה2,IF(ROW()-ROW(הפחתה5[[#Headers],[תאריך]])=1,LoanStart2,IF(R350&gt;0,EDATE(L350,1),"")),""),"")</f>
        <v/>
      </c>
      <c r="M351" s="13">
        <f>IF(ROW()-ROW(הפחתה5[[#Headers],[יתרת פתיחה]])=1,סכום_הלוואה2,IF(הפחתה5[[#This Row],[תאריך]]="",0,INDEX(הפחתה5[], ROW()-4,8)))</f>
        <v>0</v>
      </c>
      <c r="N351" s="13">
        <f>IF(ValuesEntered2,IF(ROW()-ROW(הפחתה5[[#Headers],[ריבית]])=1,-IPMT(שיעור_ריבית2/12,1,תקופת_ההלוואה2-ROWS($L$4:L351)+1,הפחתה5[[#This Row],[יתרת פתיחה]]),IFERROR(-IPMT(שיעור_ריבית2/12,1,הפחתה5[[#This Row],[תשלומים
שנותרו]],M352),0)),0)</f>
        <v>0</v>
      </c>
      <c r="O351" s="13" t="str">
        <f>IFERROR(IF(AND(ValuesEntered2,הפחתה5[[#This Row],[תאריך]]&lt;&gt;""),-PPMT(שיעור_ריבית2/12,1,תקופת_ההלוואה2-ROWS($L$4:L351)+1,הפחתה5[[#This Row],[יתרת פתיחה]]),""),0)</f>
        <v/>
      </c>
      <c r="P351" s="13">
        <f>(הפחתה5[[#This Row],[יתרת פתיחה]])*(מדד2/12)</f>
        <v>0</v>
      </c>
      <c r="Q351" s="13">
        <f>IF(הפחתה5[[#This Row],[תאריך]]="",0,הפחתה5[[#This Row],[ריבית]]+הפחתה5[[#This Row],[קרן]]+הפחתה5[[#This Row],[מדד]])</f>
        <v>0</v>
      </c>
      <c r="R351" s="13">
        <f>IF(הפחתה5[[#This Row],[תאריך]]="",0,הפחתה5[[#This Row],[יתרת פתיחה]]-הפחתה5[[#This Row],[קרן]]+הפחתה5[[#This Row],[מדד]])</f>
        <v>0</v>
      </c>
      <c r="S351" s="11">
        <f>IF(הפחתה5[[#This Row],[יתרת
סגירה]]&gt;0,LastRow2-ROW(),0)</f>
        <v>0</v>
      </c>
      <c r="T351" s="11">
        <f>ROWS($T$4:T351)</f>
        <v>348</v>
      </c>
      <c r="U351" s="12" t="str">
        <f ca="1">IF(ValuesEntered3,IF(הפחתה7[[#This Row],[מס'']]&lt;=תקופת_ההלוואה3,IF(ROW()-ROW(הפחתה7[[#Headers],[תאריך]])=1,LoanStart3,IF(AA350&gt;0,EDATE(U350,1),"")),""),"")</f>
        <v/>
      </c>
      <c r="V351" s="13">
        <f ca="1">IF(ROW()-ROW(הפחתה7[[#Headers],[יתרת פתיחה]])=1,סכום_הלוואה3,IF(הפחתה7[[#This Row],[תאריך]]="",0,INDEX(הפחתה7[], ROW()-4,8)))</f>
        <v>0</v>
      </c>
      <c r="W351" s="13">
        <f ca="1">IF(ValuesEntered3,IF(ROW()-ROW(הפחתה7[[#Headers],[ריבית]])=1,-IPMT(שיעור_ריבית3/12,1,תקופת_ההלוואה3-ROWS($C$4:U351)+1,הפחתה7[[#This Row],[יתרת פתיחה]]),IFERROR(-IPMT(שיעור_ריבית3/12,1,הפחתה7[[#This Row],[תשלומים
שנותרו]],V352),0)),0)</f>
        <v>0</v>
      </c>
      <c r="X351" s="13" t="str">
        <f ca="1">IFERROR(IF(AND(ValuesEntered3,הפחתה7[[#This Row],[תאריך]]&lt;&gt;""),-PPMT(שיעור_ריבית3/12,1,תקופת_ההלוואה3-ROWS($C$4:U351)+1,הפחתה7[[#This Row],[יתרת פתיחה]]),""),0)</f>
        <v/>
      </c>
      <c r="Y351" s="13">
        <f ca="1">(הפחתה7[[#This Row],[יתרת פתיחה]])*(מדד3/12)</f>
        <v>0</v>
      </c>
      <c r="Z351" s="13">
        <f ca="1">IF(הפחתה7[[#This Row],[תאריך]]="",0,הפחתה7[[#This Row],[ריבית]]+הפחתה7[[#This Row],[קרן]]+הפחתה7[[#This Row],[מדד]])</f>
        <v>0</v>
      </c>
      <c r="AA351" s="13">
        <f ca="1">IF(הפחתה7[[#This Row],[תאריך]]="",0,הפחתה7[[#This Row],[יתרת פתיחה]]-הפחתה7[[#This Row],[קרן]]+הפחתה7[[#This Row],[מדד]])</f>
        <v>0</v>
      </c>
      <c r="AB351" s="11">
        <f ca="1">IF(הפחתה7[[#This Row],[יתרת
סגירה]]&gt;0,LastRow3-ROW(),0)</f>
        <v>0</v>
      </c>
      <c r="AC351" s="17">
        <f>ROWS($AC$4:AC351)</f>
        <v>348</v>
      </c>
      <c r="AD351" s="18" t="str">
        <f ca="1">IF(ValuesEntered4,IF(הפחתה8[[#This Row],[מס'']]&lt;=תקופת_ההלוואה4,IF(ROW()-ROW(הפחתה8[[#Headers],[תאריך]])=1,LoanStart4,IF(AJ350&gt;0,EDATE(AD350,1),"")),""),"")</f>
        <v/>
      </c>
      <c r="AE351" s="19">
        <f ca="1">IF(ROW()-ROW(הפחתה8[[#Headers],[יתרת פתיחה]])=1,סכום_הלוואה4,IF(הפחתה8[[#This Row],[תאריך]]="",0,INDEX(הפחתה8[], ROW()-4,8)))</f>
        <v>0</v>
      </c>
      <c r="AF351" s="19">
        <f ca="1">IF(ValuesEntered4,IF(ROW()-ROW(הפחתה8[[#Headers],[ריבית]])=1,-IPMT(שיעור_ריבית4/12,1,תקופת_ההלוואה4-ROWS($C$4:AD351)+1,הפחתה8[[#This Row],[יתרת פתיחה]]),IFERROR(-IPMT(שיעור_ריבית4/12,1,הפחתה8[[#This Row],[תשלומים
שנותרו]],AE352),0)),0)</f>
        <v>0</v>
      </c>
      <c r="AG351" s="19" t="str">
        <f ca="1">IFERROR(IF(AND(ValuesEntered4,הפחתה8[[#This Row],[תאריך]]&lt;&gt;""),-PPMT(שיעור_ריבית4/12,1,תקופת_ההלוואה4-ROWS($C$4:AD351)+1,הפחתה8[[#This Row],[יתרת פתיחה]]),""),0)</f>
        <v/>
      </c>
      <c r="AH351" s="19">
        <f ca="1">(הפחתה8[[#This Row],[יתרת פתיחה]])*(מדד4/12)</f>
        <v>0</v>
      </c>
      <c r="AI351" s="19">
        <f ca="1">IF(הפחתה8[[#This Row],[תאריך]]="",0,הפחתה8[[#This Row],[ריבית]]+הפחתה8[[#This Row],[קרן]]+הפחתה8[[#This Row],[מדד]])</f>
        <v>0</v>
      </c>
      <c r="AJ351" s="19">
        <f ca="1">IF(הפחתה8[[#This Row],[תאריך]]="",0,הפחתה8[[#This Row],[יתרת פתיחה]]-הפחתה8[[#This Row],[קרן]])</f>
        <v>0</v>
      </c>
      <c r="AK351" s="20">
        <f ca="1">IF(הפחתה8[[#This Row],[יתרת
סגירה]]&gt;0,LastRow4-ROW(),0)</f>
        <v>0</v>
      </c>
    </row>
    <row r="352" spans="1:37" ht="15" customHeight="1" x14ac:dyDescent="0.25">
      <c r="A352" s="8"/>
      <c r="B352" s="11">
        <f>ROWS($B$4:B352)</f>
        <v>349</v>
      </c>
      <c r="C352" s="12">
        <f>IF(ValuesEntered,IF(הפחתה[[#This Row],[מס'']]&lt;=תקופת_ההלוואה,IF(ROW()-ROW(הפחתה[[#Headers],[תאריך]])=1,LoanStart,IF(I351&gt;0,EDATE(C351,1),"")),""),"")</f>
        <v>55975</v>
      </c>
      <c r="D352" s="13">
        <f>IF(ROW()-ROW(הפחתה[[#Headers],[יתרת פתיחה]])=1,סכום_הלוואה,IF(הפחתה[[#This Row],[תאריך]]="",0,INDEX(הפחתה[], ROW()-4,8)))</f>
        <v>38857.391630870712</v>
      </c>
      <c r="E352" s="13">
        <f>IF(ValuesEntered,IF(ROW()-ROW(הפחתה[[#Headers],[ריבית]])=1,-IPMT(שיעור_ריבית/12,1,תקופת_ההלוואה-ROWS($C$4:C352)+1,הפחתה[[#This Row],[יתרת פתיחה]]),IFERROR(-IPMT(שיעור_ריבית/12,1,הפחתה[[#This Row],[תשלומים
שנותרו]],D353),0)),0)</f>
        <v>157.66256206094369</v>
      </c>
      <c r="F352" s="13">
        <f>IFERROR(IF(AND(ValuesEntered,הפחתה[[#This Row],[תאריך]]&lt;&gt;""),-PPMT(שיעור_ריבית/12,1,תקופת_ההלוואה-ROWS($C$4:C352)+1,הפחתה[[#This Row],[יתרת פתיחה]]),""),0)</f>
        <v>3160.2077680155403</v>
      </c>
      <c r="G352" s="13">
        <f>(הפחתה[[#This Row],[יתרת פתיחה]])*(מדד/12)</f>
        <v>0</v>
      </c>
      <c r="H352" s="13">
        <f>IF(הפחתה[[#This Row],[תאריך]]="",0,הפחתה[[#This Row],[ריבית]]+הפחתה[[#This Row],[קרן]]+הפחתה[[#This Row],[מדד]])</f>
        <v>3317.8703300764842</v>
      </c>
      <c r="I352" s="13">
        <f>IF(הפחתה[[#This Row],[תאריך]]="",0,הפחתה[[#This Row],[יתרת פתיחה]]-הפחתה[[#This Row],[קרן]]+הפחתה[[#This Row],[מדד]])</f>
        <v>35697.18386285517</v>
      </c>
      <c r="J352" s="11">
        <f>IF(הפחתה[[#This Row],[יתרת
סגירה]]&gt;0,LastRow-ROW(),0)</f>
        <v>11</v>
      </c>
      <c r="K352" s="11">
        <f>ROWS($K$4:K352)</f>
        <v>349</v>
      </c>
      <c r="L352" s="12" t="str">
        <f>IF(ValuesEntered2,IF(הפחתה5[[#This Row],[מס'']]&lt;=תקופת_ההלוואה2,IF(ROW()-ROW(הפחתה5[[#Headers],[תאריך]])=1,LoanStart2,IF(R351&gt;0,EDATE(L351,1),"")),""),"")</f>
        <v/>
      </c>
      <c r="M352" s="13">
        <f>IF(ROW()-ROW(הפחתה5[[#Headers],[יתרת פתיחה]])=1,סכום_הלוואה2,IF(הפחתה5[[#This Row],[תאריך]]="",0,INDEX(הפחתה5[], ROW()-4,8)))</f>
        <v>0</v>
      </c>
      <c r="N352" s="13">
        <f>IF(ValuesEntered2,IF(ROW()-ROW(הפחתה5[[#Headers],[ריבית]])=1,-IPMT(שיעור_ריבית2/12,1,תקופת_ההלוואה2-ROWS($L$4:L352)+1,הפחתה5[[#This Row],[יתרת פתיחה]]),IFERROR(-IPMT(שיעור_ריבית2/12,1,הפחתה5[[#This Row],[תשלומים
שנותרו]],M353),0)),0)</f>
        <v>0</v>
      </c>
      <c r="O352" s="13" t="str">
        <f>IFERROR(IF(AND(ValuesEntered2,הפחתה5[[#This Row],[תאריך]]&lt;&gt;""),-PPMT(שיעור_ריבית2/12,1,תקופת_ההלוואה2-ROWS($L$4:L352)+1,הפחתה5[[#This Row],[יתרת פתיחה]]),""),0)</f>
        <v/>
      </c>
      <c r="P352" s="13">
        <f>(הפחתה5[[#This Row],[יתרת פתיחה]])*(מדד2/12)</f>
        <v>0</v>
      </c>
      <c r="Q352" s="13">
        <f>IF(הפחתה5[[#This Row],[תאריך]]="",0,הפחתה5[[#This Row],[ריבית]]+הפחתה5[[#This Row],[קרן]]+הפחתה5[[#This Row],[מדד]])</f>
        <v>0</v>
      </c>
      <c r="R352" s="13">
        <f>IF(הפחתה5[[#This Row],[תאריך]]="",0,הפחתה5[[#This Row],[יתרת פתיחה]]-הפחתה5[[#This Row],[קרן]]+הפחתה5[[#This Row],[מדד]])</f>
        <v>0</v>
      </c>
      <c r="S352" s="11">
        <f>IF(הפחתה5[[#This Row],[יתרת
סגירה]]&gt;0,LastRow2-ROW(),0)</f>
        <v>0</v>
      </c>
      <c r="T352" s="11">
        <f>ROWS($T$4:T352)</f>
        <v>349</v>
      </c>
      <c r="U352" s="12" t="str">
        <f ca="1">IF(ValuesEntered3,IF(הפחתה7[[#This Row],[מס'']]&lt;=תקופת_ההלוואה3,IF(ROW()-ROW(הפחתה7[[#Headers],[תאריך]])=1,LoanStart3,IF(AA351&gt;0,EDATE(U351,1),"")),""),"")</f>
        <v/>
      </c>
      <c r="V352" s="13">
        <f ca="1">IF(ROW()-ROW(הפחתה7[[#Headers],[יתרת פתיחה]])=1,סכום_הלוואה3,IF(הפחתה7[[#This Row],[תאריך]]="",0,INDEX(הפחתה7[], ROW()-4,8)))</f>
        <v>0</v>
      </c>
      <c r="W352" s="13">
        <f ca="1">IF(ValuesEntered3,IF(ROW()-ROW(הפחתה7[[#Headers],[ריבית]])=1,-IPMT(שיעור_ריבית3/12,1,תקופת_ההלוואה3-ROWS($C$4:U352)+1,הפחתה7[[#This Row],[יתרת פתיחה]]),IFERROR(-IPMT(שיעור_ריבית3/12,1,הפחתה7[[#This Row],[תשלומים
שנותרו]],V353),0)),0)</f>
        <v>0</v>
      </c>
      <c r="X352" s="13" t="str">
        <f ca="1">IFERROR(IF(AND(ValuesEntered3,הפחתה7[[#This Row],[תאריך]]&lt;&gt;""),-PPMT(שיעור_ריבית3/12,1,תקופת_ההלוואה3-ROWS($C$4:U352)+1,הפחתה7[[#This Row],[יתרת פתיחה]]),""),0)</f>
        <v/>
      </c>
      <c r="Y352" s="13">
        <f ca="1">(הפחתה7[[#This Row],[יתרת פתיחה]])*(מדד3/12)</f>
        <v>0</v>
      </c>
      <c r="Z352" s="13">
        <f ca="1">IF(הפחתה7[[#This Row],[תאריך]]="",0,הפחתה7[[#This Row],[ריבית]]+הפחתה7[[#This Row],[קרן]]+הפחתה7[[#This Row],[מדד]])</f>
        <v>0</v>
      </c>
      <c r="AA352" s="13">
        <f ca="1">IF(הפחתה7[[#This Row],[תאריך]]="",0,הפחתה7[[#This Row],[יתרת פתיחה]]-הפחתה7[[#This Row],[קרן]]+הפחתה7[[#This Row],[מדד]])</f>
        <v>0</v>
      </c>
      <c r="AB352" s="11">
        <f ca="1">IF(הפחתה7[[#This Row],[יתרת
סגירה]]&gt;0,LastRow3-ROW(),0)</f>
        <v>0</v>
      </c>
      <c r="AC352" s="17">
        <f>ROWS($AC$4:AC352)</f>
        <v>349</v>
      </c>
      <c r="AD352" s="18" t="str">
        <f ca="1">IF(ValuesEntered4,IF(הפחתה8[[#This Row],[מס'']]&lt;=תקופת_ההלוואה4,IF(ROW()-ROW(הפחתה8[[#Headers],[תאריך]])=1,LoanStart4,IF(AJ351&gt;0,EDATE(AD351,1),"")),""),"")</f>
        <v/>
      </c>
      <c r="AE352" s="19">
        <f ca="1">IF(ROW()-ROW(הפחתה8[[#Headers],[יתרת פתיחה]])=1,סכום_הלוואה4,IF(הפחתה8[[#This Row],[תאריך]]="",0,INDEX(הפחתה8[], ROW()-4,8)))</f>
        <v>0</v>
      </c>
      <c r="AF352" s="19">
        <f ca="1">IF(ValuesEntered4,IF(ROW()-ROW(הפחתה8[[#Headers],[ריבית]])=1,-IPMT(שיעור_ריבית4/12,1,תקופת_ההלוואה4-ROWS($C$4:AD352)+1,הפחתה8[[#This Row],[יתרת פתיחה]]),IFERROR(-IPMT(שיעור_ריבית4/12,1,הפחתה8[[#This Row],[תשלומים
שנותרו]],AE353),0)),0)</f>
        <v>0</v>
      </c>
      <c r="AG352" s="19" t="str">
        <f ca="1">IFERROR(IF(AND(ValuesEntered4,הפחתה8[[#This Row],[תאריך]]&lt;&gt;""),-PPMT(שיעור_ריבית4/12,1,תקופת_ההלוואה4-ROWS($C$4:AD352)+1,הפחתה8[[#This Row],[יתרת פתיחה]]),""),0)</f>
        <v/>
      </c>
      <c r="AH352" s="19">
        <f ca="1">(הפחתה8[[#This Row],[יתרת פתיחה]])*(מדד4/12)</f>
        <v>0</v>
      </c>
      <c r="AI352" s="19">
        <f ca="1">IF(הפחתה8[[#This Row],[תאריך]]="",0,הפחתה8[[#This Row],[ריבית]]+הפחתה8[[#This Row],[קרן]]+הפחתה8[[#This Row],[מדד]])</f>
        <v>0</v>
      </c>
      <c r="AJ352" s="19">
        <f ca="1">IF(הפחתה8[[#This Row],[תאריך]]="",0,הפחתה8[[#This Row],[יתרת פתיחה]]-הפחתה8[[#This Row],[קרן]])</f>
        <v>0</v>
      </c>
      <c r="AK352" s="20">
        <f ca="1">IF(הפחתה8[[#This Row],[יתרת
סגירה]]&gt;0,LastRow4-ROW(),0)</f>
        <v>0</v>
      </c>
    </row>
    <row r="353" spans="1:37" ht="15" customHeight="1" x14ac:dyDescent="0.25">
      <c r="A353" s="8"/>
      <c r="B353" s="11">
        <f>ROWS($B$4:B353)</f>
        <v>350</v>
      </c>
      <c r="C353" s="12">
        <f>IF(ValuesEntered,IF(הפחתה[[#This Row],[מס'']]&lt;=תקופת_ההלוואה,IF(ROW()-ROW(הפחתה[[#Headers],[תאריך]])=1,LoanStart,IF(I352&gt;0,EDATE(C352,1),"")),""),"")</f>
        <v>56005</v>
      </c>
      <c r="D353" s="13">
        <f>IF(ROW()-ROW(הפחתה[[#Headers],[יתרת פתיחה]])=1,סכום_הלוואה,IF(הפחתה[[#This Row],[תאריך]]="",0,INDEX(הפחתה[], ROW()-4,8)))</f>
        <v>35697.18386285517</v>
      </c>
      <c r="E353" s="13">
        <f>IF(ValuesEntered,IF(ROW()-ROW(הפחתה[[#Headers],[ריבית]])=1,-IPMT(שיעור_ריבית/12,1,תקופת_ההלוואה-ROWS($C$4:C353)+1,הפחתה[[#This Row],[יתרת פתיחה]]),IFERROR(-IPMT(שיעור_ריבית/12,1,הפחתה[[#This Row],[תשלומים
שנותרו]],D354),0)),0)</f>
        <v>143.64333175484478</v>
      </c>
      <c r="F353" s="13">
        <f>IFERROR(IF(AND(ValuesEntered,הפחתה[[#This Row],[תאריך]]&lt;&gt;""),-PPMT(שיעור_ריבית/12,1,תקופת_ההלוואה-ROWS($C$4:C353)+1,הפחתה[[#This Row],[יתרת פתיחה]]),""),0)</f>
        <v>3174.1653523242753</v>
      </c>
      <c r="G353" s="13">
        <f>(הפחתה[[#This Row],[יתרת פתיחה]])*(מדד/12)</f>
        <v>0</v>
      </c>
      <c r="H353" s="13">
        <f>IF(הפחתה[[#This Row],[תאריך]]="",0,הפחתה[[#This Row],[ריבית]]+הפחתה[[#This Row],[קרן]]+הפחתה[[#This Row],[מדד]])</f>
        <v>3317.8086840791202</v>
      </c>
      <c r="I353" s="13">
        <f>IF(הפחתה[[#This Row],[תאריך]]="",0,הפחתה[[#This Row],[יתרת פתיחה]]-הפחתה[[#This Row],[קרן]]+הפחתה[[#This Row],[מדד]])</f>
        <v>32523.018510530896</v>
      </c>
      <c r="J353" s="11">
        <f>IF(הפחתה[[#This Row],[יתרת
סגירה]]&gt;0,LastRow-ROW(),0)</f>
        <v>10</v>
      </c>
      <c r="K353" s="11">
        <f>ROWS($K$4:K353)</f>
        <v>350</v>
      </c>
      <c r="L353" s="12" t="str">
        <f>IF(ValuesEntered2,IF(הפחתה5[[#This Row],[מס'']]&lt;=תקופת_ההלוואה2,IF(ROW()-ROW(הפחתה5[[#Headers],[תאריך]])=1,LoanStart2,IF(R352&gt;0,EDATE(L352,1),"")),""),"")</f>
        <v/>
      </c>
      <c r="M353" s="13">
        <f>IF(ROW()-ROW(הפחתה5[[#Headers],[יתרת פתיחה]])=1,סכום_הלוואה2,IF(הפחתה5[[#This Row],[תאריך]]="",0,INDEX(הפחתה5[], ROW()-4,8)))</f>
        <v>0</v>
      </c>
      <c r="N353" s="13">
        <f>IF(ValuesEntered2,IF(ROW()-ROW(הפחתה5[[#Headers],[ריבית]])=1,-IPMT(שיעור_ריבית2/12,1,תקופת_ההלוואה2-ROWS($L$4:L353)+1,הפחתה5[[#This Row],[יתרת פתיחה]]),IFERROR(-IPMT(שיעור_ריבית2/12,1,הפחתה5[[#This Row],[תשלומים
שנותרו]],M354),0)),0)</f>
        <v>0</v>
      </c>
      <c r="O353" s="13" t="str">
        <f>IFERROR(IF(AND(ValuesEntered2,הפחתה5[[#This Row],[תאריך]]&lt;&gt;""),-PPMT(שיעור_ריבית2/12,1,תקופת_ההלוואה2-ROWS($L$4:L353)+1,הפחתה5[[#This Row],[יתרת פתיחה]]),""),0)</f>
        <v/>
      </c>
      <c r="P353" s="13">
        <f>(הפחתה5[[#This Row],[יתרת פתיחה]])*(מדד2/12)</f>
        <v>0</v>
      </c>
      <c r="Q353" s="13">
        <f>IF(הפחתה5[[#This Row],[תאריך]]="",0,הפחתה5[[#This Row],[ריבית]]+הפחתה5[[#This Row],[קרן]]+הפחתה5[[#This Row],[מדד]])</f>
        <v>0</v>
      </c>
      <c r="R353" s="13">
        <f>IF(הפחתה5[[#This Row],[תאריך]]="",0,הפחתה5[[#This Row],[יתרת פתיחה]]-הפחתה5[[#This Row],[קרן]]+הפחתה5[[#This Row],[מדד]])</f>
        <v>0</v>
      </c>
      <c r="S353" s="11">
        <f>IF(הפחתה5[[#This Row],[יתרת
סגירה]]&gt;0,LastRow2-ROW(),0)</f>
        <v>0</v>
      </c>
      <c r="T353" s="11">
        <f>ROWS($T$4:T353)</f>
        <v>350</v>
      </c>
      <c r="U353" s="12" t="str">
        <f ca="1">IF(ValuesEntered3,IF(הפחתה7[[#This Row],[מס'']]&lt;=תקופת_ההלוואה3,IF(ROW()-ROW(הפחתה7[[#Headers],[תאריך]])=1,LoanStart3,IF(AA352&gt;0,EDATE(U352,1),"")),""),"")</f>
        <v/>
      </c>
      <c r="V353" s="13">
        <f ca="1">IF(ROW()-ROW(הפחתה7[[#Headers],[יתרת פתיחה]])=1,סכום_הלוואה3,IF(הפחתה7[[#This Row],[תאריך]]="",0,INDEX(הפחתה7[], ROW()-4,8)))</f>
        <v>0</v>
      </c>
      <c r="W353" s="13">
        <f ca="1">IF(ValuesEntered3,IF(ROW()-ROW(הפחתה7[[#Headers],[ריבית]])=1,-IPMT(שיעור_ריבית3/12,1,תקופת_ההלוואה3-ROWS($C$4:U353)+1,הפחתה7[[#This Row],[יתרת פתיחה]]),IFERROR(-IPMT(שיעור_ריבית3/12,1,הפחתה7[[#This Row],[תשלומים
שנותרו]],V354),0)),0)</f>
        <v>0</v>
      </c>
      <c r="X353" s="13" t="str">
        <f ca="1">IFERROR(IF(AND(ValuesEntered3,הפחתה7[[#This Row],[תאריך]]&lt;&gt;""),-PPMT(שיעור_ריבית3/12,1,תקופת_ההלוואה3-ROWS($C$4:U353)+1,הפחתה7[[#This Row],[יתרת פתיחה]]),""),0)</f>
        <v/>
      </c>
      <c r="Y353" s="13">
        <f ca="1">(הפחתה7[[#This Row],[יתרת פתיחה]])*(מדד3/12)</f>
        <v>0</v>
      </c>
      <c r="Z353" s="13">
        <f ca="1">IF(הפחתה7[[#This Row],[תאריך]]="",0,הפחתה7[[#This Row],[ריבית]]+הפחתה7[[#This Row],[קרן]]+הפחתה7[[#This Row],[מדד]])</f>
        <v>0</v>
      </c>
      <c r="AA353" s="13">
        <f ca="1">IF(הפחתה7[[#This Row],[תאריך]]="",0,הפחתה7[[#This Row],[יתרת פתיחה]]-הפחתה7[[#This Row],[קרן]]+הפחתה7[[#This Row],[מדד]])</f>
        <v>0</v>
      </c>
      <c r="AB353" s="11">
        <f ca="1">IF(הפחתה7[[#This Row],[יתרת
סגירה]]&gt;0,LastRow3-ROW(),0)</f>
        <v>0</v>
      </c>
      <c r="AC353" s="17">
        <f>ROWS($AC$4:AC353)</f>
        <v>350</v>
      </c>
      <c r="AD353" s="18" t="str">
        <f ca="1">IF(ValuesEntered4,IF(הפחתה8[[#This Row],[מס'']]&lt;=תקופת_ההלוואה4,IF(ROW()-ROW(הפחתה8[[#Headers],[תאריך]])=1,LoanStart4,IF(AJ352&gt;0,EDATE(AD352,1),"")),""),"")</f>
        <v/>
      </c>
      <c r="AE353" s="19">
        <f ca="1">IF(ROW()-ROW(הפחתה8[[#Headers],[יתרת פתיחה]])=1,סכום_הלוואה4,IF(הפחתה8[[#This Row],[תאריך]]="",0,INDEX(הפחתה8[], ROW()-4,8)))</f>
        <v>0</v>
      </c>
      <c r="AF353" s="19">
        <f ca="1">IF(ValuesEntered4,IF(ROW()-ROW(הפחתה8[[#Headers],[ריבית]])=1,-IPMT(שיעור_ריבית4/12,1,תקופת_ההלוואה4-ROWS($C$4:AD353)+1,הפחתה8[[#This Row],[יתרת פתיחה]]),IFERROR(-IPMT(שיעור_ריבית4/12,1,הפחתה8[[#This Row],[תשלומים
שנותרו]],AE354),0)),0)</f>
        <v>0</v>
      </c>
      <c r="AG353" s="19" t="str">
        <f ca="1">IFERROR(IF(AND(ValuesEntered4,הפחתה8[[#This Row],[תאריך]]&lt;&gt;""),-PPMT(שיעור_ריבית4/12,1,תקופת_ההלוואה4-ROWS($C$4:AD353)+1,הפחתה8[[#This Row],[יתרת פתיחה]]),""),0)</f>
        <v/>
      </c>
      <c r="AH353" s="19">
        <f ca="1">(הפחתה8[[#This Row],[יתרת פתיחה]])*(מדד4/12)</f>
        <v>0</v>
      </c>
      <c r="AI353" s="19">
        <f ca="1">IF(הפחתה8[[#This Row],[תאריך]]="",0,הפחתה8[[#This Row],[ריבית]]+הפחתה8[[#This Row],[קרן]]+הפחתה8[[#This Row],[מדד]])</f>
        <v>0</v>
      </c>
      <c r="AJ353" s="19">
        <f ca="1">IF(הפחתה8[[#This Row],[תאריך]]="",0,הפחתה8[[#This Row],[יתרת פתיחה]]-הפחתה8[[#This Row],[קרן]])</f>
        <v>0</v>
      </c>
      <c r="AK353" s="20">
        <f ca="1">IF(הפחתה8[[#This Row],[יתרת
סגירה]]&gt;0,LastRow4-ROW(),0)</f>
        <v>0</v>
      </c>
    </row>
    <row r="354" spans="1:37" ht="15" customHeight="1" x14ac:dyDescent="0.25">
      <c r="A354" s="8"/>
      <c r="B354" s="11">
        <f>ROWS($B$4:B354)</f>
        <v>351</v>
      </c>
      <c r="C354" s="12">
        <f>IF(ValuesEntered,IF(הפחתה[[#This Row],[מס'']]&lt;=תקופת_ההלוואה,IF(ROW()-ROW(הפחתה[[#Headers],[תאריך]])=1,LoanStart,IF(I353&gt;0,EDATE(C353,1),"")),""),"")</f>
        <v>56036</v>
      </c>
      <c r="D354" s="13">
        <f>IF(ROW()-ROW(הפחתה[[#Headers],[יתרת פתיחה]])=1,סכום_הלוואה,IF(הפחתה[[#This Row],[תאריך]]="",0,INDEX(הפחתה[], ROW()-4,8)))</f>
        <v>32523.018510530896</v>
      </c>
      <c r="E354" s="13">
        <f>IF(ValuesEntered,IF(ROW()-ROW(הפחתה[[#Headers],[ריבית]])=1,-IPMT(שיעור_ריבית/12,1,תקופת_ההלוואה-ROWS($C$4:C354)+1,הפחתה[[#This Row],[יתרת פתיחה]]),IFERROR(-IPMT(שיעור_ריבית/12,1,הפחתה[[#This Row],[תשלומים
שנותרו]],D355),0)),0)</f>
        <v>129.56218318156064</v>
      </c>
      <c r="F354" s="13">
        <f>IFERROR(IF(AND(ValuesEntered,הפחתה[[#This Row],[תאריך]]&lt;&gt;""),-PPMT(שיעור_ריבית/12,1,תקופת_ההלוואה-ROWS($C$4:C354)+1,הפחתה[[#This Row],[יתרת פתיחה]]),""),0)</f>
        <v>3188.1845826303752</v>
      </c>
      <c r="G354" s="13">
        <f>(הפחתה[[#This Row],[יתרת פתיחה]])*(מדד/12)</f>
        <v>0</v>
      </c>
      <c r="H354" s="13">
        <f>IF(הפחתה[[#This Row],[תאריך]]="",0,הפחתה[[#This Row],[ריבית]]+הפחתה[[#This Row],[קרן]]+הפחתה[[#This Row],[מדד]])</f>
        <v>3317.7467658119358</v>
      </c>
      <c r="I354" s="13">
        <f>IF(הפחתה[[#This Row],[תאריך]]="",0,הפחתה[[#This Row],[יתרת פתיחה]]-הפחתה[[#This Row],[קרן]]+הפחתה[[#This Row],[מדד]])</f>
        <v>29334.833927900519</v>
      </c>
      <c r="J354" s="11">
        <f>IF(הפחתה[[#This Row],[יתרת
סגירה]]&gt;0,LastRow-ROW(),0)</f>
        <v>9</v>
      </c>
      <c r="K354" s="11">
        <f>ROWS($K$4:K354)</f>
        <v>351</v>
      </c>
      <c r="L354" s="12" t="str">
        <f>IF(ValuesEntered2,IF(הפחתה5[[#This Row],[מס'']]&lt;=תקופת_ההלוואה2,IF(ROW()-ROW(הפחתה5[[#Headers],[תאריך]])=1,LoanStart2,IF(R353&gt;0,EDATE(L353,1),"")),""),"")</f>
        <v/>
      </c>
      <c r="M354" s="13">
        <f>IF(ROW()-ROW(הפחתה5[[#Headers],[יתרת פתיחה]])=1,סכום_הלוואה2,IF(הפחתה5[[#This Row],[תאריך]]="",0,INDEX(הפחתה5[], ROW()-4,8)))</f>
        <v>0</v>
      </c>
      <c r="N354" s="13">
        <f>IF(ValuesEntered2,IF(ROW()-ROW(הפחתה5[[#Headers],[ריבית]])=1,-IPMT(שיעור_ריבית2/12,1,תקופת_ההלוואה2-ROWS($L$4:L354)+1,הפחתה5[[#This Row],[יתרת פתיחה]]),IFERROR(-IPMT(שיעור_ריבית2/12,1,הפחתה5[[#This Row],[תשלומים
שנותרו]],M355),0)),0)</f>
        <v>0</v>
      </c>
      <c r="O354" s="13" t="str">
        <f>IFERROR(IF(AND(ValuesEntered2,הפחתה5[[#This Row],[תאריך]]&lt;&gt;""),-PPMT(שיעור_ריבית2/12,1,תקופת_ההלוואה2-ROWS($L$4:L354)+1,הפחתה5[[#This Row],[יתרת פתיחה]]),""),0)</f>
        <v/>
      </c>
      <c r="P354" s="13">
        <f>(הפחתה5[[#This Row],[יתרת פתיחה]])*(מדד2/12)</f>
        <v>0</v>
      </c>
      <c r="Q354" s="13">
        <f>IF(הפחתה5[[#This Row],[תאריך]]="",0,הפחתה5[[#This Row],[ריבית]]+הפחתה5[[#This Row],[קרן]]+הפחתה5[[#This Row],[מדד]])</f>
        <v>0</v>
      </c>
      <c r="R354" s="13">
        <f>IF(הפחתה5[[#This Row],[תאריך]]="",0,הפחתה5[[#This Row],[יתרת פתיחה]]-הפחתה5[[#This Row],[קרן]]+הפחתה5[[#This Row],[מדד]])</f>
        <v>0</v>
      </c>
      <c r="S354" s="11">
        <f>IF(הפחתה5[[#This Row],[יתרת
סגירה]]&gt;0,LastRow2-ROW(),0)</f>
        <v>0</v>
      </c>
      <c r="T354" s="11">
        <f>ROWS($T$4:T354)</f>
        <v>351</v>
      </c>
      <c r="U354" s="12" t="str">
        <f ca="1">IF(ValuesEntered3,IF(הפחתה7[[#This Row],[מס'']]&lt;=תקופת_ההלוואה3,IF(ROW()-ROW(הפחתה7[[#Headers],[תאריך]])=1,LoanStart3,IF(AA353&gt;0,EDATE(U353,1),"")),""),"")</f>
        <v/>
      </c>
      <c r="V354" s="13">
        <f ca="1">IF(ROW()-ROW(הפחתה7[[#Headers],[יתרת פתיחה]])=1,סכום_הלוואה3,IF(הפחתה7[[#This Row],[תאריך]]="",0,INDEX(הפחתה7[], ROW()-4,8)))</f>
        <v>0</v>
      </c>
      <c r="W354" s="13">
        <f ca="1">IF(ValuesEntered3,IF(ROW()-ROW(הפחתה7[[#Headers],[ריבית]])=1,-IPMT(שיעור_ריבית3/12,1,תקופת_ההלוואה3-ROWS($C$4:U354)+1,הפחתה7[[#This Row],[יתרת פתיחה]]),IFERROR(-IPMT(שיעור_ריבית3/12,1,הפחתה7[[#This Row],[תשלומים
שנותרו]],V355),0)),0)</f>
        <v>0</v>
      </c>
      <c r="X354" s="13" t="str">
        <f ca="1">IFERROR(IF(AND(ValuesEntered3,הפחתה7[[#This Row],[תאריך]]&lt;&gt;""),-PPMT(שיעור_ריבית3/12,1,תקופת_ההלוואה3-ROWS($C$4:U354)+1,הפחתה7[[#This Row],[יתרת פתיחה]]),""),0)</f>
        <v/>
      </c>
      <c r="Y354" s="13">
        <f ca="1">(הפחתה7[[#This Row],[יתרת פתיחה]])*(מדד3/12)</f>
        <v>0</v>
      </c>
      <c r="Z354" s="13">
        <f ca="1">IF(הפחתה7[[#This Row],[תאריך]]="",0,הפחתה7[[#This Row],[ריבית]]+הפחתה7[[#This Row],[קרן]]+הפחתה7[[#This Row],[מדד]])</f>
        <v>0</v>
      </c>
      <c r="AA354" s="13">
        <f ca="1">IF(הפחתה7[[#This Row],[תאריך]]="",0,הפחתה7[[#This Row],[יתרת פתיחה]]-הפחתה7[[#This Row],[קרן]]+הפחתה7[[#This Row],[מדד]])</f>
        <v>0</v>
      </c>
      <c r="AB354" s="11">
        <f ca="1">IF(הפחתה7[[#This Row],[יתרת
סגירה]]&gt;0,LastRow3-ROW(),0)</f>
        <v>0</v>
      </c>
      <c r="AC354" s="17">
        <f>ROWS($AC$4:AC354)</f>
        <v>351</v>
      </c>
      <c r="AD354" s="18" t="str">
        <f ca="1">IF(ValuesEntered4,IF(הפחתה8[[#This Row],[מס'']]&lt;=תקופת_ההלוואה4,IF(ROW()-ROW(הפחתה8[[#Headers],[תאריך]])=1,LoanStart4,IF(AJ353&gt;0,EDATE(AD353,1),"")),""),"")</f>
        <v/>
      </c>
      <c r="AE354" s="19">
        <f ca="1">IF(ROW()-ROW(הפחתה8[[#Headers],[יתרת פתיחה]])=1,סכום_הלוואה4,IF(הפחתה8[[#This Row],[תאריך]]="",0,INDEX(הפחתה8[], ROW()-4,8)))</f>
        <v>0</v>
      </c>
      <c r="AF354" s="19">
        <f ca="1">IF(ValuesEntered4,IF(ROW()-ROW(הפחתה8[[#Headers],[ריבית]])=1,-IPMT(שיעור_ריבית4/12,1,תקופת_ההלוואה4-ROWS($C$4:AD354)+1,הפחתה8[[#This Row],[יתרת פתיחה]]),IFERROR(-IPMT(שיעור_ריבית4/12,1,הפחתה8[[#This Row],[תשלומים
שנותרו]],AE355),0)),0)</f>
        <v>0</v>
      </c>
      <c r="AG354" s="19" t="str">
        <f ca="1">IFERROR(IF(AND(ValuesEntered4,הפחתה8[[#This Row],[תאריך]]&lt;&gt;""),-PPMT(שיעור_ריבית4/12,1,תקופת_ההלוואה4-ROWS($C$4:AD354)+1,הפחתה8[[#This Row],[יתרת פתיחה]]),""),0)</f>
        <v/>
      </c>
      <c r="AH354" s="19">
        <f ca="1">(הפחתה8[[#This Row],[יתרת פתיחה]])*(מדד4/12)</f>
        <v>0</v>
      </c>
      <c r="AI354" s="19">
        <f ca="1">IF(הפחתה8[[#This Row],[תאריך]]="",0,הפחתה8[[#This Row],[ריבית]]+הפחתה8[[#This Row],[קרן]]+הפחתה8[[#This Row],[מדד]])</f>
        <v>0</v>
      </c>
      <c r="AJ354" s="19">
        <f ca="1">IF(הפחתה8[[#This Row],[תאריך]]="",0,הפחתה8[[#This Row],[יתרת פתיחה]]-הפחתה8[[#This Row],[קרן]])</f>
        <v>0</v>
      </c>
      <c r="AK354" s="20">
        <f ca="1">IF(הפחתה8[[#This Row],[יתרת
סגירה]]&gt;0,LastRow4-ROW(),0)</f>
        <v>0</v>
      </c>
    </row>
    <row r="355" spans="1:37" ht="15" customHeight="1" x14ac:dyDescent="0.25">
      <c r="A355" s="8"/>
      <c r="B355" s="11">
        <f>ROWS($B$4:B355)</f>
        <v>352</v>
      </c>
      <c r="C355" s="12">
        <f>IF(ValuesEntered,IF(הפחתה[[#This Row],[מס'']]&lt;=תקופת_ההלוואה,IF(ROW()-ROW(הפחתה[[#Headers],[תאריך]])=1,LoanStart,IF(I354&gt;0,EDATE(C354,1),"")),""),"")</f>
        <v>56066</v>
      </c>
      <c r="D355" s="13">
        <f>IF(ROW()-ROW(הפחתה[[#Headers],[יתרת פתיחה]])=1,סכום_הלוואה,IF(הפחתה[[#This Row],[תאריך]]="",0,INDEX(הפחתה[], ROW()-4,8)))</f>
        <v>29334.833927900519</v>
      </c>
      <c r="E355" s="13">
        <f>IF(ValuesEntered,IF(ROW()-ROW(הפחתה[[#Headers],[ריבית]])=1,-IPMT(שיעור_ריבית/12,1,תקופת_ההלוואה-ROWS($C$4:C355)+1,הפחתה[[#This Row],[יתרת פתיחה]]),IFERROR(-IPMT(שיעור_ריבית/12,1,הפחתה[[#This Row],[תשלומים
שנותרו]],D356),0)),0)</f>
        <v>115.41884286874446</v>
      </c>
      <c r="F355" s="13">
        <f>IFERROR(IF(AND(ValuesEntered,הפחתה[[#This Row],[תאריך]]&lt;&gt;""),-PPMT(שיעור_ריבית/12,1,תקופת_ההלוואה-ROWS($C$4:C355)+1,הפחתה[[#This Row],[יתרת פתיחה]]),""),0)</f>
        <v>3202.2657312036586</v>
      </c>
      <c r="G355" s="13">
        <f>(הפחתה[[#This Row],[יתרת פתיחה]])*(מדד/12)</f>
        <v>0</v>
      </c>
      <c r="H355" s="13">
        <f>IF(הפחתה[[#This Row],[תאריך]]="",0,הפחתה[[#This Row],[ריבית]]+הפחתה[[#This Row],[קרן]]+הפחתה[[#This Row],[מדד]])</f>
        <v>3317.6845740724029</v>
      </c>
      <c r="I355" s="13">
        <f>IF(הפחתה[[#This Row],[תאריך]]="",0,הפחתה[[#This Row],[יתרת פתיחה]]-הפחתה[[#This Row],[קרן]]+הפחתה[[#This Row],[מדד]])</f>
        <v>26132.568196696862</v>
      </c>
      <c r="J355" s="11">
        <f>IF(הפחתה[[#This Row],[יתרת
סגירה]]&gt;0,LastRow-ROW(),0)</f>
        <v>8</v>
      </c>
      <c r="K355" s="11">
        <f>ROWS($K$4:K355)</f>
        <v>352</v>
      </c>
      <c r="L355" s="12" t="str">
        <f>IF(ValuesEntered2,IF(הפחתה5[[#This Row],[מס'']]&lt;=תקופת_ההלוואה2,IF(ROW()-ROW(הפחתה5[[#Headers],[תאריך]])=1,LoanStart2,IF(R354&gt;0,EDATE(L354,1),"")),""),"")</f>
        <v/>
      </c>
      <c r="M355" s="13">
        <f>IF(ROW()-ROW(הפחתה5[[#Headers],[יתרת פתיחה]])=1,סכום_הלוואה2,IF(הפחתה5[[#This Row],[תאריך]]="",0,INDEX(הפחתה5[], ROW()-4,8)))</f>
        <v>0</v>
      </c>
      <c r="N355" s="13">
        <f>IF(ValuesEntered2,IF(ROW()-ROW(הפחתה5[[#Headers],[ריבית]])=1,-IPMT(שיעור_ריבית2/12,1,תקופת_ההלוואה2-ROWS($L$4:L355)+1,הפחתה5[[#This Row],[יתרת פתיחה]]),IFERROR(-IPMT(שיעור_ריבית2/12,1,הפחתה5[[#This Row],[תשלומים
שנותרו]],M356),0)),0)</f>
        <v>0</v>
      </c>
      <c r="O355" s="13" t="str">
        <f>IFERROR(IF(AND(ValuesEntered2,הפחתה5[[#This Row],[תאריך]]&lt;&gt;""),-PPMT(שיעור_ריבית2/12,1,תקופת_ההלוואה2-ROWS($L$4:L355)+1,הפחתה5[[#This Row],[יתרת פתיחה]]),""),0)</f>
        <v/>
      </c>
      <c r="P355" s="13">
        <f>(הפחתה5[[#This Row],[יתרת פתיחה]])*(מדד2/12)</f>
        <v>0</v>
      </c>
      <c r="Q355" s="13">
        <f>IF(הפחתה5[[#This Row],[תאריך]]="",0,הפחתה5[[#This Row],[ריבית]]+הפחתה5[[#This Row],[קרן]]+הפחתה5[[#This Row],[מדד]])</f>
        <v>0</v>
      </c>
      <c r="R355" s="13">
        <f>IF(הפחתה5[[#This Row],[תאריך]]="",0,הפחתה5[[#This Row],[יתרת פתיחה]]-הפחתה5[[#This Row],[קרן]]+הפחתה5[[#This Row],[מדד]])</f>
        <v>0</v>
      </c>
      <c r="S355" s="11">
        <f>IF(הפחתה5[[#This Row],[יתרת
סגירה]]&gt;0,LastRow2-ROW(),0)</f>
        <v>0</v>
      </c>
      <c r="T355" s="11">
        <f>ROWS($T$4:T355)</f>
        <v>352</v>
      </c>
      <c r="U355" s="12" t="str">
        <f ca="1">IF(ValuesEntered3,IF(הפחתה7[[#This Row],[מס'']]&lt;=תקופת_ההלוואה3,IF(ROW()-ROW(הפחתה7[[#Headers],[תאריך]])=1,LoanStart3,IF(AA354&gt;0,EDATE(U354,1),"")),""),"")</f>
        <v/>
      </c>
      <c r="V355" s="13">
        <f ca="1">IF(ROW()-ROW(הפחתה7[[#Headers],[יתרת פתיחה]])=1,סכום_הלוואה3,IF(הפחתה7[[#This Row],[תאריך]]="",0,INDEX(הפחתה7[], ROW()-4,8)))</f>
        <v>0</v>
      </c>
      <c r="W355" s="13">
        <f ca="1">IF(ValuesEntered3,IF(ROW()-ROW(הפחתה7[[#Headers],[ריבית]])=1,-IPMT(שיעור_ריבית3/12,1,תקופת_ההלוואה3-ROWS($C$4:U355)+1,הפחתה7[[#This Row],[יתרת פתיחה]]),IFERROR(-IPMT(שיעור_ריבית3/12,1,הפחתה7[[#This Row],[תשלומים
שנותרו]],V356),0)),0)</f>
        <v>0</v>
      </c>
      <c r="X355" s="13" t="str">
        <f ca="1">IFERROR(IF(AND(ValuesEntered3,הפחתה7[[#This Row],[תאריך]]&lt;&gt;""),-PPMT(שיעור_ריבית3/12,1,תקופת_ההלוואה3-ROWS($C$4:U355)+1,הפחתה7[[#This Row],[יתרת פתיחה]]),""),0)</f>
        <v/>
      </c>
      <c r="Y355" s="13">
        <f ca="1">(הפחתה7[[#This Row],[יתרת פתיחה]])*(מדד3/12)</f>
        <v>0</v>
      </c>
      <c r="Z355" s="13">
        <f ca="1">IF(הפחתה7[[#This Row],[תאריך]]="",0,הפחתה7[[#This Row],[ריבית]]+הפחתה7[[#This Row],[קרן]]+הפחתה7[[#This Row],[מדד]])</f>
        <v>0</v>
      </c>
      <c r="AA355" s="13">
        <f ca="1">IF(הפחתה7[[#This Row],[תאריך]]="",0,הפחתה7[[#This Row],[יתרת פתיחה]]-הפחתה7[[#This Row],[קרן]]+הפחתה7[[#This Row],[מדד]])</f>
        <v>0</v>
      </c>
      <c r="AB355" s="11">
        <f ca="1">IF(הפחתה7[[#This Row],[יתרת
סגירה]]&gt;0,LastRow3-ROW(),0)</f>
        <v>0</v>
      </c>
      <c r="AC355" s="17">
        <f>ROWS($AC$4:AC355)</f>
        <v>352</v>
      </c>
      <c r="AD355" s="18" t="str">
        <f ca="1">IF(ValuesEntered4,IF(הפחתה8[[#This Row],[מס'']]&lt;=תקופת_ההלוואה4,IF(ROW()-ROW(הפחתה8[[#Headers],[תאריך]])=1,LoanStart4,IF(AJ354&gt;0,EDATE(AD354,1),"")),""),"")</f>
        <v/>
      </c>
      <c r="AE355" s="19">
        <f ca="1">IF(ROW()-ROW(הפחתה8[[#Headers],[יתרת פתיחה]])=1,סכום_הלוואה4,IF(הפחתה8[[#This Row],[תאריך]]="",0,INDEX(הפחתה8[], ROW()-4,8)))</f>
        <v>0</v>
      </c>
      <c r="AF355" s="19">
        <f ca="1">IF(ValuesEntered4,IF(ROW()-ROW(הפחתה8[[#Headers],[ריבית]])=1,-IPMT(שיעור_ריבית4/12,1,תקופת_ההלוואה4-ROWS($C$4:AD355)+1,הפחתה8[[#This Row],[יתרת פתיחה]]),IFERROR(-IPMT(שיעור_ריבית4/12,1,הפחתה8[[#This Row],[תשלומים
שנותרו]],AE356),0)),0)</f>
        <v>0</v>
      </c>
      <c r="AG355" s="19" t="str">
        <f ca="1">IFERROR(IF(AND(ValuesEntered4,הפחתה8[[#This Row],[תאריך]]&lt;&gt;""),-PPMT(שיעור_ריבית4/12,1,תקופת_ההלוואה4-ROWS($C$4:AD355)+1,הפחתה8[[#This Row],[יתרת פתיחה]]),""),0)</f>
        <v/>
      </c>
      <c r="AH355" s="19">
        <f ca="1">(הפחתה8[[#This Row],[יתרת פתיחה]])*(מדד4/12)</f>
        <v>0</v>
      </c>
      <c r="AI355" s="19">
        <f ca="1">IF(הפחתה8[[#This Row],[תאריך]]="",0,הפחתה8[[#This Row],[ריבית]]+הפחתה8[[#This Row],[קרן]]+הפחתה8[[#This Row],[מדד]])</f>
        <v>0</v>
      </c>
      <c r="AJ355" s="19">
        <f ca="1">IF(הפחתה8[[#This Row],[תאריך]]="",0,הפחתה8[[#This Row],[יתרת פתיחה]]-הפחתה8[[#This Row],[קרן]])</f>
        <v>0</v>
      </c>
      <c r="AK355" s="20">
        <f ca="1">IF(הפחתה8[[#This Row],[יתרת
סגירה]]&gt;0,LastRow4-ROW(),0)</f>
        <v>0</v>
      </c>
    </row>
    <row r="356" spans="1:37" ht="15" customHeight="1" x14ac:dyDescent="0.25">
      <c r="A356" s="8"/>
      <c r="B356" s="11">
        <f>ROWS($B$4:B356)</f>
        <v>353</v>
      </c>
      <c r="C356" s="12">
        <f>IF(ValuesEntered,IF(הפחתה[[#This Row],[מס'']]&lt;=תקופת_ההלוואה,IF(ROW()-ROW(הפחתה[[#Headers],[תאריך]])=1,LoanStart,IF(I355&gt;0,EDATE(C355,1),"")),""),"")</f>
        <v>56097</v>
      </c>
      <c r="D356" s="13">
        <f>IF(ROW()-ROW(הפחתה[[#Headers],[יתרת פתיחה]])=1,סכום_הלוואה,IF(הפחתה[[#This Row],[תאריך]]="",0,INDEX(הפחתה[], ROW()-4,8)))</f>
        <v>26132.568196696862</v>
      </c>
      <c r="E356" s="13">
        <f>IF(ValuesEntered,IF(ROW()-ROW(הפחתה[[#Headers],[ריבית]])=1,-IPMT(שיעור_ריבית/12,1,תקופת_ההלוואה-ROWS($C$4:C356)+1,הפחתה[[#This Row],[יתרת פתיחה]]),IFERROR(-IPMT(שיעור_ריבית/12,1,הפחתה[[#This Row],[תשלומים
שנותרו]],D357),0)),0)</f>
        <v>101.21303613621338</v>
      </c>
      <c r="F356" s="13">
        <f>IFERROR(IF(AND(ValuesEntered,הפחתה[[#This Row],[תאריך]]&lt;&gt;""),-PPMT(שיעור_ריבית/12,1,תקופת_ההלוואה-ROWS($C$4:C356)+1,הפחתה[[#This Row],[יתרת פתיחה]]),""),0)</f>
        <v>3216.4090715164748</v>
      </c>
      <c r="G356" s="13">
        <f>(הפחתה[[#This Row],[יתרת פתיחה]])*(מדד/12)</f>
        <v>0</v>
      </c>
      <c r="H356" s="13">
        <f>IF(הפחתה[[#This Row],[תאריך]]="",0,הפחתה[[#This Row],[ריבית]]+הפחתה[[#This Row],[קרן]]+הפחתה[[#This Row],[מדד]])</f>
        <v>3317.6221076526881</v>
      </c>
      <c r="I356" s="13">
        <f>IF(הפחתה[[#This Row],[תאריך]]="",0,הפחתה[[#This Row],[יתרת פתיחה]]-הפחתה[[#This Row],[קרן]]+הפחתה[[#This Row],[מדד]])</f>
        <v>22916.159125180387</v>
      </c>
      <c r="J356" s="11">
        <f>IF(הפחתה[[#This Row],[יתרת
סגירה]]&gt;0,LastRow-ROW(),0)</f>
        <v>7</v>
      </c>
      <c r="K356" s="11">
        <f>ROWS($K$4:K356)</f>
        <v>353</v>
      </c>
      <c r="L356" s="12" t="str">
        <f>IF(ValuesEntered2,IF(הפחתה5[[#This Row],[מס'']]&lt;=תקופת_ההלוואה2,IF(ROW()-ROW(הפחתה5[[#Headers],[תאריך]])=1,LoanStart2,IF(R355&gt;0,EDATE(L355,1),"")),""),"")</f>
        <v/>
      </c>
      <c r="M356" s="13">
        <f>IF(ROW()-ROW(הפחתה5[[#Headers],[יתרת פתיחה]])=1,סכום_הלוואה2,IF(הפחתה5[[#This Row],[תאריך]]="",0,INDEX(הפחתה5[], ROW()-4,8)))</f>
        <v>0</v>
      </c>
      <c r="N356" s="13">
        <f>IF(ValuesEntered2,IF(ROW()-ROW(הפחתה5[[#Headers],[ריבית]])=1,-IPMT(שיעור_ריבית2/12,1,תקופת_ההלוואה2-ROWS($L$4:L356)+1,הפחתה5[[#This Row],[יתרת פתיחה]]),IFERROR(-IPMT(שיעור_ריבית2/12,1,הפחתה5[[#This Row],[תשלומים
שנותרו]],M357),0)),0)</f>
        <v>0</v>
      </c>
      <c r="O356" s="13" t="str">
        <f>IFERROR(IF(AND(ValuesEntered2,הפחתה5[[#This Row],[תאריך]]&lt;&gt;""),-PPMT(שיעור_ריבית2/12,1,תקופת_ההלוואה2-ROWS($L$4:L356)+1,הפחתה5[[#This Row],[יתרת פתיחה]]),""),0)</f>
        <v/>
      </c>
      <c r="P356" s="13">
        <f>(הפחתה5[[#This Row],[יתרת פתיחה]])*(מדד2/12)</f>
        <v>0</v>
      </c>
      <c r="Q356" s="13">
        <f>IF(הפחתה5[[#This Row],[תאריך]]="",0,הפחתה5[[#This Row],[ריבית]]+הפחתה5[[#This Row],[קרן]]+הפחתה5[[#This Row],[מדד]])</f>
        <v>0</v>
      </c>
      <c r="R356" s="13">
        <f>IF(הפחתה5[[#This Row],[תאריך]]="",0,הפחתה5[[#This Row],[יתרת פתיחה]]-הפחתה5[[#This Row],[קרן]]+הפחתה5[[#This Row],[מדד]])</f>
        <v>0</v>
      </c>
      <c r="S356" s="11">
        <f>IF(הפחתה5[[#This Row],[יתרת
סגירה]]&gt;0,LastRow2-ROW(),0)</f>
        <v>0</v>
      </c>
      <c r="T356" s="11">
        <f>ROWS($T$4:T356)</f>
        <v>353</v>
      </c>
      <c r="U356" s="12" t="str">
        <f ca="1">IF(ValuesEntered3,IF(הפחתה7[[#This Row],[מס'']]&lt;=תקופת_ההלוואה3,IF(ROW()-ROW(הפחתה7[[#Headers],[תאריך]])=1,LoanStart3,IF(AA355&gt;0,EDATE(U355,1),"")),""),"")</f>
        <v/>
      </c>
      <c r="V356" s="13">
        <f ca="1">IF(ROW()-ROW(הפחתה7[[#Headers],[יתרת פתיחה]])=1,סכום_הלוואה3,IF(הפחתה7[[#This Row],[תאריך]]="",0,INDEX(הפחתה7[], ROW()-4,8)))</f>
        <v>0</v>
      </c>
      <c r="W356" s="13">
        <f ca="1">IF(ValuesEntered3,IF(ROW()-ROW(הפחתה7[[#Headers],[ריבית]])=1,-IPMT(שיעור_ריבית3/12,1,תקופת_ההלוואה3-ROWS($C$4:U356)+1,הפחתה7[[#This Row],[יתרת פתיחה]]),IFERROR(-IPMT(שיעור_ריבית3/12,1,הפחתה7[[#This Row],[תשלומים
שנותרו]],V357),0)),0)</f>
        <v>0</v>
      </c>
      <c r="X356" s="13" t="str">
        <f ca="1">IFERROR(IF(AND(ValuesEntered3,הפחתה7[[#This Row],[תאריך]]&lt;&gt;""),-PPMT(שיעור_ריבית3/12,1,תקופת_ההלוואה3-ROWS($C$4:U356)+1,הפחתה7[[#This Row],[יתרת פתיחה]]),""),0)</f>
        <v/>
      </c>
      <c r="Y356" s="13">
        <f ca="1">(הפחתה7[[#This Row],[יתרת פתיחה]])*(מדד3/12)</f>
        <v>0</v>
      </c>
      <c r="Z356" s="13">
        <f ca="1">IF(הפחתה7[[#This Row],[תאריך]]="",0,הפחתה7[[#This Row],[ריבית]]+הפחתה7[[#This Row],[קרן]]+הפחתה7[[#This Row],[מדד]])</f>
        <v>0</v>
      </c>
      <c r="AA356" s="13">
        <f ca="1">IF(הפחתה7[[#This Row],[תאריך]]="",0,הפחתה7[[#This Row],[יתרת פתיחה]]-הפחתה7[[#This Row],[קרן]]+הפחתה7[[#This Row],[מדד]])</f>
        <v>0</v>
      </c>
      <c r="AB356" s="11">
        <f ca="1">IF(הפחתה7[[#This Row],[יתרת
סגירה]]&gt;0,LastRow3-ROW(),0)</f>
        <v>0</v>
      </c>
      <c r="AC356" s="17">
        <f>ROWS($AC$4:AC356)</f>
        <v>353</v>
      </c>
      <c r="AD356" s="18" t="str">
        <f ca="1">IF(ValuesEntered4,IF(הפחתה8[[#This Row],[מס'']]&lt;=תקופת_ההלוואה4,IF(ROW()-ROW(הפחתה8[[#Headers],[תאריך]])=1,LoanStart4,IF(AJ355&gt;0,EDATE(AD355,1),"")),""),"")</f>
        <v/>
      </c>
      <c r="AE356" s="19">
        <f ca="1">IF(ROW()-ROW(הפחתה8[[#Headers],[יתרת פתיחה]])=1,סכום_הלוואה4,IF(הפחתה8[[#This Row],[תאריך]]="",0,INDEX(הפחתה8[], ROW()-4,8)))</f>
        <v>0</v>
      </c>
      <c r="AF356" s="19">
        <f ca="1">IF(ValuesEntered4,IF(ROW()-ROW(הפחתה8[[#Headers],[ריבית]])=1,-IPMT(שיעור_ריבית4/12,1,תקופת_ההלוואה4-ROWS($C$4:AD356)+1,הפחתה8[[#This Row],[יתרת פתיחה]]),IFERROR(-IPMT(שיעור_ריבית4/12,1,הפחתה8[[#This Row],[תשלומים
שנותרו]],AE357),0)),0)</f>
        <v>0</v>
      </c>
      <c r="AG356" s="19" t="str">
        <f ca="1">IFERROR(IF(AND(ValuesEntered4,הפחתה8[[#This Row],[תאריך]]&lt;&gt;""),-PPMT(שיעור_ריבית4/12,1,תקופת_ההלוואה4-ROWS($C$4:AD356)+1,הפחתה8[[#This Row],[יתרת פתיחה]]),""),0)</f>
        <v/>
      </c>
      <c r="AH356" s="19">
        <f ca="1">(הפחתה8[[#This Row],[יתרת פתיחה]])*(מדד4/12)</f>
        <v>0</v>
      </c>
      <c r="AI356" s="19">
        <f ca="1">IF(הפחתה8[[#This Row],[תאריך]]="",0,הפחתה8[[#This Row],[ריבית]]+הפחתה8[[#This Row],[קרן]]+הפחתה8[[#This Row],[מדד]])</f>
        <v>0</v>
      </c>
      <c r="AJ356" s="19">
        <f ca="1">IF(הפחתה8[[#This Row],[תאריך]]="",0,הפחתה8[[#This Row],[יתרת פתיחה]]-הפחתה8[[#This Row],[קרן]])</f>
        <v>0</v>
      </c>
      <c r="AK356" s="20">
        <f ca="1">IF(הפחתה8[[#This Row],[יתרת
סגירה]]&gt;0,LastRow4-ROW(),0)</f>
        <v>0</v>
      </c>
    </row>
    <row r="357" spans="1:37" ht="15" customHeight="1" x14ac:dyDescent="0.25">
      <c r="A357" s="8"/>
      <c r="B357" s="11">
        <f>ROWS($B$4:B357)</f>
        <v>354</v>
      </c>
      <c r="C357" s="12">
        <f>IF(ValuesEntered,IF(הפחתה[[#This Row],[מס'']]&lt;=תקופת_ההלוואה,IF(ROW()-ROW(הפחתה[[#Headers],[תאריך]])=1,LoanStart,IF(I356&gt;0,EDATE(C356,1),"")),""),"")</f>
        <v>56128</v>
      </c>
      <c r="D357" s="13">
        <f>IF(ROW()-ROW(הפחתה[[#Headers],[יתרת פתיחה]])=1,סכום_הלוואה,IF(הפחתה[[#This Row],[תאריך]]="",0,INDEX(הפחתה[], ROW()-4,8)))</f>
        <v>22916.159125180387</v>
      </c>
      <c r="E357" s="13">
        <f>IF(ValuesEntered,IF(ROW()-ROW(הפחתה[[#Headers],[ריבית]])=1,-IPMT(שיעור_ריבית/12,1,תקופת_ההלוואה-ROWS($C$4:C357)+1,הפחתה[[#This Row],[יתרת פתיחה]]),IFERROR(-IPMT(שיעור_ריבית/12,1,הפחתה[[#This Row],[תשלומים
שנותרו]],D358),0)),0)</f>
        <v>86.944487090613606</v>
      </c>
      <c r="F357" s="13">
        <f>IFERROR(IF(AND(ValuesEntered,הפחתה[[#This Row],[תאריך]]&lt;&gt;""),-PPMT(שיעור_ריבית/12,1,תקופת_ההלוואה-ROWS($C$4:C357)+1,הפחתה[[#This Row],[יתרת פתיחה]]),""),0)</f>
        <v>3230.6148782490063</v>
      </c>
      <c r="G357" s="13">
        <f>(הפחתה[[#This Row],[יתרת פתיחה]])*(מדד/12)</f>
        <v>0</v>
      </c>
      <c r="H357" s="13">
        <f>IF(הפחתה[[#This Row],[תאריך]]="",0,הפחתה[[#This Row],[ריבית]]+הפחתה[[#This Row],[קרן]]+הפחתה[[#This Row],[מדד]])</f>
        <v>3317.5593653396199</v>
      </c>
      <c r="I357" s="13">
        <f>IF(הפחתה[[#This Row],[תאריך]]="",0,הפחתה[[#This Row],[יתרת פתיחה]]-הפחתה[[#This Row],[קרן]]+הפחתה[[#This Row],[מדד]])</f>
        <v>19685.544246931382</v>
      </c>
      <c r="J357" s="11">
        <f>IF(הפחתה[[#This Row],[יתרת
סגירה]]&gt;0,LastRow-ROW(),0)</f>
        <v>6</v>
      </c>
      <c r="K357" s="11">
        <f>ROWS($K$4:K357)</f>
        <v>354</v>
      </c>
      <c r="L357" s="12" t="str">
        <f>IF(ValuesEntered2,IF(הפחתה5[[#This Row],[מס'']]&lt;=תקופת_ההלוואה2,IF(ROW()-ROW(הפחתה5[[#Headers],[תאריך]])=1,LoanStart2,IF(R356&gt;0,EDATE(L356,1),"")),""),"")</f>
        <v/>
      </c>
      <c r="M357" s="13">
        <f>IF(ROW()-ROW(הפחתה5[[#Headers],[יתרת פתיחה]])=1,סכום_הלוואה2,IF(הפחתה5[[#This Row],[תאריך]]="",0,INDEX(הפחתה5[], ROW()-4,8)))</f>
        <v>0</v>
      </c>
      <c r="N357" s="13">
        <f>IF(ValuesEntered2,IF(ROW()-ROW(הפחתה5[[#Headers],[ריבית]])=1,-IPMT(שיעור_ריבית2/12,1,תקופת_ההלוואה2-ROWS($L$4:L357)+1,הפחתה5[[#This Row],[יתרת פתיחה]]),IFERROR(-IPMT(שיעור_ריבית2/12,1,הפחתה5[[#This Row],[תשלומים
שנותרו]],M358),0)),0)</f>
        <v>0</v>
      </c>
      <c r="O357" s="13" t="str">
        <f>IFERROR(IF(AND(ValuesEntered2,הפחתה5[[#This Row],[תאריך]]&lt;&gt;""),-PPMT(שיעור_ריבית2/12,1,תקופת_ההלוואה2-ROWS($L$4:L357)+1,הפחתה5[[#This Row],[יתרת פתיחה]]),""),0)</f>
        <v/>
      </c>
      <c r="P357" s="13">
        <f>(הפחתה5[[#This Row],[יתרת פתיחה]])*(מדד2/12)</f>
        <v>0</v>
      </c>
      <c r="Q357" s="13">
        <f>IF(הפחתה5[[#This Row],[תאריך]]="",0,הפחתה5[[#This Row],[ריבית]]+הפחתה5[[#This Row],[קרן]]+הפחתה5[[#This Row],[מדד]])</f>
        <v>0</v>
      </c>
      <c r="R357" s="13">
        <f>IF(הפחתה5[[#This Row],[תאריך]]="",0,הפחתה5[[#This Row],[יתרת פתיחה]]-הפחתה5[[#This Row],[קרן]]+הפחתה5[[#This Row],[מדד]])</f>
        <v>0</v>
      </c>
      <c r="S357" s="11">
        <f>IF(הפחתה5[[#This Row],[יתרת
סגירה]]&gt;0,LastRow2-ROW(),0)</f>
        <v>0</v>
      </c>
      <c r="T357" s="11">
        <f>ROWS($T$4:T357)</f>
        <v>354</v>
      </c>
      <c r="U357" s="12" t="str">
        <f ca="1">IF(ValuesEntered3,IF(הפחתה7[[#This Row],[מס'']]&lt;=תקופת_ההלוואה3,IF(ROW()-ROW(הפחתה7[[#Headers],[תאריך]])=1,LoanStart3,IF(AA356&gt;0,EDATE(U356,1),"")),""),"")</f>
        <v/>
      </c>
      <c r="V357" s="13">
        <f ca="1">IF(ROW()-ROW(הפחתה7[[#Headers],[יתרת פתיחה]])=1,סכום_הלוואה3,IF(הפחתה7[[#This Row],[תאריך]]="",0,INDEX(הפחתה7[], ROW()-4,8)))</f>
        <v>0</v>
      </c>
      <c r="W357" s="13">
        <f ca="1">IF(ValuesEntered3,IF(ROW()-ROW(הפחתה7[[#Headers],[ריבית]])=1,-IPMT(שיעור_ריבית3/12,1,תקופת_ההלוואה3-ROWS($C$4:U357)+1,הפחתה7[[#This Row],[יתרת פתיחה]]),IFERROR(-IPMT(שיעור_ריבית3/12,1,הפחתה7[[#This Row],[תשלומים
שנותרו]],V358),0)),0)</f>
        <v>0</v>
      </c>
      <c r="X357" s="13" t="str">
        <f ca="1">IFERROR(IF(AND(ValuesEntered3,הפחתה7[[#This Row],[תאריך]]&lt;&gt;""),-PPMT(שיעור_ריבית3/12,1,תקופת_ההלוואה3-ROWS($C$4:U357)+1,הפחתה7[[#This Row],[יתרת פתיחה]]),""),0)</f>
        <v/>
      </c>
      <c r="Y357" s="13">
        <f ca="1">(הפחתה7[[#This Row],[יתרת פתיחה]])*(מדד3/12)</f>
        <v>0</v>
      </c>
      <c r="Z357" s="13">
        <f ca="1">IF(הפחתה7[[#This Row],[תאריך]]="",0,הפחתה7[[#This Row],[ריבית]]+הפחתה7[[#This Row],[קרן]]+הפחתה7[[#This Row],[מדד]])</f>
        <v>0</v>
      </c>
      <c r="AA357" s="13">
        <f ca="1">IF(הפחתה7[[#This Row],[תאריך]]="",0,הפחתה7[[#This Row],[יתרת פתיחה]]-הפחתה7[[#This Row],[קרן]]+הפחתה7[[#This Row],[מדד]])</f>
        <v>0</v>
      </c>
      <c r="AB357" s="11">
        <f ca="1">IF(הפחתה7[[#This Row],[יתרת
סגירה]]&gt;0,LastRow3-ROW(),0)</f>
        <v>0</v>
      </c>
      <c r="AC357" s="17">
        <f>ROWS($AC$4:AC357)</f>
        <v>354</v>
      </c>
      <c r="AD357" s="18" t="str">
        <f ca="1">IF(ValuesEntered4,IF(הפחתה8[[#This Row],[מס'']]&lt;=תקופת_ההלוואה4,IF(ROW()-ROW(הפחתה8[[#Headers],[תאריך]])=1,LoanStart4,IF(AJ356&gt;0,EDATE(AD356,1),"")),""),"")</f>
        <v/>
      </c>
      <c r="AE357" s="19">
        <f ca="1">IF(ROW()-ROW(הפחתה8[[#Headers],[יתרת פתיחה]])=1,סכום_הלוואה4,IF(הפחתה8[[#This Row],[תאריך]]="",0,INDEX(הפחתה8[], ROW()-4,8)))</f>
        <v>0</v>
      </c>
      <c r="AF357" s="19">
        <f ca="1">IF(ValuesEntered4,IF(ROW()-ROW(הפחתה8[[#Headers],[ריבית]])=1,-IPMT(שיעור_ריבית4/12,1,תקופת_ההלוואה4-ROWS($C$4:AD357)+1,הפחתה8[[#This Row],[יתרת פתיחה]]),IFERROR(-IPMT(שיעור_ריבית4/12,1,הפחתה8[[#This Row],[תשלומים
שנותרו]],AE358),0)),0)</f>
        <v>0</v>
      </c>
      <c r="AG357" s="19" t="str">
        <f ca="1">IFERROR(IF(AND(ValuesEntered4,הפחתה8[[#This Row],[תאריך]]&lt;&gt;""),-PPMT(שיעור_ריבית4/12,1,תקופת_ההלוואה4-ROWS($C$4:AD357)+1,הפחתה8[[#This Row],[יתרת פתיחה]]),""),0)</f>
        <v/>
      </c>
      <c r="AH357" s="19">
        <f ca="1">(הפחתה8[[#This Row],[יתרת פתיחה]])*(מדד4/12)</f>
        <v>0</v>
      </c>
      <c r="AI357" s="19">
        <f ca="1">IF(הפחתה8[[#This Row],[תאריך]]="",0,הפחתה8[[#This Row],[ריבית]]+הפחתה8[[#This Row],[קרן]]+הפחתה8[[#This Row],[מדד]])</f>
        <v>0</v>
      </c>
      <c r="AJ357" s="19">
        <f ca="1">IF(הפחתה8[[#This Row],[תאריך]]="",0,הפחתה8[[#This Row],[יתרת פתיחה]]-הפחתה8[[#This Row],[קרן]])</f>
        <v>0</v>
      </c>
      <c r="AK357" s="20">
        <f ca="1">IF(הפחתה8[[#This Row],[יתרת
סגירה]]&gt;0,LastRow4-ROW(),0)</f>
        <v>0</v>
      </c>
    </row>
    <row r="358" spans="1:37" ht="15" customHeight="1" x14ac:dyDescent="0.25">
      <c r="A358" s="8"/>
      <c r="B358" s="11">
        <f>ROWS($B$4:B358)</f>
        <v>355</v>
      </c>
      <c r="C358" s="12">
        <f>IF(ValuesEntered,IF(הפחתה[[#This Row],[מס'']]&lt;=תקופת_ההלוואה,IF(ROW()-ROW(הפחתה[[#Headers],[תאריך]])=1,LoanStart,IF(I357&gt;0,EDATE(C357,1),"")),""),"")</f>
        <v>56158</v>
      </c>
      <c r="D358" s="13">
        <f>IF(ROW()-ROW(הפחתה[[#Headers],[יתרת פתיחה]])=1,סכום_הלוואה,IF(הפחתה[[#This Row],[תאריך]]="",0,INDEX(הפחתה[], ROW()-4,8)))</f>
        <v>19685.544246931382</v>
      </c>
      <c r="E358" s="13">
        <f>IF(ValuesEntered,IF(ROW()-ROW(הפחתה[[#Headers],[ריבית]])=1,-IPMT(שיעור_ריבית/12,1,תקופת_ההלוואה-ROWS($C$4:C358)+1,הפחתה[[#This Row],[יתרת פתיחה]]),IFERROR(-IPMT(שיעור_ריבית/12,1,הפחתה[[#This Row],[תשלומים
שנותרו]],D359),0)),0)</f>
        <v>72.612918620062416</v>
      </c>
      <c r="F358" s="13">
        <f>IFERROR(IF(AND(ValuesEntered,הפחתה[[#This Row],[תאריך]]&lt;&gt;""),-PPMT(שיעור_ריבית/12,1,תקופת_ההלוואה-ROWS($C$4:C358)+1,הפחתה[[#This Row],[יתרת פתיחה]]),""),0)</f>
        <v>3244.883427294606</v>
      </c>
      <c r="G358" s="13">
        <f>(הפחתה[[#This Row],[יתרת פתיחה]])*(מדד/12)</f>
        <v>0</v>
      </c>
      <c r="H358" s="13">
        <f>IF(הפחתה[[#This Row],[תאריך]]="",0,הפחתה[[#This Row],[ריבית]]+הפחתה[[#This Row],[קרן]]+הפחתה[[#This Row],[מדד]])</f>
        <v>3317.4963459146684</v>
      </c>
      <c r="I358" s="13">
        <f>IF(הפחתה[[#This Row],[תאריך]]="",0,הפחתה[[#This Row],[יתרת פתיחה]]-הפחתה[[#This Row],[קרן]]+הפחתה[[#This Row],[מדד]])</f>
        <v>16440.660819636774</v>
      </c>
      <c r="J358" s="11">
        <f>IF(הפחתה[[#This Row],[יתרת
סגירה]]&gt;0,LastRow-ROW(),0)</f>
        <v>5</v>
      </c>
      <c r="K358" s="11">
        <f>ROWS($K$4:K358)</f>
        <v>355</v>
      </c>
      <c r="L358" s="12" t="str">
        <f>IF(ValuesEntered2,IF(הפחתה5[[#This Row],[מס'']]&lt;=תקופת_ההלוואה2,IF(ROW()-ROW(הפחתה5[[#Headers],[תאריך]])=1,LoanStart2,IF(R357&gt;0,EDATE(L357,1),"")),""),"")</f>
        <v/>
      </c>
      <c r="M358" s="13">
        <f>IF(ROW()-ROW(הפחתה5[[#Headers],[יתרת פתיחה]])=1,סכום_הלוואה2,IF(הפחתה5[[#This Row],[תאריך]]="",0,INDEX(הפחתה5[], ROW()-4,8)))</f>
        <v>0</v>
      </c>
      <c r="N358" s="13">
        <f>IF(ValuesEntered2,IF(ROW()-ROW(הפחתה5[[#Headers],[ריבית]])=1,-IPMT(שיעור_ריבית2/12,1,תקופת_ההלוואה2-ROWS($L$4:L358)+1,הפחתה5[[#This Row],[יתרת פתיחה]]),IFERROR(-IPMT(שיעור_ריבית2/12,1,הפחתה5[[#This Row],[תשלומים
שנותרו]],M359),0)),0)</f>
        <v>0</v>
      </c>
      <c r="O358" s="13" t="str">
        <f>IFERROR(IF(AND(ValuesEntered2,הפחתה5[[#This Row],[תאריך]]&lt;&gt;""),-PPMT(שיעור_ריבית2/12,1,תקופת_ההלוואה2-ROWS($L$4:L358)+1,הפחתה5[[#This Row],[יתרת פתיחה]]),""),0)</f>
        <v/>
      </c>
      <c r="P358" s="13">
        <f>(הפחתה5[[#This Row],[יתרת פתיחה]])*(מדד2/12)</f>
        <v>0</v>
      </c>
      <c r="Q358" s="13">
        <f>IF(הפחתה5[[#This Row],[תאריך]]="",0,הפחתה5[[#This Row],[ריבית]]+הפחתה5[[#This Row],[קרן]]+הפחתה5[[#This Row],[מדד]])</f>
        <v>0</v>
      </c>
      <c r="R358" s="13">
        <f>IF(הפחתה5[[#This Row],[תאריך]]="",0,הפחתה5[[#This Row],[יתרת פתיחה]]-הפחתה5[[#This Row],[קרן]]+הפחתה5[[#This Row],[מדד]])</f>
        <v>0</v>
      </c>
      <c r="S358" s="11">
        <f>IF(הפחתה5[[#This Row],[יתרת
סגירה]]&gt;0,LastRow2-ROW(),0)</f>
        <v>0</v>
      </c>
      <c r="T358" s="11">
        <f>ROWS($T$4:T358)</f>
        <v>355</v>
      </c>
      <c r="U358" s="12" t="str">
        <f ca="1">IF(ValuesEntered3,IF(הפחתה7[[#This Row],[מס'']]&lt;=תקופת_ההלוואה3,IF(ROW()-ROW(הפחתה7[[#Headers],[תאריך]])=1,LoanStart3,IF(AA357&gt;0,EDATE(U357,1),"")),""),"")</f>
        <v/>
      </c>
      <c r="V358" s="13">
        <f ca="1">IF(ROW()-ROW(הפחתה7[[#Headers],[יתרת פתיחה]])=1,סכום_הלוואה3,IF(הפחתה7[[#This Row],[תאריך]]="",0,INDEX(הפחתה7[], ROW()-4,8)))</f>
        <v>0</v>
      </c>
      <c r="W358" s="13">
        <f ca="1">IF(ValuesEntered3,IF(ROW()-ROW(הפחתה7[[#Headers],[ריבית]])=1,-IPMT(שיעור_ריבית3/12,1,תקופת_ההלוואה3-ROWS($C$4:U358)+1,הפחתה7[[#This Row],[יתרת פתיחה]]),IFERROR(-IPMT(שיעור_ריבית3/12,1,הפחתה7[[#This Row],[תשלומים
שנותרו]],V359),0)),0)</f>
        <v>0</v>
      </c>
      <c r="X358" s="13" t="str">
        <f ca="1">IFERROR(IF(AND(ValuesEntered3,הפחתה7[[#This Row],[תאריך]]&lt;&gt;""),-PPMT(שיעור_ריבית3/12,1,תקופת_ההלוואה3-ROWS($C$4:U358)+1,הפחתה7[[#This Row],[יתרת פתיחה]]),""),0)</f>
        <v/>
      </c>
      <c r="Y358" s="13">
        <f ca="1">(הפחתה7[[#This Row],[יתרת פתיחה]])*(מדד3/12)</f>
        <v>0</v>
      </c>
      <c r="Z358" s="13">
        <f ca="1">IF(הפחתה7[[#This Row],[תאריך]]="",0,הפחתה7[[#This Row],[ריבית]]+הפחתה7[[#This Row],[קרן]]+הפחתה7[[#This Row],[מדד]])</f>
        <v>0</v>
      </c>
      <c r="AA358" s="13">
        <f ca="1">IF(הפחתה7[[#This Row],[תאריך]]="",0,הפחתה7[[#This Row],[יתרת פתיחה]]-הפחתה7[[#This Row],[קרן]]+הפחתה7[[#This Row],[מדד]])</f>
        <v>0</v>
      </c>
      <c r="AB358" s="11">
        <f ca="1">IF(הפחתה7[[#This Row],[יתרת
סגירה]]&gt;0,LastRow3-ROW(),0)</f>
        <v>0</v>
      </c>
      <c r="AC358" s="17">
        <f>ROWS($AC$4:AC358)</f>
        <v>355</v>
      </c>
      <c r="AD358" s="18" t="str">
        <f ca="1">IF(ValuesEntered4,IF(הפחתה8[[#This Row],[מס'']]&lt;=תקופת_ההלוואה4,IF(ROW()-ROW(הפחתה8[[#Headers],[תאריך]])=1,LoanStart4,IF(AJ357&gt;0,EDATE(AD357,1),"")),""),"")</f>
        <v/>
      </c>
      <c r="AE358" s="19">
        <f ca="1">IF(ROW()-ROW(הפחתה8[[#Headers],[יתרת פתיחה]])=1,סכום_הלוואה4,IF(הפחתה8[[#This Row],[תאריך]]="",0,INDEX(הפחתה8[], ROW()-4,8)))</f>
        <v>0</v>
      </c>
      <c r="AF358" s="19">
        <f ca="1">IF(ValuesEntered4,IF(ROW()-ROW(הפחתה8[[#Headers],[ריבית]])=1,-IPMT(שיעור_ריבית4/12,1,תקופת_ההלוואה4-ROWS($C$4:AD358)+1,הפחתה8[[#This Row],[יתרת פתיחה]]),IFERROR(-IPMT(שיעור_ריבית4/12,1,הפחתה8[[#This Row],[תשלומים
שנותרו]],AE359),0)),0)</f>
        <v>0</v>
      </c>
      <c r="AG358" s="19" t="str">
        <f ca="1">IFERROR(IF(AND(ValuesEntered4,הפחתה8[[#This Row],[תאריך]]&lt;&gt;""),-PPMT(שיעור_ריבית4/12,1,תקופת_ההלוואה4-ROWS($C$4:AD358)+1,הפחתה8[[#This Row],[יתרת פתיחה]]),""),0)</f>
        <v/>
      </c>
      <c r="AH358" s="19">
        <f ca="1">(הפחתה8[[#This Row],[יתרת פתיחה]])*(מדד4/12)</f>
        <v>0</v>
      </c>
      <c r="AI358" s="19">
        <f ca="1">IF(הפחתה8[[#This Row],[תאריך]]="",0,הפחתה8[[#This Row],[ריבית]]+הפחתה8[[#This Row],[קרן]]+הפחתה8[[#This Row],[מדד]])</f>
        <v>0</v>
      </c>
      <c r="AJ358" s="19">
        <f ca="1">IF(הפחתה8[[#This Row],[תאריך]]="",0,הפחתה8[[#This Row],[יתרת פתיחה]]-הפחתה8[[#This Row],[קרן]])</f>
        <v>0</v>
      </c>
      <c r="AK358" s="20">
        <f ca="1">IF(הפחתה8[[#This Row],[יתרת
סגירה]]&gt;0,LastRow4-ROW(),0)</f>
        <v>0</v>
      </c>
    </row>
    <row r="359" spans="1:37" ht="15" customHeight="1" x14ac:dyDescent="0.25">
      <c r="A359" s="8"/>
      <c r="B359" s="11">
        <f>ROWS($B$4:B359)</f>
        <v>356</v>
      </c>
      <c r="C359" s="12">
        <f>IF(ValuesEntered,IF(הפחתה[[#This Row],[מס'']]&lt;=תקופת_ההלוואה,IF(ROW()-ROW(הפחתה[[#Headers],[תאריך]])=1,LoanStart,IF(I358&gt;0,EDATE(C358,1),"")),""),"")</f>
        <v>56189</v>
      </c>
      <c r="D359" s="13">
        <f>IF(ROW()-ROW(הפחתה[[#Headers],[יתרת פתיחה]])=1,סכום_הלוואה,IF(הפחתה[[#This Row],[תאריך]]="",0,INDEX(הפחתה[], ROW()-4,8)))</f>
        <v>16440.660819636774</v>
      </c>
      <c r="E359" s="13">
        <f>IF(ValuesEntered,IF(ROW()-ROW(הפחתה[[#Headers],[ריבית]])=1,-IPMT(שיעור_ריבית/12,1,תקופת_ההלוואה-ROWS($C$4:C359)+1,הפחתה[[#This Row],[יתרת פתיחה]]),IFERROR(-IPMT(שיעור_ריבית/12,1,הפחתה[[#This Row],[תשלומים
שנותרו]],D360),0)),0)</f>
        <v>58.21805238876631</v>
      </c>
      <c r="F359" s="13">
        <f>IFERROR(IF(AND(ValuesEntered,הפחתה[[#This Row],[תאריך]]&lt;&gt;""),-PPMT(שיעור_ריבית/12,1,תקופת_ההלוואה-ROWS($C$4:C359)+1,הפחתה[[#This Row],[יתרת פתיחה]]),""),0)</f>
        <v>3259.2149957651577</v>
      </c>
      <c r="G359" s="13">
        <f>(הפחתה[[#This Row],[יתרת פתיחה]])*(מדד/12)</f>
        <v>0</v>
      </c>
      <c r="H359" s="13">
        <f>IF(הפחתה[[#This Row],[תאריך]]="",0,הפחתה[[#This Row],[ריבית]]+הפחתה[[#This Row],[קרן]]+הפחתה[[#This Row],[מדד]])</f>
        <v>3317.4330481539241</v>
      </c>
      <c r="I359" s="13">
        <f>IF(הפחתה[[#This Row],[תאריך]]="",0,הפחתה[[#This Row],[יתרת פתיחה]]-הפחתה[[#This Row],[קרן]]+הפחתה[[#This Row],[מדד]])</f>
        <v>13181.445823871616</v>
      </c>
      <c r="J359" s="11">
        <f>IF(הפחתה[[#This Row],[יתרת
סגירה]]&gt;0,LastRow-ROW(),0)</f>
        <v>4</v>
      </c>
      <c r="K359" s="11">
        <f>ROWS($K$4:K359)</f>
        <v>356</v>
      </c>
      <c r="L359" s="12" t="str">
        <f>IF(ValuesEntered2,IF(הפחתה5[[#This Row],[מס'']]&lt;=תקופת_ההלוואה2,IF(ROW()-ROW(הפחתה5[[#Headers],[תאריך]])=1,LoanStart2,IF(R358&gt;0,EDATE(L358,1),"")),""),"")</f>
        <v/>
      </c>
      <c r="M359" s="13">
        <f>IF(ROW()-ROW(הפחתה5[[#Headers],[יתרת פתיחה]])=1,סכום_הלוואה2,IF(הפחתה5[[#This Row],[תאריך]]="",0,INDEX(הפחתה5[], ROW()-4,8)))</f>
        <v>0</v>
      </c>
      <c r="N359" s="13">
        <f>IF(ValuesEntered2,IF(ROW()-ROW(הפחתה5[[#Headers],[ריבית]])=1,-IPMT(שיעור_ריבית2/12,1,תקופת_ההלוואה2-ROWS($L$4:L359)+1,הפחתה5[[#This Row],[יתרת פתיחה]]),IFERROR(-IPMT(שיעור_ריבית2/12,1,הפחתה5[[#This Row],[תשלומים
שנותרו]],M360),0)),0)</f>
        <v>0</v>
      </c>
      <c r="O359" s="13" t="str">
        <f>IFERROR(IF(AND(ValuesEntered2,הפחתה5[[#This Row],[תאריך]]&lt;&gt;""),-PPMT(שיעור_ריבית2/12,1,תקופת_ההלוואה2-ROWS($L$4:L359)+1,הפחתה5[[#This Row],[יתרת פתיחה]]),""),0)</f>
        <v/>
      </c>
      <c r="P359" s="13">
        <f>(הפחתה5[[#This Row],[יתרת פתיחה]])*(מדד2/12)</f>
        <v>0</v>
      </c>
      <c r="Q359" s="13">
        <f>IF(הפחתה5[[#This Row],[תאריך]]="",0,הפחתה5[[#This Row],[ריבית]]+הפחתה5[[#This Row],[קרן]]+הפחתה5[[#This Row],[מדד]])</f>
        <v>0</v>
      </c>
      <c r="R359" s="13">
        <f>IF(הפחתה5[[#This Row],[תאריך]]="",0,הפחתה5[[#This Row],[יתרת פתיחה]]-הפחתה5[[#This Row],[קרן]]+הפחתה5[[#This Row],[מדד]])</f>
        <v>0</v>
      </c>
      <c r="S359" s="11">
        <f>IF(הפחתה5[[#This Row],[יתרת
סגירה]]&gt;0,LastRow2-ROW(),0)</f>
        <v>0</v>
      </c>
      <c r="T359" s="11">
        <f>ROWS($T$4:T359)</f>
        <v>356</v>
      </c>
      <c r="U359" s="12" t="str">
        <f ca="1">IF(ValuesEntered3,IF(הפחתה7[[#This Row],[מס'']]&lt;=תקופת_ההלוואה3,IF(ROW()-ROW(הפחתה7[[#Headers],[תאריך]])=1,LoanStart3,IF(AA358&gt;0,EDATE(U358,1),"")),""),"")</f>
        <v/>
      </c>
      <c r="V359" s="13">
        <f ca="1">IF(ROW()-ROW(הפחתה7[[#Headers],[יתרת פתיחה]])=1,סכום_הלוואה3,IF(הפחתה7[[#This Row],[תאריך]]="",0,INDEX(הפחתה7[], ROW()-4,8)))</f>
        <v>0</v>
      </c>
      <c r="W359" s="13">
        <f ca="1">IF(ValuesEntered3,IF(ROW()-ROW(הפחתה7[[#Headers],[ריבית]])=1,-IPMT(שיעור_ריבית3/12,1,תקופת_ההלוואה3-ROWS($C$4:U359)+1,הפחתה7[[#This Row],[יתרת פתיחה]]),IFERROR(-IPMT(שיעור_ריבית3/12,1,הפחתה7[[#This Row],[תשלומים
שנותרו]],V360),0)),0)</f>
        <v>0</v>
      </c>
      <c r="X359" s="13" t="str">
        <f ca="1">IFERROR(IF(AND(ValuesEntered3,הפחתה7[[#This Row],[תאריך]]&lt;&gt;""),-PPMT(שיעור_ריבית3/12,1,תקופת_ההלוואה3-ROWS($C$4:U359)+1,הפחתה7[[#This Row],[יתרת פתיחה]]),""),0)</f>
        <v/>
      </c>
      <c r="Y359" s="13">
        <f ca="1">(הפחתה7[[#This Row],[יתרת פתיחה]])*(מדד3/12)</f>
        <v>0</v>
      </c>
      <c r="Z359" s="13">
        <f ca="1">IF(הפחתה7[[#This Row],[תאריך]]="",0,הפחתה7[[#This Row],[ריבית]]+הפחתה7[[#This Row],[קרן]]+הפחתה7[[#This Row],[מדד]])</f>
        <v>0</v>
      </c>
      <c r="AA359" s="13">
        <f ca="1">IF(הפחתה7[[#This Row],[תאריך]]="",0,הפחתה7[[#This Row],[יתרת פתיחה]]-הפחתה7[[#This Row],[קרן]]+הפחתה7[[#This Row],[מדד]])</f>
        <v>0</v>
      </c>
      <c r="AB359" s="11">
        <f ca="1">IF(הפחתה7[[#This Row],[יתרת
סגירה]]&gt;0,LastRow3-ROW(),0)</f>
        <v>0</v>
      </c>
      <c r="AC359" s="17">
        <f>ROWS($AC$4:AC359)</f>
        <v>356</v>
      </c>
      <c r="AD359" s="18" t="str">
        <f ca="1">IF(ValuesEntered4,IF(הפחתה8[[#This Row],[מס'']]&lt;=תקופת_ההלוואה4,IF(ROW()-ROW(הפחתה8[[#Headers],[תאריך]])=1,LoanStart4,IF(AJ358&gt;0,EDATE(AD358,1),"")),""),"")</f>
        <v/>
      </c>
      <c r="AE359" s="19">
        <f ca="1">IF(ROW()-ROW(הפחתה8[[#Headers],[יתרת פתיחה]])=1,סכום_הלוואה4,IF(הפחתה8[[#This Row],[תאריך]]="",0,INDEX(הפחתה8[], ROW()-4,8)))</f>
        <v>0</v>
      </c>
      <c r="AF359" s="19">
        <f ca="1">IF(ValuesEntered4,IF(ROW()-ROW(הפחתה8[[#Headers],[ריבית]])=1,-IPMT(שיעור_ריבית4/12,1,תקופת_ההלוואה4-ROWS($C$4:AD359)+1,הפחתה8[[#This Row],[יתרת פתיחה]]),IFERROR(-IPMT(שיעור_ריבית4/12,1,הפחתה8[[#This Row],[תשלומים
שנותרו]],AE360),0)),0)</f>
        <v>0</v>
      </c>
      <c r="AG359" s="19" t="str">
        <f ca="1">IFERROR(IF(AND(ValuesEntered4,הפחתה8[[#This Row],[תאריך]]&lt;&gt;""),-PPMT(שיעור_ריבית4/12,1,תקופת_ההלוואה4-ROWS($C$4:AD359)+1,הפחתה8[[#This Row],[יתרת פתיחה]]),""),0)</f>
        <v/>
      </c>
      <c r="AH359" s="19">
        <f ca="1">(הפחתה8[[#This Row],[יתרת פתיחה]])*(מדד4/12)</f>
        <v>0</v>
      </c>
      <c r="AI359" s="19">
        <f ca="1">IF(הפחתה8[[#This Row],[תאריך]]="",0,הפחתה8[[#This Row],[ריבית]]+הפחתה8[[#This Row],[קרן]]+הפחתה8[[#This Row],[מדד]])</f>
        <v>0</v>
      </c>
      <c r="AJ359" s="19">
        <f ca="1">IF(הפחתה8[[#This Row],[תאריך]]="",0,הפחתה8[[#This Row],[יתרת פתיחה]]-הפחתה8[[#This Row],[קרן]])</f>
        <v>0</v>
      </c>
      <c r="AK359" s="20">
        <f ca="1">IF(הפחתה8[[#This Row],[יתרת
סגירה]]&gt;0,LastRow4-ROW(),0)</f>
        <v>0</v>
      </c>
    </row>
    <row r="360" spans="1:37" ht="15" customHeight="1" x14ac:dyDescent="0.25">
      <c r="A360" s="8"/>
      <c r="B360" s="11">
        <f>ROWS($B$4:B360)</f>
        <v>357</v>
      </c>
      <c r="C360" s="12">
        <f>IF(ValuesEntered,IF(הפחתה[[#This Row],[מס'']]&lt;=תקופת_ההלוואה,IF(ROW()-ROW(הפחתה[[#Headers],[תאריך]])=1,LoanStart,IF(I359&gt;0,EDATE(C359,1),"")),""),"")</f>
        <v>56219</v>
      </c>
      <c r="D360" s="13">
        <f>IF(ROW()-ROW(הפחתה[[#Headers],[יתרת פתיחה]])=1,סכום_הלוואה,IF(הפחתה[[#This Row],[תאריך]]="",0,INDEX(הפחתה[], ROW()-4,8)))</f>
        <v>13181.445823871616</v>
      </c>
      <c r="E360" s="13">
        <f>IF(ValuesEntered,IF(ROW()-ROW(הפחתה[[#Headers],[ריבית]])=1,-IPMT(שיעור_ריבית/12,1,תקופת_ההלוואה-ROWS($C$4:C360)+1,הפחתה[[#This Row],[יתרת פתיחה]]),IFERROR(-IPMT(שיעור_ריבית/12,1,הפחתה[[#This Row],[תשלומים
שנותרו]],D361),0)),0)</f>
        <v>43.75960883161531</v>
      </c>
      <c r="F360" s="13">
        <f>IFERROR(IF(AND(ValuesEntered,הפחתה[[#This Row],[תאריך]]&lt;&gt;""),-PPMT(שיעור_ריבית/12,1,תקופת_ההלוואה-ROWS($C$4:C360)+1,הפחתה[[#This Row],[יתרת פתיחה]]),""),0)</f>
        <v>3273.6098619964523</v>
      </c>
      <c r="G360" s="13">
        <f>(הפחתה[[#This Row],[יתרת פתיחה]])*(מדד/12)</f>
        <v>0</v>
      </c>
      <c r="H360" s="13">
        <f>IF(הפחתה[[#This Row],[תאריך]]="",0,הפחתה[[#This Row],[ריבית]]+הפחתה[[#This Row],[קרן]]+הפחתה[[#This Row],[מדד]])</f>
        <v>3317.3694708280677</v>
      </c>
      <c r="I360" s="13">
        <f>IF(הפחתה[[#This Row],[תאריך]]="",0,הפחתה[[#This Row],[יתרת פתיחה]]-הפחתה[[#This Row],[קרן]]+הפחתה[[#This Row],[מדד]])</f>
        <v>9907.8359618751638</v>
      </c>
      <c r="J360" s="11">
        <f>IF(הפחתה[[#This Row],[יתרת
סגירה]]&gt;0,LastRow-ROW(),0)</f>
        <v>3</v>
      </c>
      <c r="K360" s="11">
        <f>ROWS($K$4:K360)</f>
        <v>357</v>
      </c>
      <c r="L360" s="12" t="str">
        <f>IF(ValuesEntered2,IF(הפחתה5[[#This Row],[מס'']]&lt;=תקופת_ההלוואה2,IF(ROW()-ROW(הפחתה5[[#Headers],[תאריך]])=1,LoanStart2,IF(R359&gt;0,EDATE(L359,1),"")),""),"")</f>
        <v/>
      </c>
      <c r="M360" s="13">
        <f>IF(ROW()-ROW(הפחתה5[[#Headers],[יתרת פתיחה]])=1,סכום_הלוואה2,IF(הפחתה5[[#This Row],[תאריך]]="",0,INDEX(הפחתה5[], ROW()-4,8)))</f>
        <v>0</v>
      </c>
      <c r="N360" s="13">
        <f>IF(ValuesEntered2,IF(ROW()-ROW(הפחתה5[[#Headers],[ריבית]])=1,-IPMT(שיעור_ריבית2/12,1,תקופת_ההלוואה2-ROWS($L$4:L360)+1,הפחתה5[[#This Row],[יתרת פתיחה]]),IFERROR(-IPMT(שיעור_ריבית2/12,1,הפחתה5[[#This Row],[תשלומים
שנותרו]],M361),0)),0)</f>
        <v>0</v>
      </c>
      <c r="O360" s="13" t="str">
        <f>IFERROR(IF(AND(ValuesEntered2,הפחתה5[[#This Row],[תאריך]]&lt;&gt;""),-PPMT(שיעור_ריבית2/12,1,תקופת_ההלוואה2-ROWS($L$4:L360)+1,הפחתה5[[#This Row],[יתרת פתיחה]]),""),0)</f>
        <v/>
      </c>
      <c r="P360" s="13">
        <f>(הפחתה5[[#This Row],[יתרת פתיחה]])*(מדד2/12)</f>
        <v>0</v>
      </c>
      <c r="Q360" s="13">
        <f>IF(הפחתה5[[#This Row],[תאריך]]="",0,הפחתה5[[#This Row],[ריבית]]+הפחתה5[[#This Row],[קרן]]+הפחתה5[[#This Row],[מדד]])</f>
        <v>0</v>
      </c>
      <c r="R360" s="13">
        <f>IF(הפחתה5[[#This Row],[תאריך]]="",0,הפחתה5[[#This Row],[יתרת פתיחה]]-הפחתה5[[#This Row],[קרן]]+הפחתה5[[#This Row],[מדד]])</f>
        <v>0</v>
      </c>
      <c r="S360" s="11">
        <f>IF(הפחתה5[[#This Row],[יתרת
סגירה]]&gt;0,LastRow2-ROW(),0)</f>
        <v>0</v>
      </c>
      <c r="T360" s="11">
        <f>ROWS($T$4:T360)</f>
        <v>357</v>
      </c>
      <c r="U360" s="12" t="str">
        <f ca="1">IF(ValuesEntered3,IF(הפחתה7[[#This Row],[מס'']]&lt;=תקופת_ההלוואה3,IF(ROW()-ROW(הפחתה7[[#Headers],[תאריך]])=1,LoanStart3,IF(AA359&gt;0,EDATE(U359,1),"")),""),"")</f>
        <v/>
      </c>
      <c r="V360" s="13">
        <f ca="1">IF(ROW()-ROW(הפחתה7[[#Headers],[יתרת פתיחה]])=1,סכום_הלוואה3,IF(הפחתה7[[#This Row],[תאריך]]="",0,INDEX(הפחתה7[], ROW()-4,8)))</f>
        <v>0</v>
      </c>
      <c r="W360" s="13">
        <f ca="1">IF(ValuesEntered3,IF(ROW()-ROW(הפחתה7[[#Headers],[ריבית]])=1,-IPMT(שיעור_ריבית3/12,1,תקופת_ההלוואה3-ROWS($C$4:U360)+1,הפחתה7[[#This Row],[יתרת פתיחה]]),IFERROR(-IPMT(שיעור_ריבית3/12,1,הפחתה7[[#This Row],[תשלומים
שנותרו]],V361),0)),0)</f>
        <v>0</v>
      </c>
      <c r="X360" s="13" t="str">
        <f ca="1">IFERROR(IF(AND(ValuesEntered3,הפחתה7[[#This Row],[תאריך]]&lt;&gt;""),-PPMT(שיעור_ריבית3/12,1,תקופת_ההלוואה3-ROWS($C$4:U360)+1,הפחתה7[[#This Row],[יתרת פתיחה]]),""),0)</f>
        <v/>
      </c>
      <c r="Y360" s="13">
        <f ca="1">(הפחתה7[[#This Row],[יתרת פתיחה]])*(מדד3/12)</f>
        <v>0</v>
      </c>
      <c r="Z360" s="13">
        <f ca="1">IF(הפחתה7[[#This Row],[תאריך]]="",0,הפחתה7[[#This Row],[ריבית]]+הפחתה7[[#This Row],[קרן]]+הפחתה7[[#This Row],[מדד]])</f>
        <v>0</v>
      </c>
      <c r="AA360" s="13">
        <f ca="1">IF(הפחתה7[[#This Row],[תאריך]]="",0,הפחתה7[[#This Row],[יתרת פתיחה]]-הפחתה7[[#This Row],[קרן]]+הפחתה7[[#This Row],[מדד]])</f>
        <v>0</v>
      </c>
      <c r="AB360" s="11">
        <f ca="1">IF(הפחתה7[[#This Row],[יתרת
סגירה]]&gt;0,LastRow3-ROW(),0)</f>
        <v>0</v>
      </c>
      <c r="AC360" s="17">
        <f>ROWS($AC$4:AC360)</f>
        <v>357</v>
      </c>
      <c r="AD360" s="18" t="str">
        <f ca="1">IF(ValuesEntered4,IF(הפחתה8[[#This Row],[מס'']]&lt;=תקופת_ההלוואה4,IF(ROW()-ROW(הפחתה8[[#Headers],[תאריך]])=1,LoanStart4,IF(AJ359&gt;0,EDATE(AD359,1),"")),""),"")</f>
        <v/>
      </c>
      <c r="AE360" s="19">
        <f ca="1">IF(ROW()-ROW(הפחתה8[[#Headers],[יתרת פתיחה]])=1,סכום_הלוואה4,IF(הפחתה8[[#This Row],[תאריך]]="",0,INDEX(הפחתה8[], ROW()-4,8)))</f>
        <v>0</v>
      </c>
      <c r="AF360" s="19">
        <f ca="1">IF(ValuesEntered4,IF(ROW()-ROW(הפחתה8[[#Headers],[ריבית]])=1,-IPMT(שיעור_ריבית4/12,1,תקופת_ההלוואה4-ROWS($C$4:AD360)+1,הפחתה8[[#This Row],[יתרת פתיחה]]),IFERROR(-IPMT(שיעור_ריבית4/12,1,הפחתה8[[#This Row],[תשלומים
שנותרו]],AE361),0)),0)</f>
        <v>0</v>
      </c>
      <c r="AG360" s="19" t="str">
        <f ca="1">IFERROR(IF(AND(ValuesEntered4,הפחתה8[[#This Row],[תאריך]]&lt;&gt;""),-PPMT(שיעור_ריבית4/12,1,תקופת_ההלוואה4-ROWS($C$4:AD360)+1,הפחתה8[[#This Row],[יתרת פתיחה]]),""),0)</f>
        <v/>
      </c>
      <c r="AH360" s="19">
        <f ca="1">(הפחתה8[[#This Row],[יתרת פתיחה]])*(מדד4/12)</f>
        <v>0</v>
      </c>
      <c r="AI360" s="19">
        <f ca="1">IF(הפחתה8[[#This Row],[תאריך]]="",0,הפחתה8[[#This Row],[ריבית]]+הפחתה8[[#This Row],[קרן]]+הפחתה8[[#This Row],[מדד]])</f>
        <v>0</v>
      </c>
      <c r="AJ360" s="19">
        <f ca="1">IF(הפחתה8[[#This Row],[תאריך]]="",0,הפחתה8[[#This Row],[יתרת פתיחה]]-הפחתה8[[#This Row],[קרן]])</f>
        <v>0</v>
      </c>
      <c r="AK360" s="20">
        <f ca="1">IF(הפחתה8[[#This Row],[יתרת
סגירה]]&gt;0,LastRow4-ROW(),0)</f>
        <v>0</v>
      </c>
    </row>
    <row r="361" spans="1:37" ht="15" customHeight="1" x14ac:dyDescent="0.25">
      <c r="A361" s="8"/>
      <c r="B361" s="11">
        <f>ROWS($B$4:B361)</f>
        <v>358</v>
      </c>
      <c r="C361" s="12">
        <f>IF(ValuesEntered,IF(הפחתה[[#This Row],[מס'']]&lt;=תקופת_ההלוואה,IF(ROW()-ROW(הפחתה[[#Headers],[תאריך]])=1,LoanStart,IF(I360&gt;0,EDATE(C360,1),"")),""),"")</f>
        <v>56250</v>
      </c>
      <c r="D361" s="13">
        <f>IF(ROW()-ROW(הפחתה[[#Headers],[יתרת פתיחה]])=1,סכום_הלוואה,IF(הפחתה[[#This Row],[תאריך]]="",0,INDEX(הפחתה[], ROW()-4,8)))</f>
        <v>9907.8359618751638</v>
      </c>
      <c r="E361" s="13">
        <f>IF(ValuesEntered,IF(ROW()-ROW(הפחתה[[#Headers],[ריבית]])=1,-IPMT(שיעור_ריבית/12,1,תקופת_ההלוואה-ROWS($C$4:C361)+1,הפחתה[[#This Row],[יתרת פתיחה]]),IFERROR(-IPMT(שיעור_ריבית/12,1,הפחתה[[#This Row],[תשלומים
שנותרו]],D362),0)),0)</f>
        <v>29.237307148753555</v>
      </c>
      <c r="F361" s="13">
        <f>IFERROR(IF(AND(ValuesEntered,הפחתה[[#This Row],[תאריך]]&lt;&gt;""),-PPMT(שיעור_ריבית/12,1,תקופת_ההלוואה-ROWS($C$4:C361)+1,הפחתה[[#This Row],[יתרת פתיחה]]),""),0)</f>
        <v>3288.0683055536042</v>
      </c>
      <c r="G361" s="13">
        <f>(הפחתה[[#This Row],[יתרת פתיחה]])*(מדד/12)</f>
        <v>0</v>
      </c>
      <c r="H361" s="13">
        <f>IF(הפחתה[[#This Row],[תאריך]]="",0,הפחתה[[#This Row],[ריבית]]+הפחתה[[#This Row],[קרן]]+הפחתה[[#This Row],[מדד]])</f>
        <v>3317.3056127023578</v>
      </c>
      <c r="I361" s="13">
        <f>IF(הפחתה[[#This Row],[תאריך]]="",0,הפחתה[[#This Row],[יתרת פתיחה]]-הפחתה[[#This Row],[קרן]]+הפחתה[[#This Row],[מדד]])</f>
        <v>6619.7676563215591</v>
      </c>
      <c r="J361" s="11">
        <f>IF(הפחתה[[#This Row],[יתרת
סגירה]]&gt;0,LastRow-ROW(),0)</f>
        <v>2</v>
      </c>
      <c r="K361" s="11">
        <f>ROWS($K$4:K361)</f>
        <v>358</v>
      </c>
      <c r="L361" s="12" t="str">
        <f>IF(ValuesEntered2,IF(הפחתה5[[#This Row],[מס'']]&lt;=תקופת_ההלוואה2,IF(ROW()-ROW(הפחתה5[[#Headers],[תאריך]])=1,LoanStart2,IF(R360&gt;0,EDATE(L360,1),"")),""),"")</f>
        <v/>
      </c>
      <c r="M361" s="13">
        <f>IF(ROW()-ROW(הפחתה5[[#Headers],[יתרת פתיחה]])=1,סכום_הלוואה2,IF(הפחתה5[[#This Row],[תאריך]]="",0,INDEX(הפחתה5[], ROW()-4,8)))</f>
        <v>0</v>
      </c>
      <c r="N361" s="13">
        <f>IF(ValuesEntered2,IF(ROW()-ROW(הפחתה5[[#Headers],[ריבית]])=1,-IPMT(שיעור_ריבית2/12,1,תקופת_ההלוואה2-ROWS($L$4:L361)+1,הפחתה5[[#This Row],[יתרת פתיחה]]),IFERROR(-IPMT(שיעור_ריבית2/12,1,הפחתה5[[#This Row],[תשלומים
שנותרו]],M362),0)),0)</f>
        <v>0</v>
      </c>
      <c r="O361" s="13" t="str">
        <f>IFERROR(IF(AND(ValuesEntered2,הפחתה5[[#This Row],[תאריך]]&lt;&gt;""),-PPMT(שיעור_ריבית2/12,1,תקופת_ההלוואה2-ROWS($L$4:L361)+1,הפחתה5[[#This Row],[יתרת פתיחה]]),""),0)</f>
        <v/>
      </c>
      <c r="P361" s="13">
        <f>(הפחתה5[[#This Row],[יתרת פתיחה]])*(מדד2/12)</f>
        <v>0</v>
      </c>
      <c r="Q361" s="13">
        <f>IF(הפחתה5[[#This Row],[תאריך]]="",0,הפחתה5[[#This Row],[ריבית]]+הפחתה5[[#This Row],[קרן]]+הפחתה5[[#This Row],[מדד]])</f>
        <v>0</v>
      </c>
      <c r="R361" s="13">
        <f>IF(הפחתה5[[#This Row],[תאריך]]="",0,הפחתה5[[#This Row],[יתרת פתיחה]]-הפחתה5[[#This Row],[קרן]]+הפחתה5[[#This Row],[מדד]])</f>
        <v>0</v>
      </c>
      <c r="S361" s="11">
        <f>IF(הפחתה5[[#This Row],[יתרת
סגירה]]&gt;0,LastRow2-ROW(),0)</f>
        <v>0</v>
      </c>
      <c r="T361" s="11">
        <f>ROWS($T$4:T361)</f>
        <v>358</v>
      </c>
      <c r="U361" s="12" t="str">
        <f ca="1">IF(ValuesEntered3,IF(הפחתה7[[#This Row],[מס'']]&lt;=תקופת_ההלוואה3,IF(ROW()-ROW(הפחתה7[[#Headers],[תאריך]])=1,LoanStart3,IF(AA360&gt;0,EDATE(U360,1),"")),""),"")</f>
        <v/>
      </c>
      <c r="V361" s="13">
        <f ca="1">IF(ROW()-ROW(הפחתה7[[#Headers],[יתרת פתיחה]])=1,סכום_הלוואה3,IF(הפחתה7[[#This Row],[תאריך]]="",0,INDEX(הפחתה7[], ROW()-4,8)))</f>
        <v>0</v>
      </c>
      <c r="W361" s="13">
        <f ca="1">IF(ValuesEntered3,IF(ROW()-ROW(הפחתה7[[#Headers],[ריבית]])=1,-IPMT(שיעור_ריבית3/12,1,תקופת_ההלוואה3-ROWS($C$4:U361)+1,הפחתה7[[#This Row],[יתרת פתיחה]]),IFERROR(-IPMT(שיעור_ריבית3/12,1,הפחתה7[[#This Row],[תשלומים
שנותרו]],V362),0)),0)</f>
        <v>0</v>
      </c>
      <c r="X361" s="13" t="str">
        <f ca="1">IFERROR(IF(AND(ValuesEntered3,הפחתה7[[#This Row],[תאריך]]&lt;&gt;""),-PPMT(שיעור_ריבית3/12,1,תקופת_ההלוואה3-ROWS($C$4:U361)+1,הפחתה7[[#This Row],[יתרת פתיחה]]),""),0)</f>
        <v/>
      </c>
      <c r="Y361" s="13">
        <f ca="1">(הפחתה7[[#This Row],[יתרת פתיחה]])*(מדד3/12)</f>
        <v>0</v>
      </c>
      <c r="Z361" s="13">
        <f ca="1">IF(הפחתה7[[#This Row],[תאריך]]="",0,הפחתה7[[#This Row],[ריבית]]+הפחתה7[[#This Row],[קרן]]+הפחתה7[[#This Row],[מדד]])</f>
        <v>0</v>
      </c>
      <c r="AA361" s="13">
        <f ca="1">IF(הפחתה7[[#This Row],[תאריך]]="",0,הפחתה7[[#This Row],[יתרת פתיחה]]-הפחתה7[[#This Row],[קרן]]+הפחתה7[[#This Row],[מדד]])</f>
        <v>0</v>
      </c>
      <c r="AB361" s="11">
        <f ca="1">IF(הפחתה7[[#This Row],[יתרת
סגירה]]&gt;0,LastRow3-ROW(),0)</f>
        <v>0</v>
      </c>
      <c r="AC361" s="17">
        <f>ROWS($AC$4:AC361)</f>
        <v>358</v>
      </c>
      <c r="AD361" s="18" t="str">
        <f ca="1">IF(ValuesEntered4,IF(הפחתה8[[#This Row],[מס'']]&lt;=תקופת_ההלוואה4,IF(ROW()-ROW(הפחתה8[[#Headers],[תאריך]])=1,LoanStart4,IF(AJ360&gt;0,EDATE(AD360,1),"")),""),"")</f>
        <v/>
      </c>
      <c r="AE361" s="19">
        <f ca="1">IF(ROW()-ROW(הפחתה8[[#Headers],[יתרת פתיחה]])=1,סכום_הלוואה4,IF(הפחתה8[[#This Row],[תאריך]]="",0,INDEX(הפחתה8[], ROW()-4,8)))</f>
        <v>0</v>
      </c>
      <c r="AF361" s="19">
        <f ca="1">IF(ValuesEntered4,IF(ROW()-ROW(הפחתה8[[#Headers],[ריבית]])=1,-IPMT(שיעור_ריבית4/12,1,תקופת_ההלוואה4-ROWS($C$4:AD361)+1,הפחתה8[[#This Row],[יתרת פתיחה]]),IFERROR(-IPMT(שיעור_ריבית4/12,1,הפחתה8[[#This Row],[תשלומים
שנותרו]],AE362),0)),0)</f>
        <v>0</v>
      </c>
      <c r="AG361" s="19" t="str">
        <f ca="1">IFERROR(IF(AND(ValuesEntered4,הפחתה8[[#This Row],[תאריך]]&lt;&gt;""),-PPMT(שיעור_ריבית4/12,1,תקופת_ההלוואה4-ROWS($C$4:AD361)+1,הפחתה8[[#This Row],[יתרת פתיחה]]),""),0)</f>
        <v/>
      </c>
      <c r="AH361" s="19">
        <f ca="1">(הפחתה8[[#This Row],[יתרת פתיחה]])*(מדד4/12)</f>
        <v>0</v>
      </c>
      <c r="AI361" s="19">
        <f ca="1">IF(הפחתה8[[#This Row],[תאריך]]="",0,הפחתה8[[#This Row],[ריבית]]+הפחתה8[[#This Row],[קרן]]+הפחתה8[[#This Row],[מדד]])</f>
        <v>0</v>
      </c>
      <c r="AJ361" s="19">
        <f ca="1">IF(הפחתה8[[#This Row],[תאריך]]="",0,הפחתה8[[#This Row],[יתרת פתיחה]]-הפחתה8[[#This Row],[קרן]])</f>
        <v>0</v>
      </c>
      <c r="AK361" s="20">
        <f ca="1">IF(הפחתה8[[#This Row],[יתרת
סגירה]]&gt;0,LastRow4-ROW(),0)</f>
        <v>0</v>
      </c>
    </row>
    <row r="362" spans="1:37" ht="15" customHeight="1" x14ac:dyDescent="0.25">
      <c r="A362" s="8"/>
      <c r="B362" s="11">
        <f>ROWS($B$4:B362)</f>
        <v>359</v>
      </c>
      <c r="C362" s="12">
        <f>IF(ValuesEntered,IF(הפחתה[[#This Row],[מס'']]&lt;=תקופת_ההלוואה,IF(ROW()-ROW(הפחתה[[#Headers],[תאריך]])=1,LoanStart,IF(I361&gt;0,EDATE(C361,1),"")),""),"")</f>
        <v>56281</v>
      </c>
      <c r="D362" s="13">
        <f>IF(ROW()-ROW(הפחתה[[#Headers],[יתרת פתיחה]])=1,סכום_הלוואה,IF(הפחתה[[#This Row],[תאריך]]="",0,INDEX(הפחתה[], ROW()-4,8)))</f>
        <v>6619.7676563215591</v>
      </c>
      <c r="E362" s="13">
        <f>IF(ValuesEntered,IF(ROW()-ROW(הפחתה[[#Headers],[ריבית]])=1,-IPMT(שיעור_ריבית/12,1,תקופת_ההלוואה-ROWS($C$4:C362)+1,הפחתה[[#This Row],[יתרת פתיחה]]),IFERROR(-IPMT(שיעור_ריבית/12,1,הפחתה[[#This Row],[תשלומים
שנותרו]],D363),0)),0)</f>
        <v>14.650865300125833</v>
      </c>
      <c r="F362" s="13">
        <f>IFERROR(IF(AND(ValuesEntered,הפחתה[[#This Row],[תאריך]]&lt;&gt;""),-PPMT(שיעור_ריבית/12,1,תקופת_ההלוואה-ROWS($C$4:C362)+1,הפחתה[[#This Row],[יתרת פתיחה]]),""),0)</f>
        <v>3302.5906072364655</v>
      </c>
      <c r="G362" s="13">
        <f>(הפחתה[[#This Row],[יתרת פתיחה]])*(מדד/12)</f>
        <v>0</v>
      </c>
      <c r="H362" s="13">
        <f>IF(הפחתה[[#This Row],[תאריך]]="",0,הפחתה[[#This Row],[ריבית]]+הפחתה[[#This Row],[קרן]]+הפחתה[[#This Row],[מדד]])</f>
        <v>3317.2414725365916</v>
      </c>
      <c r="I362" s="13">
        <f>IF(הפחתה[[#This Row],[תאריך]]="",0,הפחתה[[#This Row],[יתרת פתיחה]]-הפחתה[[#This Row],[קרן]]+הפחתה[[#This Row],[מדד]])</f>
        <v>3317.1770490850936</v>
      </c>
      <c r="J362" s="11">
        <f>IF(הפחתה[[#This Row],[יתרת
סגירה]]&gt;0,LastRow-ROW(),0)</f>
        <v>1</v>
      </c>
      <c r="K362" s="11">
        <f>ROWS($K$4:K362)</f>
        <v>359</v>
      </c>
      <c r="L362" s="12" t="str">
        <f>IF(ValuesEntered2,IF(הפחתה5[[#This Row],[מס'']]&lt;=תקופת_ההלוואה2,IF(ROW()-ROW(הפחתה5[[#Headers],[תאריך]])=1,LoanStart2,IF(R361&gt;0,EDATE(L361,1),"")),""),"")</f>
        <v/>
      </c>
      <c r="M362" s="13">
        <f>IF(ROW()-ROW(הפחתה5[[#Headers],[יתרת פתיחה]])=1,סכום_הלוואה2,IF(הפחתה5[[#This Row],[תאריך]]="",0,INDEX(הפחתה5[], ROW()-4,8)))</f>
        <v>0</v>
      </c>
      <c r="N362" s="13">
        <f>IF(ValuesEntered2,IF(ROW()-ROW(הפחתה5[[#Headers],[ריבית]])=1,-IPMT(שיעור_ריבית2/12,1,תקופת_ההלוואה2-ROWS($L$4:L362)+1,הפחתה5[[#This Row],[יתרת פתיחה]]),IFERROR(-IPMT(שיעור_ריבית2/12,1,הפחתה5[[#This Row],[תשלומים
שנותרו]],M363),0)),0)</f>
        <v>0</v>
      </c>
      <c r="O362" s="13" t="str">
        <f>IFERROR(IF(AND(ValuesEntered2,הפחתה5[[#This Row],[תאריך]]&lt;&gt;""),-PPMT(שיעור_ריבית2/12,1,תקופת_ההלוואה2-ROWS($L$4:L362)+1,הפחתה5[[#This Row],[יתרת פתיחה]]),""),0)</f>
        <v/>
      </c>
      <c r="P362" s="13">
        <f>(הפחתה5[[#This Row],[יתרת פתיחה]])*(מדד2/12)</f>
        <v>0</v>
      </c>
      <c r="Q362" s="13">
        <f>IF(הפחתה5[[#This Row],[תאריך]]="",0,הפחתה5[[#This Row],[ריבית]]+הפחתה5[[#This Row],[קרן]]+הפחתה5[[#This Row],[מדד]])</f>
        <v>0</v>
      </c>
      <c r="R362" s="13">
        <f>IF(הפחתה5[[#This Row],[תאריך]]="",0,הפחתה5[[#This Row],[יתרת פתיחה]]-הפחתה5[[#This Row],[קרן]]+הפחתה5[[#This Row],[מדד]])</f>
        <v>0</v>
      </c>
      <c r="S362" s="11">
        <f>IF(הפחתה5[[#This Row],[יתרת
סגירה]]&gt;0,LastRow2-ROW(),0)</f>
        <v>0</v>
      </c>
      <c r="T362" s="11">
        <f>ROWS($T$4:T362)</f>
        <v>359</v>
      </c>
      <c r="U362" s="12" t="str">
        <f ca="1">IF(ValuesEntered3,IF(הפחתה7[[#This Row],[מס'']]&lt;=תקופת_ההלוואה3,IF(ROW()-ROW(הפחתה7[[#Headers],[תאריך]])=1,LoanStart3,IF(AA361&gt;0,EDATE(U361,1),"")),""),"")</f>
        <v/>
      </c>
      <c r="V362" s="13">
        <f ca="1">IF(ROW()-ROW(הפחתה7[[#Headers],[יתרת פתיחה]])=1,סכום_הלוואה3,IF(הפחתה7[[#This Row],[תאריך]]="",0,INDEX(הפחתה7[], ROW()-4,8)))</f>
        <v>0</v>
      </c>
      <c r="W362" s="13">
        <f ca="1">IF(ValuesEntered3,IF(ROW()-ROW(הפחתה7[[#Headers],[ריבית]])=1,-IPMT(שיעור_ריבית3/12,1,תקופת_ההלוואה3-ROWS($C$4:U362)+1,הפחתה7[[#This Row],[יתרת פתיחה]]),IFERROR(-IPMT(שיעור_ריבית3/12,1,הפחתה7[[#This Row],[תשלומים
שנותרו]],V363),0)),0)</f>
        <v>0</v>
      </c>
      <c r="X362" s="13" t="str">
        <f ca="1">IFERROR(IF(AND(ValuesEntered3,הפחתה7[[#This Row],[תאריך]]&lt;&gt;""),-PPMT(שיעור_ריבית3/12,1,תקופת_ההלוואה3-ROWS($C$4:U362)+1,הפחתה7[[#This Row],[יתרת פתיחה]]),""),0)</f>
        <v/>
      </c>
      <c r="Y362" s="13">
        <f ca="1">(הפחתה7[[#This Row],[יתרת פתיחה]])*(מדד3/12)</f>
        <v>0</v>
      </c>
      <c r="Z362" s="13">
        <f ca="1">IF(הפחתה7[[#This Row],[תאריך]]="",0,הפחתה7[[#This Row],[ריבית]]+הפחתה7[[#This Row],[קרן]]+הפחתה7[[#This Row],[מדד]])</f>
        <v>0</v>
      </c>
      <c r="AA362" s="13">
        <f ca="1">IF(הפחתה7[[#This Row],[תאריך]]="",0,הפחתה7[[#This Row],[יתרת פתיחה]]-הפחתה7[[#This Row],[קרן]]+הפחתה7[[#This Row],[מדד]])</f>
        <v>0</v>
      </c>
      <c r="AB362" s="11">
        <f ca="1">IF(הפחתה7[[#This Row],[יתרת
סגירה]]&gt;0,LastRow3-ROW(),0)</f>
        <v>0</v>
      </c>
      <c r="AC362" s="17">
        <f>ROWS($AC$4:AC362)</f>
        <v>359</v>
      </c>
      <c r="AD362" s="18" t="str">
        <f ca="1">IF(ValuesEntered4,IF(הפחתה8[[#This Row],[מס'']]&lt;=תקופת_ההלוואה4,IF(ROW()-ROW(הפחתה8[[#Headers],[תאריך]])=1,LoanStart4,IF(AJ361&gt;0,EDATE(AD361,1),"")),""),"")</f>
        <v/>
      </c>
      <c r="AE362" s="19">
        <f ca="1">IF(ROW()-ROW(הפחתה8[[#Headers],[יתרת פתיחה]])=1,סכום_הלוואה4,IF(הפחתה8[[#This Row],[תאריך]]="",0,INDEX(הפחתה8[], ROW()-4,8)))</f>
        <v>0</v>
      </c>
      <c r="AF362" s="19">
        <f ca="1">IF(ValuesEntered4,IF(ROW()-ROW(הפחתה8[[#Headers],[ריבית]])=1,-IPMT(שיעור_ריבית4/12,1,תקופת_ההלוואה4-ROWS($C$4:AD362)+1,הפחתה8[[#This Row],[יתרת פתיחה]]),IFERROR(-IPMT(שיעור_ריבית4/12,1,הפחתה8[[#This Row],[תשלומים
שנותרו]],AE363),0)),0)</f>
        <v>0</v>
      </c>
      <c r="AG362" s="19" t="str">
        <f ca="1">IFERROR(IF(AND(ValuesEntered4,הפחתה8[[#This Row],[תאריך]]&lt;&gt;""),-PPMT(שיעור_ריבית4/12,1,תקופת_ההלוואה4-ROWS($C$4:AD362)+1,הפחתה8[[#This Row],[יתרת פתיחה]]),""),0)</f>
        <v/>
      </c>
      <c r="AH362" s="19">
        <f ca="1">(הפחתה8[[#This Row],[יתרת פתיחה]])*(מדד4/12)</f>
        <v>0</v>
      </c>
      <c r="AI362" s="19">
        <f ca="1">IF(הפחתה8[[#This Row],[תאריך]]="",0,הפחתה8[[#This Row],[ריבית]]+הפחתה8[[#This Row],[קרן]]+הפחתה8[[#This Row],[מדד]])</f>
        <v>0</v>
      </c>
      <c r="AJ362" s="19">
        <f ca="1">IF(הפחתה8[[#This Row],[תאריך]]="",0,הפחתה8[[#This Row],[יתרת פתיחה]]-הפחתה8[[#This Row],[קרן]])</f>
        <v>0</v>
      </c>
      <c r="AK362" s="20">
        <f ca="1">IF(הפחתה8[[#This Row],[יתרת
סגירה]]&gt;0,LastRow4-ROW(),0)</f>
        <v>0</v>
      </c>
    </row>
    <row r="363" spans="1:37" ht="15" customHeight="1" thickBot="1" x14ac:dyDescent="0.3">
      <c r="A363" s="8"/>
      <c r="B363" s="11">
        <f>ROWS($B$4:B363)</f>
        <v>360</v>
      </c>
      <c r="C363" s="12">
        <f>IF(ValuesEntered,IF(הפחתה[[#This Row],[מס'']]&lt;=תקופת_ההלוואה,IF(ROW()-ROW(הפחתה[[#Headers],[תאריך]])=1,LoanStart,IF(I362&gt;0,EDATE(C362,1),"")),""),"")</f>
        <v>56309</v>
      </c>
      <c r="D363" s="13">
        <f>IF(ROW()-ROW(הפחתה[[#Headers],[יתרת פתיחה]])=1,סכום_הלוואה,IF(הפחתה[[#This Row],[תאריך]]="",0,INDEX(הפחתה[], ROW()-4,8)))</f>
        <v>3317.1770490850936</v>
      </c>
      <c r="E363" s="13">
        <f>IF(ValuesEntered,IF(ROW()-ROW(הפחתה[[#Headers],[ריבית]])=1,-IPMT(שיעור_ריבית/12,1,תקופת_ההלוואה-ROWS($C$4:C363)+1,הפחתה[[#This Row],[יתרת פתיחה]]),IFERROR(-IPMT(שיעור_ריבית/12,1,הפחתה[[#This Row],[תשלומים
שנותרו]],D364),0)),0)</f>
        <v>0</v>
      </c>
      <c r="F363" s="13">
        <f>IFERROR(IF(AND(ValuesEntered,הפחתה[[#This Row],[תאריך]]&lt;&gt;""),-PPMT(שיעור_ריבית/12,1,תקופת_ההלוואה-ROWS($C$4:C363)+1,הפחתה[[#This Row],[יתרת פתיחה]]),""),0)</f>
        <v>3317.177049085094</v>
      </c>
      <c r="G363" s="13">
        <f>(הפחתה[[#This Row],[יתרת פתיחה]])*(מדד/12)</f>
        <v>0</v>
      </c>
      <c r="H363" s="13">
        <f>IF(הפחתה[[#This Row],[תאריך]]="",0,הפחתה[[#This Row],[ריבית]]+הפחתה[[#This Row],[קרן]]+הפחתה[[#This Row],[מדד]])</f>
        <v>3317.177049085094</v>
      </c>
      <c r="I363" s="13">
        <f>IF(הפחתה[[#This Row],[תאריך]]="",0,הפחתה[[#This Row],[יתרת פתיחה]]-הפחתה[[#This Row],[קרן]]+הפחתה[[#This Row],[מדד]])</f>
        <v>-4.5474735088646412E-13</v>
      </c>
      <c r="J363" s="11">
        <f>IF(הפחתה[[#This Row],[יתרת
סגירה]]&gt;0,LastRow-ROW(),0)</f>
        <v>0</v>
      </c>
      <c r="K363" s="11">
        <f>ROWS($K$4:K363)</f>
        <v>360</v>
      </c>
      <c r="L363" s="12" t="str">
        <f>IF(ValuesEntered2,IF(הפחתה5[[#This Row],[מס'']]&lt;=תקופת_ההלוואה2,IF(ROW()-ROW(הפחתה5[[#Headers],[תאריך]])=1,LoanStart2,IF(R362&gt;0,EDATE(L362,1),"")),""),"")</f>
        <v/>
      </c>
      <c r="M363" s="13">
        <f>IF(ROW()-ROW(הפחתה5[[#Headers],[יתרת פתיחה]])=1,סכום_הלוואה2,IF(הפחתה5[[#This Row],[תאריך]]="",0,INDEX(הפחתה5[], ROW()-4,8)))</f>
        <v>0</v>
      </c>
      <c r="N363" s="13">
        <f>IF(ValuesEntered2,IF(ROW()-ROW(הפחתה5[[#Headers],[ריבית]])=1,-IPMT(שיעור_ריבית2/12,1,תקופת_ההלוואה2-ROWS($L$4:L363)+1,הפחתה5[[#This Row],[יתרת פתיחה]]),IFERROR(-IPMT(שיעור_ריבית2/12,1,הפחתה5[[#This Row],[תשלומים
שנותרו]],M364),0)),0)</f>
        <v>0</v>
      </c>
      <c r="O363" s="13" t="str">
        <f>IFERROR(IF(AND(ValuesEntered2,הפחתה5[[#This Row],[תאריך]]&lt;&gt;""),-PPMT(שיעור_ריבית2/12,1,תקופת_ההלוואה2-ROWS($L$4:L363)+1,הפחתה5[[#This Row],[יתרת פתיחה]]),""),0)</f>
        <v/>
      </c>
      <c r="P363" s="13">
        <f>(הפחתה5[[#This Row],[יתרת פתיחה]])*(מדד2/12)</f>
        <v>0</v>
      </c>
      <c r="Q363" s="13">
        <f>IF(הפחתה5[[#This Row],[תאריך]]="",0,הפחתה5[[#This Row],[ריבית]]+הפחתה5[[#This Row],[קרן]]+הפחתה5[[#This Row],[מדד]])</f>
        <v>0</v>
      </c>
      <c r="R363" s="13">
        <f>IF(הפחתה5[[#This Row],[תאריך]]="",0,הפחתה5[[#This Row],[יתרת פתיחה]]-הפחתה5[[#This Row],[קרן]]+הפחתה5[[#This Row],[מדד]])</f>
        <v>0</v>
      </c>
      <c r="S363" s="11">
        <f>IF(הפחתה5[[#This Row],[יתרת
סגירה]]&gt;0,LastRow2-ROW(),0)</f>
        <v>0</v>
      </c>
      <c r="T363" s="11">
        <f>ROWS($T$4:T363)</f>
        <v>360</v>
      </c>
      <c r="U363" s="12" t="str">
        <f ca="1">IF(ValuesEntered3,IF(הפחתה7[[#This Row],[מס'']]&lt;=תקופת_ההלוואה3,IF(ROW()-ROW(הפחתה7[[#Headers],[תאריך]])=1,LoanStart3,IF(AA362&gt;0,EDATE(U362,1),"")),""),"")</f>
        <v/>
      </c>
      <c r="V363" s="13">
        <f ca="1">IF(ROW()-ROW(הפחתה7[[#Headers],[יתרת פתיחה]])=1,סכום_הלוואה3,IF(הפחתה7[[#This Row],[תאריך]]="",0,INDEX(הפחתה7[], ROW()-4,8)))</f>
        <v>0</v>
      </c>
      <c r="W363" s="13">
        <f ca="1">IF(ValuesEntered3,IF(ROW()-ROW(הפחתה7[[#Headers],[ריבית]])=1,-IPMT(שיעור_ריבית3/12,1,תקופת_ההלוואה3-ROWS($C$4:U363)+1,הפחתה7[[#This Row],[יתרת פתיחה]]),IFERROR(-IPMT(שיעור_ריבית3/12,1,הפחתה7[[#This Row],[תשלומים
שנותרו]],V364),0)),0)</f>
        <v>0</v>
      </c>
      <c r="X363" s="13" t="str">
        <f ca="1">IFERROR(IF(AND(ValuesEntered3,הפחתה7[[#This Row],[תאריך]]&lt;&gt;""),-PPMT(שיעור_ריבית3/12,1,תקופת_ההלוואה3-ROWS($C$4:U363)+1,הפחתה7[[#This Row],[יתרת פתיחה]]),""),0)</f>
        <v/>
      </c>
      <c r="Y363" s="13">
        <f ca="1">(הפחתה7[[#This Row],[יתרת פתיחה]])*(מדד3/12)</f>
        <v>0</v>
      </c>
      <c r="Z363" s="13">
        <f ca="1">IF(הפחתה7[[#This Row],[תאריך]]="",0,הפחתה7[[#This Row],[ריבית]]+הפחתה7[[#This Row],[קרן]]+הפחתה7[[#This Row],[מדד]])</f>
        <v>0</v>
      </c>
      <c r="AA363" s="13">
        <f ca="1">IF(הפחתה7[[#This Row],[תאריך]]="",0,הפחתה7[[#This Row],[יתרת פתיחה]]-הפחתה7[[#This Row],[קרן]]+הפחתה7[[#This Row],[מדד]])</f>
        <v>0</v>
      </c>
      <c r="AB363" s="11">
        <f ca="1">IF(הפחתה7[[#This Row],[יתרת
סגירה]]&gt;0,LastRow3-ROW(),0)</f>
        <v>0</v>
      </c>
      <c r="AC363" s="21">
        <f>ROWS($AC$4:AC363)</f>
        <v>360</v>
      </c>
      <c r="AD363" s="22" t="str">
        <f ca="1">IF(ValuesEntered4,IF(הפחתה8[[#This Row],[מס'']]&lt;=תקופת_ההלוואה4,IF(ROW()-ROW(הפחתה8[[#Headers],[תאריך]])=1,LoanStart4,IF(AJ362&gt;0,EDATE(AD362,1),"")),""),"")</f>
        <v/>
      </c>
      <c r="AE363" s="23">
        <f ca="1">IF(ROW()-ROW(הפחתה8[[#Headers],[יתרת פתיחה]])=1,סכום_הלוואה4,IF(הפחתה8[[#This Row],[תאריך]]="",0,INDEX(הפחתה8[], ROW()-4,8)))</f>
        <v>0</v>
      </c>
      <c r="AF363" s="23">
        <f ca="1">IF(ValuesEntered4,IF(ROW()-ROW(הפחתה8[[#Headers],[ריבית]])=1,-IPMT(שיעור_ריבית4/12,1,תקופת_ההלוואה4-ROWS($C$4:AD363)+1,הפחתה8[[#This Row],[יתרת פתיחה]]),IFERROR(-IPMT(שיעור_ריבית4/12,1,הפחתה8[[#This Row],[תשלומים
שנותרו]],AE364),0)),0)</f>
        <v>0</v>
      </c>
      <c r="AG363" s="23" t="str">
        <f ca="1">IFERROR(IF(AND(ValuesEntered4,הפחתה8[[#This Row],[תאריך]]&lt;&gt;""),-PPMT(שיעור_ריבית4/12,1,תקופת_ההלוואה4-ROWS($C$4:AD363)+1,הפחתה8[[#This Row],[יתרת פתיחה]]),""),0)</f>
        <v/>
      </c>
      <c r="AH363" s="23">
        <f ca="1">(הפחתה8[[#This Row],[יתרת פתיחה]])*(מדד4/12)</f>
        <v>0</v>
      </c>
      <c r="AI363" s="23">
        <f ca="1">IF(הפחתה8[[#This Row],[תאריך]]="",0,הפחתה8[[#This Row],[ריבית]]+הפחתה8[[#This Row],[קרן]]+הפחתה8[[#This Row],[מדד]])</f>
        <v>0</v>
      </c>
      <c r="AJ363" s="23">
        <f ca="1">IF(הפחתה8[[#This Row],[תאריך]]="",0,הפחתה8[[#This Row],[יתרת פתיחה]]-הפחתה8[[#This Row],[קרן]])</f>
        <v>0</v>
      </c>
      <c r="AK363" s="24">
        <f ca="1">IF(הפחתה8[[#This Row],[יתרת
סגירה]]&gt;0,LastRow4-ROW(),0)</f>
        <v>0</v>
      </c>
    </row>
  </sheetData>
  <sheetProtection selectLockedCells="1"/>
  <mergeCells count="8">
    <mergeCell ref="AC1:AK1"/>
    <mergeCell ref="AC2:AK2"/>
    <mergeCell ref="B1:J1"/>
    <mergeCell ref="B2:J2"/>
    <mergeCell ref="K1:S1"/>
    <mergeCell ref="K2:S2"/>
    <mergeCell ref="T1:AB1"/>
    <mergeCell ref="T2:AB2"/>
  </mergeCells>
  <conditionalFormatting sqref="B4:J363">
    <cfRule type="expression" dxfId="3" priority="7">
      <formula>$C4=""</formula>
    </cfRule>
  </conditionalFormatting>
  <conditionalFormatting sqref="K4:S363">
    <cfRule type="expression" dxfId="2" priority="1">
      <formula>$C4=""</formula>
    </cfRule>
  </conditionalFormatting>
  <conditionalFormatting sqref="T4:AB363">
    <cfRule type="expression" dxfId="1" priority="5">
      <formula>$C4=""</formula>
    </cfRule>
  </conditionalFormatting>
  <conditionalFormatting sqref="AC4:AK363">
    <cfRule type="expression" dxfId="0" priority="4">
      <formula>$C4=""</formula>
    </cfRule>
  </conditionalFormatting>
  <dataValidations xWindow="1444" yWindow="485" count="11">
    <dataValidation allowBlank="1" showInputMessage="1" showErrorMessage="1" prompt="טבלת סילוקין זו מחושבת באמצעות 'מחשבון משכנתה'. הוסף תשלומים נוספים על-ידי הכנסת שורות חדשות לטבלה. הזן את תאריך התשלום, והעמודות יעודכנו באופן אוטומטי" sqref="A1" xr:uid="{00000000-0002-0000-0100-000000000000}"/>
    <dataValidation allowBlank="1" showInputMessage="1" showErrorMessage="1" prompt="מספר התשלום מופיע בעמודה זו. הוסף תשלומים נוספים על-ידי הוספת שורה חדשה והזנת תאריך התשלום. העמודות יתעדכנו באופן אוטומטי" sqref="B3 K3 T3 AC3" xr:uid="{00000000-0002-0000-0100-000001000000}"/>
    <dataValidation allowBlank="1" showInputMessage="1" showErrorMessage="1" prompt="תאריך התשלום מתעדכן באופן אוטומטי בעמודה זו" sqref="C3 L3 U3 AD3" xr:uid="{00000000-0002-0000-0100-000002000000}"/>
    <dataValidation allowBlank="1" showInputMessage="1" showErrorMessage="1" prompt="יתרת הפתיחה והיתרה המותאמת בעת החלת תשלומים מתעדכנת באופן אוטומטי בעמודה זו" sqref="D3 M3 V3 AE3" xr:uid="{00000000-0002-0000-0100-000003000000}"/>
    <dataValidation allowBlank="1" showInputMessage="1" showErrorMessage="1" prompt="התפלגות הריבית מתעדכנת באופן אוטומטי בעמודה זו" sqref="E3 N3 W3 AF3" xr:uid="{00000000-0002-0000-0100-000004000000}"/>
    <dataValidation allowBlank="1" showInputMessage="1" showErrorMessage="1" prompt="סכום התשלום המוחל על תשלום הקרן מתעדכן באופן אוטומטי בעמודה זו" sqref="F3 O3 X3 AG3" xr:uid="{00000000-0002-0000-0100-000005000000}"/>
    <dataValidation allowBlank="1" showInputMessage="1" showErrorMessage="1" prompt="תשלום מס רכוש המוזן בתא E8 בגליון העבודה 'מחשבון משכנתה' מתעדכן באופן אוטומטי בעמודה זו " sqref="G3 P3 Y3 AH3" xr:uid="{00000000-0002-0000-0100-000006000000}"/>
    <dataValidation allowBlank="1" showInputMessage="1" showErrorMessage="1" prompt="התשלום הכולל מותאם באופן אוטומטי בעמודה זו בהתבסס על סכומי הריבית, הקרן ומס הרכוש המופיעים בעמודות E‏, F ו- G" sqref="H3 Q3 Z3 AI3" xr:uid="{00000000-0002-0000-0100-000007000000}"/>
    <dataValidation allowBlank="1" showInputMessage="1" showErrorMessage="1" prompt="יתרת הסגירה המותאמת עבור התשלום הכולל מתעדכנת באופן אוטומטי בעמודה זו" sqref="I3 R3 AA3 AJ3" xr:uid="{00000000-0002-0000-0100-000008000000}"/>
    <dataValidation allowBlank="1" showInputMessage="1" showErrorMessage="1" prompt="מספר התשלומים שנותרו מתעדכן באופן אוטומטי בעמודה זו תחת כותרת זו בהתבסס על תקופת ההלוואה בגליון העבודה 'מחשבון משכנתה' ומספר התשלומים שהוחלו על ההלוואה" sqref="J3 S3 AB3 AK3" xr:uid="{00000000-0002-0000-0100-000009000000}"/>
    <dataValidation allowBlank="1" showInputMessage="1" showErrorMessage="1" prompt="הכותרת של גליון עבודה זה מופיעה בתא זה ובתא שמתחת" sqref="B1:AK1" xr:uid="{00000000-0002-0000-0100-00000A000000}"/>
  </dataValidations>
  <printOptions horizontalCentered="1"/>
  <pageMargins left="0.25" right="0.25" top="0.75" bottom="0.75" header="0.3" footer="0.3"/>
  <pageSetup paperSize="9" scale="10" orientation="landscape" r:id="rId1"/>
  <headerFooter differentFirst="1">
    <oddFooter>Page &amp;P of &amp;N</oddFooter>
  </headerFooter>
  <tableParts count="4">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F7B76-664E-4AA8-A03A-410C2E9DE5FF}">
  <dimension ref="A1:N77"/>
  <sheetViews>
    <sheetView rightToLeft="1" workbookViewId="0">
      <selection activeCell="O13" sqref="O13"/>
    </sheetView>
  </sheetViews>
  <sheetFormatPr defaultRowHeight="13.8" x14ac:dyDescent="0.25"/>
  <cols>
    <col min="1" max="1" width="20.5" customWidth="1"/>
    <col min="3" max="3" width="22.69921875" customWidth="1"/>
    <col min="4" max="4" width="21.296875" customWidth="1"/>
    <col min="5" max="5" width="11.3984375" customWidth="1"/>
    <col min="12" max="12" width="10.796875" bestFit="1" customWidth="1"/>
  </cols>
  <sheetData>
    <row r="1" spans="1:14" ht="39" customHeight="1" x14ac:dyDescent="0.25">
      <c r="A1" s="45" t="s">
        <v>35</v>
      </c>
      <c r="B1" s="45" t="s">
        <v>44</v>
      </c>
      <c r="C1" s="45" t="s">
        <v>42</v>
      </c>
      <c r="D1" s="45" t="s">
        <v>43</v>
      </c>
      <c r="E1" s="45" t="s">
        <v>60</v>
      </c>
      <c r="F1" s="45"/>
      <c r="G1" s="45"/>
      <c r="H1" s="46"/>
      <c r="I1" s="46"/>
      <c r="J1" s="46"/>
      <c r="K1" s="46"/>
      <c r="L1" s="46"/>
      <c r="M1" s="46"/>
      <c r="N1" s="46"/>
    </row>
    <row r="2" spans="1:14" x14ac:dyDescent="0.25">
      <c r="A2" s="45">
        <f>12*B2</f>
        <v>12</v>
      </c>
      <c r="B2" s="45">
        <v>1</v>
      </c>
      <c r="C2" s="47">
        <f ca="1">SUM(' טבלת סילוקין - לפי מסלולים'!E4:E15)+SUM(' טבלת סילוקין - לפי מסלולים'!N4:N15)+SUM(' טבלת סילוקין - לפי מסלולים'!W4:W15)+SUM(' טבלת סילוקין - לפי מסלולים'!AF4:AF15)</f>
        <v>47790.673133859658</v>
      </c>
      <c r="D2" s="47">
        <f ca="1">SUM(' טבלת סילוקין - לפי מסלולים'!F4:F15)+SUM(' טבלת סילוקין - לפי מסלולים'!O4:O15)+SUM(' טבלת סילוקין - לפי מסלולים'!X4:X15)+SUM(' טבלת סילוקין - לפי מסלולים'!AG4:AG15)</f>
        <v>17864.990744324125</v>
      </c>
      <c r="E2" s="47">
        <f ca="1">SUM(' טבלת סילוקין - לפי מסלולים'!G4:G15)+SUM(' טבלת סילוקין - לפי מסלולים'!P4:P15)+SUM(' טבלת סילוקין - לפי מסלולים'!Y4:Y15)+SUM(' טבלת סילוקין - לפי מסלולים'!AH4:AH15)</f>
        <v>1990.7911976534449</v>
      </c>
      <c r="F2" s="45"/>
      <c r="G2" s="45"/>
      <c r="H2" s="46"/>
      <c r="I2" s="46"/>
      <c r="J2" s="46"/>
      <c r="K2" s="46"/>
      <c r="L2" s="46"/>
      <c r="M2" s="46"/>
      <c r="N2" s="46"/>
    </row>
    <row r="3" spans="1:14" x14ac:dyDescent="0.25">
      <c r="A3" s="45">
        <v>18</v>
      </c>
      <c r="B3" s="45">
        <v>1.5</v>
      </c>
      <c r="C3" s="47">
        <f ca="1">SUM(' טבלת סילוקין - לפי מסלולים'!E4:E21)+SUM(' טבלת סילוקין - לפי מסלולים'!N4:N21)+SUM(' טבלת סילוקין - לפי מסלולים'!W4:W21)+SUM(' טבלת סילוקין - לפי מסלולים'!AF4:AF21)</f>
        <v>71388.180629697003</v>
      </c>
      <c r="D3" s="47">
        <f ca="1">SUM(' טבלת סילוקין - לפי מסלולים'!F4:F21)+SUM(' טבלת סילוקין - לפי מסלולים'!O4:O21)+SUM(' טבלת סילוקין - לפי מסלולים'!X4:X21)+SUM(' טבלת סילוקין - לפי מסלולים'!AG4:AG21)</f>
        <v>27131.568045386986</v>
      </c>
      <c r="E3" s="47">
        <f ca="1">SUM(' טבלת סילוקין - לפי מסלולים'!G4:G21)+SUM(' טבלת סילוקין - לפי מסלולים'!P4:P21)+SUM(' טבלת סילוקין - לפי מסלולים'!Y4:Y21)+SUM(' טבלת סילוקין - לפי מסלולים'!AH4:AH21)</f>
        <v>2978.1160648055748</v>
      </c>
      <c r="F3" s="45"/>
      <c r="G3" s="45"/>
      <c r="H3" s="46"/>
      <c r="I3" s="46"/>
      <c r="J3" s="46"/>
      <c r="K3" s="46"/>
      <c r="L3" s="46"/>
      <c r="M3" s="46"/>
      <c r="N3" s="46"/>
    </row>
    <row r="4" spans="1:14" x14ac:dyDescent="0.25">
      <c r="A4" s="45">
        <f t="shared" ref="A4:A12" si="0">12*B4</f>
        <v>24</v>
      </c>
      <c r="B4" s="45">
        <v>2</v>
      </c>
      <c r="C4" s="47">
        <f ca="1">SUM(' טבלת סילוקין - לפי מסלולים'!E4:E27)+SUM(' טבלת סילוקין - לפי מסלולים'!N4:N27)+SUM(' טבלת סילוקין - לפי מסלולים'!W4:W27)+SUM(' טבלת סילוקין - לפי מסלולים'!AF4:AF27)</f>
        <v>94781.773143719853</v>
      </c>
      <c r="D4" s="47">
        <f ca="1">SUM(' טבלת סילוקין - לפי מסלולים'!F4:F27)+SUM(' טבלת סילוקין - לפי מסלולים'!O4:O27)+SUM(' טבלת סילוקין - לפי מסלולים'!X4:X27)+SUM(' טבלת סילוקין - לפי מסלולים'!AG4:AG27)</f>
        <v>36628.303875132464</v>
      </c>
      <c r="E4" s="47">
        <f ca="1">SUM(' טבלת סילוקין - לפי מסלולים'!G4:G27)+SUM(' טבלת סילוקין - לפי מסלולים'!P4:P27)+SUM(' טבלת סילוקין - לפי מסלולים'!Y4:Y27)+SUM(' טבלת סילוקין - לפי מסלולים'!AH4:AH27)</f>
        <v>3959.5417402070902</v>
      </c>
      <c r="F4" s="45"/>
      <c r="G4" s="45"/>
      <c r="H4" s="46"/>
      <c r="I4" s="46"/>
      <c r="J4" s="46"/>
      <c r="K4" s="46"/>
      <c r="L4" s="46"/>
      <c r="M4" s="46"/>
      <c r="N4" s="46"/>
    </row>
    <row r="5" spans="1:14" x14ac:dyDescent="0.25">
      <c r="A5" s="45">
        <f t="shared" si="0"/>
        <v>36</v>
      </c>
      <c r="B5" s="45">
        <v>3</v>
      </c>
      <c r="C5" s="47">
        <f ca="1">SUM(' טבלת סילוקין - לפי מסלולים'!E4:E39)+SUM(' טבלת סילוקין - לפי מסלולים'!N4:N39)+SUM(' טבלת סילוקין - לפי מסלולים'!W4:W39)+SUM(' טבלת סילוקין - לפי מסלולים'!AF4:AF39)</f>
        <v>140935.06459649451</v>
      </c>
      <c r="D5" s="47">
        <f ca="1">SUM(' טבלת סילוקין - לפי מסלולים'!F4:F39)+SUM(' טבלת סילוקין - לפי מסלולים'!O4:O39)+SUM(' טבלת סילוקין - לפי מסלולים'!X4:X39)+SUM(' טבלת סילוקין - לפי מסלולים'!AG4:AG39)</f>
        <v>56335.410080671485</v>
      </c>
      <c r="E5" s="47">
        <f ca="1">SUM(' טבלת סילוקין - לפי מסלולים'!G4:G39)+SUM(' טבלת סילוקין - לפי מסלולים'!P4:P39)+SUM(' טבלת סילוקין - לפי מסלולים'!Y4:Y39)+SUM(' טבלת סילוקין - לפי מסלולים'!AH4:AH39)</f>
        <v>5903.0718327801869</v>
      </c>
      <c r="F5" s="45"/>
      <c r="G5" s="45"/>
      <c r="H5" s="46"/>
      <c r="I5" s="46"/>
      <c r="J5" s="46"/>
      <c r="K5" s="46"/>
      <c r="L5" s="46"/>
      <c r="M5" s="46"/>
      <c r="N5" s="46"/>
    </row>
    <row r="6" spans="1:14" x14ac:dyDescent="0.25">
      <c r="A6" s="45">
        <f t="shared" si="0"/>
        <v>48</v>
      </c>
      <c r="B6" s="45">
        <v>4</v>
      </c>
      <c r="C6" s="47">
        <f ca="1">SUM(' טבלת סילוקין - לפי מסלולים'!E4:E51)+SUM(' טבלת סילוקין - לפי מסלולים'!N4:N51)+SUM(' טבלת סילוקין - לפי מסלולים'!W4:W51)+SUM(' טבלת סילוקין - לפי מסלולים'!AF4:AF51)</f>
        <v>186204.80368923477</v>
      </c>
      <c r="D6" s="47">
        <f ca="1">SUM(' טבלת סילוקין - לפי מסלולים'!F4:F51)+SUM(' טבלת סילוקין - לפי מסלולים'!O4:O51)+SUM(' טבלת סילוקין - לפי מסלולים'!X4:X51)+SUM(' טבלת סילוקין - לפי מסלולים'!AG4:AG51)</f>
        <v>77034.097077107013</v>
      </c>
      <c r="E6" s="47">
        <f ca="1">SUM(' טבלת סילוקין - לפי מסלולים'!G4:G51)+SUM(' טבלת סילוקין - לפי מסלולים'!P4:P51)+SUM(' טבלת סילוקין - לפי מסלולים'!Y4:Y51)+SUM(' טבלת סילוקין - לפי מסלולים'!AH4:AH51)</f>
        <v>7818.017082169973</v>
      </c>
      <c r="F6" s="45"/>
      <c r="G6" s="45"/>
      <c r="H6" s="46"/>
      <c r="I6" s="46"/>
      <c r="J6" s="46"/>
      <c r="K6" s="46"/>
      <c r="L6" s="46"/>
      <c r="M6" s="46"/>
      <c r="N6" s="46"/>
    </row>
    <row r="7" spans="1:14" x14ac:dyDescent="0.25">
      <c r="A7" s="45">
        <f t="shared" si="0"/>
        <v>60</v>
      </c>
      <c r="B7" s="45">
        <v>5</v>
      </c>
      <c r="C7" s="47">
        <f ca="1">SUM(' טבלת סילוקין - לפי מסלולים'!E4:E63)+SUM(' טבלת סילוקין - לפי מסלולים'!N4:N63)+SUM(' טבלת סילוקין - לפי מסלולים'!W4:W63)+SUM(' טבלת סילוקין - לפי מסלולים'!AF4:AF63)</f>
        <v>230542.84837846278</v>
      </c>
      <c r="D7" s="47">
        <f ca="1">SUM(' טבלת סילוקין - לפי מסלולים'!F4:F63)+SUM(' טבלת סילוקין - לפי מסלולים'!O4:O63)+SUM(' טבלת סילוקין - לפי מסלולים'!X4:X63)+SUM(' טבלת סילוקין - לפי מסלולים'!AG4:AG63)</f>
        <v>98774.588586214726</v>
      </c>
      <c r="E7" s="47">
        <f ca="1">SUM(' טבלת סילוקין - לפי מסלולים'!G4:G63)+SUM(' טבלת סילוקין - לפי מסלולים'!P4:P63)+SUM(' טבלת סילוקין - לפי מסלולים'!Y4:Y63)+SUM(' טבלת סילוקין - לפי מסלולים'!AH4:AH63)</f>
        <v>9700.819439242443</v>
      </c>
      <c r="F7" s="45"/>
      <c r="G7" s="45"/>
      <c r="H7" s="46"/>
      <c r="I7" s="46"/>
      <c r="J7" s="46"/>
      <c r="K7" s="46"/>
      <c r="L7" s="46"/>
      <c r="M7" s="46"/>
      <c r="N7" s="46"/>
    </row>
    <row r="8" spans="1:14" x14ac:dyDescent="0.25">
      <c r="A8" s="45">
        <f t="shared" si="0"/>
        <v>72</v>
      </c>
      <c r="B8" s="45">
        <v>6</v>
      </c>
      <c r="C8" s="47">
        <f ca="1">SUM(' טבלת סילוקין - לפי מסלולים'!E4:E75)+SUM(' טבלת סילוקין - לפי מסלולים'!N4:N75)+SUM(' טבלת סילוקין - לפי מסלולים'!W4:W75)+SUM(' טבלת סילוקין - לפי מסלולים'!AF4:AF75)</f>
        <v>273898.53406446031</v>
      </c>
      <c r="D8" s="47">
        <f ca="1">SUM(' טבלת סילוקין - לפי מסלולים'!F4:F75)+SUM(' טבלת סילוקין - לפי מסלולים'!O4:O75)+SUM(' טבלת סילוקין - לפי מסלולים'!X4:X75)+SUM(' טבלת סילוקין - לפי מסלולים'!AG4:AG75)</f>
        <v>121609.66950597095</v>
      </c>
      <c r="E8" s="47">
        <f ca="1">SUM(' טבלת סילוקין - לפי מסלולים'!G4:G75)+SUM(' טבלת סילוקין - לפי מסלולים'!P4:P75)+SUM(' טבלת סילוקין - לפי מסלולים'!Y4:Y75)+SUM(' טבלת סילוקין - לפי מסלולים'!AH4:AH75)</f>
        <v>11547.717717068968</v>
      </c>
      <c r="F8" s="45"/>
      <c r="G8" s="45"/>
      <c r="H8" s="46"/>
      <c r="I8" s="46"/>
      <c r="J8" s="46"/>
      <c r="K8" s="46"/>
      <c r="L8" s="46"/>
      <c r="M8" s="46"/>
      <c r="N8" s="46"/>
    </row>
    <row r="9" spans="1:14" x14ac:dyDescent="0.25">
      <c r="A9" s="45">
        <f t="shared" si="0"/>
        <v>84</v>
      </c>
      <c r="B9" s="45">
        <v>7</v>
      </c>
      <c r="C9" s="47">
        <f ca="1">SUM(' טבלת סילוקין - לפי מסלולים'!E4:E87)+SUM(' טבלת סילוקין - לפי מסלולים'!N4:N87)+SUM(' טבלת סילוקין - לפי מסלולים'!W4:W87)+SUM(' טבלת סילוקין - לפי מסלולים'!AF4:AF87)</f>
        <v>316218.54283210903</v>
      </c>
      <c r="D9" s="47">
        <f ca="1">SUM(' טבלת סילוקין - לפי מסלולים'!F4:F87)+SUM(' טבלת סילוקין - לפי מסלולים'!O4:O87)+SUM(' טבלת סילוקין - לפי מסלולים'!X4:X87)+SUM(' טבלת סילוקין - לפי מסלולים'!AG4:AG87)</f>
        <v>145594.81761229929</v>
      </c>
      <c r="E9" s="47">
        <f ca="1">SUM(' טבלת סילוקין - לפי מסלולים'!G4:G87)+SUM(' טבלת סילוקין - לפי מסלולים'!P4:P87)+SUM(' טבלת סילוקין - לפי מסלולים'!Y4:Y87)+SUM(' טבלת סילוקין - לפי מסלולים'!AH4:AH87)</f>
        <v>13354.737664089596</v>
      </c>
      <c r="F9" s="45"/>
      <c r="G9" s="45"/>
      <c r="H9" s="46"/>
      <c r="I9" s="46"/>
      <c r="J9" s="46"/>
      <c r="K9" s="46"/>
      <c r="L9" s="46"/>
      <c r="M9" s="46"/>
      <c r="N9" s="46"/>
    </row>
    <row r="10" spans="1:14" x14ac:dyDescent="0.25">
      <c r="A10" s="45">
        <f t="shared" si="0"/>
        <v>96</v>
      </c>
      <c r="B10" s="45">
        <v>8</v>
      </c>
      <c r="C10" s="47">
        <f ca="1">SUM(' טבלת סילוקין - לפי מסלולים'!E4:E99)+SUM(' טבלת סילוקין - לפי מסלולים'!N4:N99)+SUM(' טבלת סילוקין - לפי מסלולים'!W4:W99)+SUM(' טבלת סילוקין - לפי מסלולים'!AF4:AF99)</f>
        <v>357446.7659116147</v>
      </c>
      <c r="D10" s="47">
        <f ca="1">SUM(' טבלת סילוקין - לפי מסלולים'!F4:F99)+SUM(' טבלת סילוקין - לפי מסלולים'!O4:O99)+SUM(' טבלת סילוקין - לפי מסלולים'!X4:X99)+SUM(' טבלת סילוקין - לפי מסלולים'!AG4:AG99)</f>
        <v>170788.34215379067</v>
      </c>
      <c r="E10" s="47">
        <f ca="1">SUM(' טבלת סילוקין - לפי מסלולים'!G4:G99)+SUM(' טבלת סילוקין - לפי מסלולים'!P4:P99)+SUM(' טבלת סילוקין - לפי מסלולים'!Y4:Y99)+SUM(' טבלת סילוקין - לפי מסלולים'!AH4:AH99)</f>
        <v>15117.681570208146</v>
      </c>
      <c r="F10" s="45"/>
      <c r="G10" s="45"/>
      <c r="H10" s="46"/>
      <c r="I10" s="46"/>
      <c r="J10" s="46"/>
      <c r="K10" s="46"/>
      <c r="L10" s="46"/>
      <c r="M10" s="46"/>
      <c r="N10" s="46"/>
    </row>
    <row r="11" spans="1:14" x14ac:dyDescent="0.25">
      <c r="A11" s="45">
        <f t="shared" si="0"/>
        <v>108</v>
      </c>
      <c r="B11" s="45">
        <v>9</v>
      </c>
      <c r="C11" s="47">
        <f ca="1">SUM(' טבלת סילוקין - לפי מסלולים'!E4:E111)+SUM(' טבלת סילוקין - לפי מסלולים'!N4:N111)+SUM(' טבלת סילוקין - לפי מסלולים'!W4:W111)+SUM(' טבלת סילוקין - לפי מסלולים'!AF4:AF111)</f>
        <v>397524.15900422365</v>
      </c>
      <c r="D11" s="47">
        <f ca="1">SUM(' טבלת סילוקין - לפי מסלולים'!F4:F111)+SUM(' טבלת סילוקין - לפי מסלולים'!O4:O111)+SUM(' טבלת סילוקין - לפי מסלולים'!X4:X111)+SUM(' טבלת סילוקין - לפי מסלולים'!AG4:AG111)</f>
        <v>197251.52972849424</v>
      </c>
      <c r="E11" s="47">
        <f ca="1">SUM(' טבלת סילוקין - לפי מסלולים'!G4:G111)+SUM(' טבלת סילוקין - לפי מסלולים'!P4:P111)+SUM(' טבלת סילוקין - לפי מסלולים'!Y4:Y111)+SUM(' טבלת סילוקין - לפי מסלולים'!AH4:AH111)</f>
        <v>16832.117382132616</v>
      </c>
      <c r="F11" s="45"/>
      <c r="G11" s="45"/>
      <c r="H11" s="46"/>
      <c r="I11" s="46"/>
      <c r="J11" s="46"/>
      <c r="K11" s="46"/>
      <c r="L11" s="46"/>
      <c r="M11" s="46"/>
      <c r="N11" s="46"/>
    </row>
    <row r="12" spans="1:14" x14ac:dyDescent="0.25">
      <c r="A12" s="45">
        <f t="shared" si="0"/>
        <v>120</v>
      </c>
      <c r="B12" s="45">
        <v>10</v>
      </c>
      <c r="C12" s="47">
        <f ca="1">SUM(' טבלת סילוקין - לפי מסלולים'!E4:E123)+SUM(' טבלת סילוקין - לפי מסלולים'!N4:N123)+SUM(' טבלת סילוקין - לפי מסלולים'!W4:W123)+SUM(' טבלת סילוקין - לפי מסלולים'!AF4:AF123)</f>
        <v>436388.59009860188</v>
      </c>
      <c r="D12" s="47">
        <f ca="1">SUM(' טבלת סילוקין - לפי מסלולים'!F4:F123)+SUM(' טבלת סילוקין - לפי מסלולים'!O4:O123)+SUM(' טבלת סילוקין - לפי מסלולים'!X4:X123)+SUM(' טבלת סילוקין - לפי מסלולים'!AG4:AG123)</f>
        <v>225048.79786431455</v>
      </c>
      <c r="E12" s="47">
        <f ca="1">SUM(' טבלת סילוקין - לפי מסלולים'!G4:G123)+SUM(' טבלת סילוקין - לפי מסלולים'!P4:P123)+SUM(' טבלת סילוקין - לפי מסלולים'!Y4:Y123)+SUM(' טבלת סילוקין - לפי מסלולים'!AH4:AH123)</f>
        <v>18493.367302392522</v>
      </c>
      <c r="F12" s="45"/>
      <c r="G12" s="45"/>
      <c r="H12" s="46"/>
      <c r="I12" s="46"/>
      <c r="J12" s="46"/>
      <c r="K12" s="46"/>
      <c r="L12" s="46"/>
      <c r="M12" s="46"/>
      <c r="N12" s="46"/>
    </row>
    <row r="13" spans="1:14" x14ac:dyDescent="0.25">
      <c r="A13" s="45"/>
      <c r="B13" s="45"/>
      <c r="C13" s="45"/>
      <c r="D13" s="45"/>
      <c r="E13" s="45"/>
      <c r="F13" s="45"/>
      <c r="G13" s="45"/>
      <c r="H13" s="46"/>
      <c r="I13" s="46"/>
      <c r="J13" s="46"/>
      <c r="K13" s="46"/>
      <c r="L13" s="46"/>
      <c r="M13" s="46"/>
      <c r="N13" s="46"/>
    </row>
    <row r="14" spans="1:14" x14ac:dyDescent="0.25">
      <c r="A14" s="46"/>
      <c r="B14" s="46"/>
      <c r="C14" s="46"/>
      <c r="D14" s="46"/>
      <c r="E14" s="46"/>
      <c r="F14" s="46"/>
      <c r="G14" s="46"/>
      <c r="H14" s="46"/>
      <c r="I14" s="46"/>
      <c r="J14" s="46"/>
      <c r="K14" s="46"/>
      <c r="L14" s="46"/>
      <c r="M14" s="46"/>
      <c r="N14" s="46"/>
    </row>
    <row r="15" spans="1:14" x14ac:dyDescent="0.25">
      <c r="A15" s="46"/>
      <c r="B15" s="46"/>
      <c r="C15" s="46"/>
      <c r="D15" s="46"/>
      <c r="E15" s="46"/>
      <c r="F15" s="46"/>
      <c r="G15" s="46"/>
      <c r="H15" s="46"/>
      <c r="I15" s="46"/>
      <c r="J15" s="46"/>
      <c r="K15" s="46"/>
      <c r="L15" s="46"/>
      <c r="M15" s="46"/>
      <c r="N15" s="46"/>
    </row>
    <row r="16" spans="1:14" x14ac:dyDescent="0.25">
      <c r="A16" s="46"/>
      <c r="B16" s="46"/>
      <c r="C16" s="46"/>
      <c r="D16" s="46"/>
      <c r="E16" s="46"/>
      <c r="F16" s="46"/>
      <c r="G16" s="46"/>
      <c r="H16" s="46"/>
      <c r="I16" s="46"/>
      <c r="J16" s="46"/>
      <c r="K16" s="46"/>
      <c r="L16" s="46"/>
      <c r="M16" s="46"/>
      <c r="N16" s="46"/>
    </row>
    <row r="17" spans="1:14" x14ac:dyDescent="0.25">
      <c r="A17" s="46"/>
      <c r="B17" s="46"/>
      <c r="C17" s="46"/>
      <c r="D17" s="46"/>
      <c r="E17" s="46"/>
      <c r="F17" s="46"/>
      <c r="G17" s="46"/>
      <c r="H17" s="46"/>
      <c r="I17" s="46"/>
      <c r="J17" s="46"/>
      <c r="K17" s="46"/>
      <c r="L17" s="46"/>
      <c r="M17" s="46"/>
      <c r="N17" s="46"/>
    </row>
    <row r="18" spans="1:14" x14ac:dyDescent="0.25">
      <c r="A18" s="46"/>
      <c r="B18" s="46"/>
      <c r="C18" s="46"/>
      <c r="D18" s="46"/>
      <c r="E18" s="46"/>
      <c r="F18" s="46"/>
      <c r="G18" s="46"/>
      <c r="H18" s="46"/>
      <c r="I18" s="46"/>
      <c r="J18" s="46"/>
      <c r="K18" s="46"/>
      <c r="L18" s="46"/>
      <c r="M18" s="46"/>
      <c r="N18" s="46"/>
    </row>
    <row r="19" spans="1:14" x14ac:dyDescent="0.25">
      <c r="A19" s="46"/>
      <c r="B19" s="46"/>
      <c r="C19" s="46"/>
      <c r="D19" s="46"/>
      <c r="E19" s="46"/>
      <c r="F19" s="46"/>
      <c r="G19" s="46"/>
      <c r="H19" s="46"/>
      <c r="I19" s="46"/>
      <c r="J19" s="46"/>
      <c r="K19" s="46"/>
      <c r="L19" s="46"/>
      <c r="M19" s="46"/>
      <c r="N19" s="46"/>
    </row>
    <row r="20" spans="1:14" x14ac:dyDescent="0.25">
      <c r="A20" s="46"/>
      <c r="B20" s="46"/>
      <c r="C20" s="46"/>
      <c r="D20" s="46"/>
      <c r="E20" s="46"/>
      <c r="F20" s="46"/>
      <c r="G20" s="46"/>
      <c r="H20" s="46"/>
      <c r="I20" s="46"/>
      <c r="J20" s="46"/>
      <c r="K20" s="46"/>
      <c r="L20" s="46"/>
      <c r="M20" s="46"/>
      <c r="N20" s="46"/>
    </row>
    <row r="21" spans="1:14" x14ac:dyDescent="0.25">
      <c r="A21" s="46"/>
      <c r="B21" s="46"/>
      <c r="C21" s="46"/>
      <c r="D21" s="46"/>
      <c r="E21" s="46"/>
      <c r="F21" s="46"/>
      <c r="G21" s="46"/>
      <c r="H21" s="46"/>
      <c r="I21" s="46"/>
      <c r="J21" s="46"/>
      <c r="K21" s="46"/>
      <c r="L21" s="46"/>
      <c r="M21" s="46"/>
      <c r="N21" s="46"/>
    </row>
    <row r="22" spans="1:14" x14ac:dyDescent="0.25">
      <c r="A22" s="46"/>
      <c r="B22" s="46"/>
      <c r="C22" s="46"/>
      <c r="D22" s="46"/>
      <c r="E22" s="46"/>
      <c r="F22" s="46"/>
      <c r="G22" s="46"/>
      <c r="H22" s="46"/>
      <c r="I22" s="46"/>
      <c r="J22" s="46"/>
      <c r="K22" s="46"/>
      <c r="L22" s="46"/>
      <c r="M22" s="46"/>
      <c r="N22" s="46"/>
    </row>
    <row r="23" spans="1:14" x14ac:dyDescent="0.25">
      <c r="A23" s="46"/>
      <c r="B23" s="46"/>
      <c r="C23" s="46"/>
      <c r="D23" s="46"/>
      <c r="E23" s="46"/>
      <c r="F23" s="46"/>
      <c r="G23" s="46"/>
      <c r="H23" s="46"/>
      <c r="I23" s="46"/>
      <c r="J23" s="46"/>
      <c r="K23" s="46"/>
      <c r="L23" s="46"/>
      <c r="M23" s="46"/>
      <c r="N23" s="46"/>
    </row>
    <row r="24" spans="1:14" x14ac:dyDescent="0.25">
      <c r="A24" s="46"/>
      <c r="B24" s="46"/>
      <c r="C24" s="46"/>
      <c r="D24" s="46"/>
      <c r="E24" s="46"/>
      <c r="F24" s="46"/>
      <c r="G24" s="46"/>
      <c r="H24" s="46"/>
      <c r="I24" s="46"/>
      <c r="J24" s="46"/>
      <c r="K24" s="46"/>
      <c r="L24" s="46"/>
      <c r="M24" s="46"/>
      <c r="N24" s="46"/>
    </row>
    <row r="25" spans="1:14" x14ac:dyDescent="0.25">
      <c r="A25" s="46"/>
      <c r="B25" s="46"/>
      <c r="C25" s="46"/>
      <c r="D25" s="46"/>
      <c r="E25" s="46"/>
      <c r="F25" s="46"/>
      <c r="G25" s="46"/>
      <c r="H25" s="46"/>
      <c r="I25" s="46"/>
      <c r="J25" s="46"/>
      <c r="K25" s="46"/>
      <c r="L25" s="46"/>
      <c r="M25" s="46"/>
      <c r="N25" s="46"/>
    </row>
    <row r="26" spans="1:14" x14ac:dyDescent="0.25">
      <c r="A26" s="46"/>
      <c r="B26" s="46"/>
      <c r="C26" s="46"/>
      <c r="D26" s="46"/>
      <c r="E26" s="46"/>
      <c r="F26" s="46"/>
      <c r="G26" s="46"/>
      <c r="H26" s="46"/>
      <c r="I26" s="46"/>
      <c r="J26" s="46"/>
      <c r="K26" s="46"/>
      <c r="L26" s="46"/>
      <c r="M26" s="46"/>
      <c r="N26" s="46"/>
    </row>
    <row r="27" spans="1:14" x14ac:dyDescent="0.25">
      <c r="A27" s="46"/>
      <c r="B27" s="46"/>
      <c r="C27" s="46"/>
      <c r="D27" s="46"/>
      <c r="E27" s="46"/>
      <c r="F27" s="46"/>
      <c r="G27" s="46"/>
      <c r="H27" s="46"/>
      <c r="I27" s="46"/>
      <c r="J27" s="46"/>
      <c r="K27" s="46"/>
      <c r="L27" s="46"/>
      <c r="M27" s="46"/>
      <c r="N27" s="46"/>
    </row>
    <row r="28" spans="1:14" x14ac:dyDescent="0.25">
      <c r="A28" s="46"/>
      <c r="B28" s="46"/>
      <c r="C28" s="46"/>
      <c r="D28" s="46"/>
      <c r="E28" s="46"/>
      <c r="F28" s="46"/>
      <c r="G28" s="46"/>
      <c r="H28" s="46"/>
      <c r="I28" s="46"/>
      <c r="J28" s="46"/>
      <c r="K28" s="46"/>
      <c r="L28" s="46"/>
      <c r="M28" s="46"/>
      <c r="N28" s="46"/>
    </row>
    <row r="29" spans="1:14" x14ac:dyDescent="0.25">
      <c r="A29" s="46"/>
      <c r="B29" s="46"/>
      <c r="C29" s="46"/>
      <c r="D29" s="46"/>
      <c r="E29" s="46"/>
      <c r="F29" s="46"/>
      <c r="G29" s="46"/>
      <c r="H29" s="46"/>
      <c r="I29" s="46"/>
      <c r="J29" s="46"/>
      <c r="K29" s="46"/>
      <c r="L29" s="46"/>
      <c r="M29" s="46"/>
      <c r="N29" s="46"/>
    </row>
    <row r="30" spans="1:14" x14ac:dyDescent="0.25">
      <c r="A30" s="46"/>
      <c r="B30" s="46"/>
      <c r="C30" s="46"/>
      <c r="D30" s="46"/>
      <c r="E30" s="46"/>
      <c r="F30" s="46"/>
      <c r="G30" s="46"/>
      <c r="H30" s="46"/>
      <c r="I30" s="46"/>
      <c r="J30" s="46"/>
      <c r="K30" s="46"/>
      <c r="L30" s="46"/>
      <c r="M30" s="46"/>
      <c r="N30" s="46"/>
    </row>
    <row r="31" spans="1:14" x14ac:dyDescent="0.25">
      <c r="A31" s="46"/>
      <c r="B31" s="46"/>
      <c r="C31" s="46"/>
      <c r="D31" s="46"/>
      <c r="E31" s="46"/>
      <c r="F31" s="46"/>
      <c r="G31" s="46"/>
      <c r="H31" s="46"/>
      <c r="I31" s="46"/>
      <c r="J31" s="46"/>
      <c r="K31" s="46"/>
      <c r="L31" s="46"/>
      <c r="M31" s="46"/>
      <c r="N31" s="46"/>
    </row>
    <row r="32" spans="1:14" x14ac:dyDescent="0.25">
      <c r="A32" s="46"/>
      <c r="B32" s="46"/>
      <c r="C32" s="46"/>
      <c r="D32" s="46"/>
      <c r="E32" s="46"/>
      <c r="F32" s="46"/>
      <c r="G32" s="46"/>
      <c r="H32" s="46"/>
      <c r="I32" s="46"/>
      <c r="J32" s="46"/>
      <c r="K32" s="46"/>
      <c r="L32" s="46"/>
      <c r="M32" s="46"/>
      <c r="N32" s="46"/>
    </row>
    <row r="33" spans="1:14" x14ac:dyDescent="0.25">
      <c r="A33" s="46"/>
      <c r="B33" s="46"/>
      <c r="C33" s="46"/>
      <c r="D33" s="46"/>
      <c r="E33" s="46"/>
      <c r="F33" s="46"/>
      <c r="G33" s="46"/>
      <c r="H33" s="46"/>
      <c r="I33" s="46"/>
      <c r="J33" s="46"/>
      <c r="K33" s="46"/>
      <c r="L33" s="46"/>
      <c r="M33" s="46"/>
      <c r="N33" s="46"/>
    </row>
    <row r="34" spans="1:14" x14ac:dyDescent="0.25">
      <c r="A34" s="46"/>
      <c r="B34" s="46"/>
      <c r="C34" s="46"/>
      <c r="D34" s="46"/>
      <c r="E34" s="46"/>
      <c r="F34" s="46"/>
      <c r="G34" s="46"/>
      <c r="H34" s="46"/>
      <c r="I34" s="46"/>
      <c r="J34" s="46"/>
      <c r="K34" s="46"/>
      <c r="L34" s="46"/>
      <c r="M34" s="46"/>
      <c r="N34" s="46"/>
    </row>
    <row r="35" spans="1:14" x14ac:dyDescent="0.25">
      <c r="A35" s="46"/>
      <c r="B35" s="46"/>
      <c r="C35" s="46"/>
      <c r="D35" s="46"/>
      <c r="E35" s="46"/>
      <c r="F35" s="46"/>
      <c r="G35" s="46"/>
      <c r="H35" s="46"/>
      <c r="I35" s="46"/>
      <c r="J35" s="46"/>
      <c r="K35" s="46"/>
      <c r="L35" s="46"/>
      <c r="M35" s="46"/>
      <c r="N35" s="46"/>
    </row>
    <row r="36" spans="1:14" x14ac:dyDescent="0.25">
      <c r="A36" s="46"/>
      <c r="B36" s="46"/>
      <c r="C36" s="46"/>
      <c r="D36" s="46"/>
      <c r="E36" s="46"/>
      <c r="F36" s="46"/>
      <c r="G36" s="46"/>
      <c r="H36" s="46"/>
      <c r="I36" s="46"/>
      <c r="J36" s="46"/>
      <c r="K36" s="46"/>
      <c r="L36" s="46"/>
      <c r="M36" s="46"/>
      <c r="N36" s="46"/>
    </row>
    <row r="37" spans="1:14" x14ac:dyDescent="0.25">
      <c r="A37" s="46"/>
      <c r="B37" s="46"/>
      <c r="C37" s="46"/>
      <c r="D37" s="46"/>
      <c r="E37" s="46"/>
      <c r="F37" s="46"/>
      <c r="G37" s="46"/>
      <c r="H37" s="46"/>
      <c r="I37" s="46"/>
      <c r="J37" s="46"/>
      <c r="K37" s="46"/>
      <c r="L37" s="46"/>
      <c r="M37" s="46"/>
      <c r="N37" s="46"/>
    </row>
    <row r="38" spans="1:14" x14ac:dyDescent="0.25">
      <c r="A38" s="46"/>
      <c r="B38" s="46"/>
      <c r="C38" s="46"/>
      <c r="D38" s="46"/>
      <c r="E38" s="46"/>
      <c r="F38" s="46"/>
      <c r="G38" s="46"/>
      <c r="H38" s="46"/>
      <c r="I38" s="46"/>
      <c r="J38" s="46"/>
      <c r="K38" s="46"/>
      <c r="L38" s="46"/>
      <c r="M38" s="46"/>
      <c r="N38" s="46"/>
    </row>
    <row r="39" spans="1:14" x14ac:dyDescent="0.25">
      <c r="A39" s="46"/>
      <c r="B39" s="46"/>
      <c r="C39" s="46"/>
      <c r="D39" s="46"/>
      <c r="E39" s="46"/>
      <c r="F39" s="46"/>
      <c r="G39" s="46"/>
      <c r="H39" s="46"/>
      <c r="I39" s="46"/>
      <c r="J39" s="46"/>
      <c r="K39" s="46"/>
      <c r="L39" s="46"/>
      <c r="M39" s="46"/>
      <c r="N39" s="46"/>
    </row>
    <row r="40" spans="1:14" x14ac:dyDescent="0.25">
      <c r="A40" s="46"/>
      <c r="B40" s="46"/>
      <c r="C40" s="46"/>
      <c r="D40" s="46"/>
      <c r="E40" s="46"/>
      <c r="F40" s="46"/>
      <c r="G40" s="46"/>
      <c r="H40" s="46"/>
      <c r="I40" s="46"/>
      <c r="J40" s="46"/>
      <c r="K40" s="46"/>
      <c r="L40" s="46"/>
      <c r="M40" s="46"/>
      <c r="N40" s="46"/>
    </row>
    <row r="41" spans="1:14" x14ac:dyDescent="0.25">
      <c r="A41" s="46"/>
      <c r="B41" s="46"/>
      <c r="C41" s="46"/>
      <c r="D41" s="46"/>
      <c r="E41" s="46"/>
      <c r="F41" s="46"/>
      <c r="G41" s="46"/>
      <c r="H41" s="46"/>
      <c r="I41" s="46"/>
      <c r="J41" s="46"/>
      <c r="K41" s="46"/>
      <c r="L41" s="46"/>
      <c r="M41" s="46"/>
      <c r="N41" s="46"/>
    </row>
    <row r="42" spans="1:14" x14ac:dyDescent="0.25">
      <c r="A42" s="46"/>
      <c r="B42" s="46"/>
      <c r="C42" s="46"/>
      <c r="D42" s="46"/>
      <c r="E42" s="46"/>
      <c r="F42" s="46"/>
      <c r="G42" s="46"/>
      <c r="H42" s="46"/>
      <c r="I42" s="46"/>
      <c r="J42" s="46"/>
      <c r="K42" s="46"/>
      <c r="L42" s="46"/>
      <c r="M42" s="46"/>
      <c r="N42" s="46"/>
    </row>
    <row r="43" spans="1:14" x14ac:dyDescent="0.25">
      <c r="A43" s="46"/>
      <c r="B43" s="46"/>
      <c r="C43" s="46"/>
      <c r="D43" s="46"/>
      <c r="E43" s="46"/>
      <c r="F43" s="46"/>
      <c r="G43" s="46"/>
      <c r="H43" s="46"/>
      <c r="I43" s="46"/>
      <c r="J43" s="46"/>
      <c r="K43" s="46"/>
      <c r="L43" s="46"/>
      <c r="M43" s="46"/>
      <c r="N43" s="46"/>
    </row>
    <row r="44" spans="1:14" x14ac:dyDescent="0.25">
      <c r="A44" s="46"/>
      <c r="B44" s="46"/>
      <c r="C44" s="46"/>
      <c r="D44" s="46"/>
      <c r="E44" s="46"/>
      <c r="F44" s="46"/>
      <c r="G44" s="46"/>
      <c r="H44" s="46"/>
      <c r="I44" s="46"/>
      <c r="J44" s="46"/>
      <c r="K44" s="46"/>
      <c r="L44" s="46"/>
      <c r="M44" s="46"/>
      <c r="N44" s="46"/>
    </row>
    <row r="45" spans="1:14" x14ac:dyDescent="0.25">
      <c r="A45" s="46"/>
      <c r="B45" s="46"/>
      <c r="C45" s="46"/>
      <c r="D45" s="46"/>
      <c r="E45" s="46"/>
      <c r="F45" s="46"/>
      <c r="G45" s="46"/>
      <c r="H45" s="46"/>
      <c r="I45" s="46"/>
      <c r="J45" s="46"/>
      <c r="K45" s="46"/>
      <c r="L45" s="46"/>
      <c r="M45" s="46"/>
      <c r="N45" s="46"/>
    </row>
    <row r="46" spans="1:14" x14ac:dyDescent="0.25">
      <c r="A46" s="46"/>
      <c r="B46" s="46"/>
      <c r="C46" s="46"/>
      <c r="D46" s="46"/>
      <c r="E46" s="46"/>
      <c r="F46" s="46"/>
      <c r="G46" s="46"/>
      <c r="H46" s="46"/>
      <c r="I46" s="46"/>
      <c r="J46" s="46"/>
      <c r="K46" s="46"/>
      <c r="L46" s="46"/>
      <c r="M46" s="46"/>
      <c r="N46" s="46"/>
    </row>
    <row r="47" spans="1:14" x14ac:dyDescent="0.25">
      <c r="A47" s="46"/>
      <c r="B47" s="46"/>
      <c r="C47" s="46"/>
      <c r="D47" s="46"/>
      <c r="E47" s="46"/>
      <c r="F47" s="46"/>
      <c r="G47" s="46"/>
      <c r="H47" s="46"/>
      <c r="I47" s="46"/>
      <c r="J47" s="46"/>
      <c r="K47" s="46"/>
      <c r="L47" s="46"/>
      <c r="M47" s="46"/>
      <c r="N47" s="46"/>
    </row>
    <row r="48" spans="1:14" x14ac:dyDescent="0.25">
      <c r="A48" s="46"/>
      <c r="B48" s="46"/>
      <c r="C48" s="46"/>
      <c r="D48" s="46"/>
      <c r="E48" s="46"/>
      <c r="F48" s="46"/>
      <c r="G48" s="46"/>
      <c r="H48" s="46"/>
      <c r="I48" s="46"/>
      <c r="J48" s="46"/>
      <c r="K48" s="46"/>
      <c r="L48" s="46"/>
      <c r="M48" s="46"/>
      <c r="N48" s="46"/>
    </row>
    <row r="49" spans="1:14" x14ac:dyDescent="0.25">
      <c r="A49" s="46"/>
      <c r="B49" s="46"/>
      <c r="C49" s="46"/>
      <c r="D49" s="46"/>
      <c r="E49" s="46"/>
      <c r="F49" s="46"/>
      <c r="G49" s="46"/>
      <c r="H49" s="46"/>
      <c r="I49" s="46"/>
      <c r="J49" s="46"/>
      <c r="K49" s="46"/>
      <c r="L49" s="46"/>
      <c r="M49" s="46"/>
      <c r="N49" s="46"/>
    </row>
    <row r="50" spans="1:14" x14ac:dyDescent="0.25">
      <c r="A50" s="46"/>
      <c r="B50" s="46"/>
      <c r="C50" s="46"/>
      <c r="D50" s="46"/>
      <c r="E50" s="46"/>
      <c r="F50" s="46"/>
      <c r="G50" s="46"/>
      <c r="H50" s="46"/>
      <c r="I50" s="46"/>
      <c r="J50" s="46"/>
      <c r="K50" s="46"/>
      <c r="L50" s="46"/>
      <c r="M50" s="46"/>
      <c r="N50" s="46"/>
    </row>
    <row r="51" spans="1:14" x14ac:dyDescent="0.25">
      <c r="A51" s="46"/>
      <c r="B51" s="46"/>
      <c r="C51" s="46"/>
      <c r="D51" s="46"/>
      <c r="E51" s="46"/>
      <c r="F51" s="46"/>
      <c r="G51" s="46"/>
      <c r="H51" s="46"/>
      <c r="I51" s="46"/>
      <c r="J51" s="46"/>
      <c r="K51" s="46"/>
      <c r="L51" s="46"/>
      <c r="M51" s="46"/>
      <c r="N51" s="46"/>
    </row>
    <row r="52" spans="1:14" x14ac:dyDescent="0.25">
      <c r="A52" s="46"/>
      <c r="B52" s="46"/>
      <c r="C52" s="46"/>
      <c r="D52" s="46"/>
      <c r="E52" s="46"/>
      <c r="F52" s="46"/>
      <c r="G52" s="46"/>
      <c r="H52" s="46"/>
      <c r="I52" s="46"/>
      <c r="J52" s="46"/>
      <c r="K52" s="46"/>
      <c r="L52" s="46"/>
      <c r="M52" s="46"/>
      <c r="N52" s="46"/>
    </row>
    <row r="53" spans="1:14" x14ac:dyDescent="0.25">
      <c r="A53" s="46"/>
      <c r="B53" s="46"/>
      <c r="C53" s="46"/>
      <c r="D53" s="46"/>
      <c r="E53" s="46"/>
      <c r="F53" s="46"/>
      <c r="G53" s="46"/>
      <c r="H53" s="46"/>
      <c r="I53" s="46"/>
      <c r="J53" s="46"/>
      <c r="K53" s="46"/>
      <c r="L53" s="46"/>
      <c r="M53" s="46"/>
      <c r="N53" s="46"/>
    </row>
    <row r="54" spans="1:14" x14ac:dyDescent="0.25">
      <c r="A54" s="46"/>
      <c r="B54" s="46"/>
      <c r="C54" s="46"/>
      <c r="D54" s="46"/>
      <c r="E54" s="46"/>
      <c r="F54" s="46"/>
      <c r="G54" s="46"/>
      <c r="H54" s="46"/>
      <c r="I54" s="46"/>
      <c r="J54" s="46"/>
      <c r="K54" s="46"/>
      <c r="L54" s="46"/>
      <c r="M54" s="46"/>
      <c r="N54" s="46"/>
    </row>
    <row r="55" spans="1:14" x14ac:dyDescent="0.25">
      <c r="A55" s="46"/>
      <c r="B55" s="46"/>
      <c r="C55" s="46"/>
      <c r="D55" s="46"/>
      <c r="E55" s="46"/>
      <c r="F55" s="46"/>
      <c r="G55" s="46"/>
      <c r="H55" s="46"/>
      <c r="I55" s="46"/>
      <c r="J55" s="46"/>
      <c r="K55" s="46"/>
      <c r="L55" s="46"/>
      <c r="M55" s="46"/>
      <c r="N55" s="46"/>
    </row>
    <row r="56" spans="1:14" x14ac:dyDescent="0.25">
      <c r="A56" s="46"/>
      <c r="B56" s="46"/>
      <c r="C56" s="46"/>
      <c r="D56" s="46"/>
      <c r="E56" s="46"/>
      <c r="F56" s="46"/>
      <c r="G56" s="46"/>
      <c r="H56" s="46"/>
      <c r="I56" s="46"/>
      <c r="J56" s="46"/>
      <c r="K56" s="46"/>
      <c r="L56" s="46"/>
      <c r="M56" s="46"/>
      <c r="N56" s="46"/>
    </row>
    <row r="57" spans="1:14" x14ac:dyDescent="0.25">
      <c r="A57" s="46"/>
      <c r="B57" s="46"/>
      <c r="C57" s="46"/>
      <c r="D57" s="46"/>
      <c r="E57" s="46"/>
      <c r="F57" s="46"/>
      <c r="G57" s="46"/>
      <c r="H57" s="46"/>
      <c r="I57" s="46"/>
      <c r="J57" s="46"/>
      <c r="K57" s="46"/>
      <c r="L57" s="46"/>
      <c r="M57" s="46"/>
      <c r="N57" s="46"/>
    </row>
    <row r="58" spans="1:14" x14ac:dyDescent="0.25">
      <c r="A58" s="46"/>
      <c r="B58" s="46"/>
      <c r="C58" s="46"/>
      <c r="D58" s="46"/>
      <c r="E58" s="46"/>
      <c r="F58" s="46"/>
      <c r="G58" s="46"/>
      <c r="H58" s="46"/>
      <c r="I58" s="46"/>
      <c r="J58" s="46"/>
      <c r="K58" s="46"/>
      <c r="L58" s="46"/>
      <c r="M58" s="46"/>
      <c r="N58" s="46"/>
    </row>
    <row r="59" spans="1:14" x14ac:dyDescent="0.25">
      <c r="A59" s="46"/>
      <c r="B59" s="46"/>
      <c r="C59" s="46"/>
      <c r="D59" s="46"/>
      <c r="E59" s="46"/>
      <c r="F59" s="46"/>
      <c r="G59" s="46"/>
      <c r="H59" s="46"/>
      <c r="I59" s="46"/>
      <c r="J59" s="46"/>
      <c r="K59" s="46"/>
      <c r="L59" s="46"/>
      <c r="M59" s="46"/>
      <c r="N59" s="46"/>
    </row>
    <row r="60" spans="1:14" x14ac:dyDescent="0.25">
      <c r="A60" s="46"/>
      <c r="B60" s="46"/>
      <c r="C60" s="46"/>
      <c r="D60" s="46"/>
      <c r="E60" s="46"/>
      <c r="F60" s="46"/>
      <c r="G60" s="46"/>
      <c r="H60" s="46"/>
      <c r="I60" s="46"/>
      <c r="J60" s="46"/>
      <c r="K60" s="46"/>
      <c r="L60" s="46"/>
      <c r="M60" s="46"/>
      <c r="N60" s="46"/>
    </row>
    <row r="61" spans="1:14" x14ac:dyDescent="0.25">
      <c r="A61" s="46"/>
      <c r="B61" s="46"/>
      <c r="C61" s="46"/>
      <c r="D61" s="46"/>
      <c r="E61" s="46"/>
      <c r="F61" s="46"/>
      <c r="G61" s="46"/>
      <c r="H61" s="46"/>
      <c r="I61" s="46"/>
      <c r="J61" s="46"/>
      <c r="K61" s="46"/>
      <c r="L61" s="46"/>
      <c r="M61" s="46"/>
      <c r="N61" s="46"/>
    </row>
    <row r="62" spans="1:14" x14ac:dyDescent="0.25">
      <c r="A62" s="46"/>
      <c r="B62" s="46"/>
      <c r="C62" s="46"/>
      <c r="D62" s="46"/>
      <c r="E62" s="46"/>
      <c r="F62" s="46"/>
      <c r="G62" s="46"/>
      <c r="H62" s="46"/>
      <c r="I62" s="46"/>
      <c r="J62" s="46"/>
      <c r="K62" s="46"/>
      <c r="L62" s="46"/>
      <c r="M62" s="46"/>
      <c r="N62" s="46"/>
    </row>
    <row r="63" spans="1:14" x14ac:dyDescent="0.25">
      <c r="A63" s="46"/>
      <c r="B63" s="46"/>
      <c r="C63" s="46"/>
      <c r="D63" s="46"/>
      <c r="E63" s="46"/>
      <c r="F63" s="46"/>
      <c r="G63" s="46"/>
      <c r="H63" s="46"/>
      <c r="I63" s="46"/>
      <c r="J63" s="46"/>
      <c r="K63" s="46"/>
      <c r="L63" s="46"/>
      <c r="M63" s="46"/>
      <c r="N63" s="46"/>
    </row>
    <row r="64" spans="1:14" x14ac:dyDescent="0.25">
      <c r="A64" s="46"/>
      <c r="B64" s="46"/>
      <c r="C64" s="46"/>
      <c r="D64" s="46"/>
      <c r="E64" s="46"/>
      <c r="F64" s="46"/>
      <c r="G64" s="46"/>
      <c r="H64" s="46"/>
      <c r="I64" s="46"/>
      <c r="J64" s="46"/>
      <c r="K64" s="46"/>
      <c r="L64" s="46"/>
      <c r="M64" s="46"/>
      <c r="N64" s="46"/>
    </row>
    <row r="65" spans="1:14" x14ac:dyDescent="0.25">
      <c r="A65" s="46"/>
      <c r="B65" s="46"/>
      <c r="C65" s="46"/>
      <c r="D65" s="46"/>
      <c r="E65" s="46"/>
      <c r="F65" s="46"/>
      <c r="G65" s="46"/>
      <c r="H65" s="46"/>
      <c r="I65" s="46"/>
      <c r="J65" s="46"/>
      <c r="K65" s="46"/>
      <c r="L65" s="46"/>
      <c r="M65" s="46"/>
      <c r="N65" s="46"/>
    </row>
    <row r="66" spans="1:14" x14ac:dyDescent="0.25">
      <c r="A66" s="46"/>
      <c r="B66" s="46"/>
      <c r="C66" s="46"/>
      <c r="D66" s="46"/>
      <c r="E66" s="46"/>
      <c r="F66" s="46"/>
      <c r="G66" s="46"/>
      <c r="H66" s="46"/>
      <c r="I66" s="46"/>
      <c r="J66" s="46"/>
      <c r="K66" s="46"/>
      <c r="L66" s="46"/>
      <c r="M66" s="46"/>
      <c r="N66" s="46"/>
    </row>
    <row r="67" spans="1:14" x14ac:dyDescent="0.25">
      <c r="A67" s="46"/>
      <c r="B67" s="46"/>
      <c r="C67" s="46"/>
      <c r="D67" s="46"/>
      <c r="E67" s="46"/>
      <c r="F67" s="46"/>
      <c r="G67" s="46"/>
      <c r="H67" s="46"/>
      <c r="I67" s="46"/>
      <c r="J67" s="46"/>
      <c r="K67" s="46"/>
      <c r="L67" s="46"/>
      <c r="M67" s="46"/>
      <c r="N67" s="46"/>
    </row>
    <row r="68" spans="1:14" x14ac:dyDescent="0.25">
      <c r="A68" s="46"/>
      <c r="B68" s="46"/>
      <c r="C68" s="46"/>
      <c r="D68" s="46"/>
      <c r="E68" s="46"/>
      <c r="F68" s="46"/>
      <c r="G68" s="46"/>
      <c r="H68" s="46"/>
      <c r="I68" s="46"/>
      <c r="J68" s="46"/>
      <c r="K68" s="46"/>
      <c r="L68" s="46"/>
      <c r="M68" s="46"/>
      <c r="N68" s="46"/>
    </row>
    <row r="69" spans="1:14" x14ac:dyDescent="0.25">
      <c r="A69" s="46"/>
      <c r="B69" s="46"/>
      <c r="C69" s="46"/>
      <c r="D69" s="46"/>
      <c r="E69" s="46"/>
      <c r="F69" s="46"/>
      <c r="G69" s="46"/>
      <c r="H69" s="46"/>
      <c r="I69" s="46"/>
      <c r="J69" s="46"/>
      <c r="K69" s="46"/>
      <c r="L69" s="46"/>
      <c r="M69" s="46"/>
      <c r="N69" s="46"/>
    </row>
    <row r="70" spans="1:14" x14ac:dyDescent="0.25">
      <c r="A70" s="46"/>
      <c r="B70" s="46"/>
      <c r="C70" s="46"/>
      <c r="D70" s="46"/>
      <c r="E70" s="46"/>
      <c r="F70" s="46"/>
      <c r="G70" s="46"/>
      <c r="H70" s="46"/>
      <c r="I70" s="46"/>
      <c r="J70" s="46"/>
      <c r="K70" s="46"/>
      <c r="L70" s="46"/>
      <c r="M70" s="46"/>
      <c r="N70" s="46"/>
    </row>
    <row r="71" spans="1:14" x14ac:dyDescent="0.25">
      <c r="A71" s="46"/>
      <c r="B71" s="46"/>
      <c r="C71" s="46"/>
      <c r="D71" s="46"/>
      <c r="E71" s="46"/>
      <c r="F71" s="46"/>
      <c r="G71" s="46"/>
      <c r="H71" s="46"/>
      <c r="I71" s="46"/>
      <c r="J71" s="46"/>
      <c r="K71" s="46"/>
      <c r="L71" s="46"/>
      <c r="M71" s="46"/>
      <c r="N71" s="46"/>
    </row>
    <row r="72" spans="1:14" x14ac:dyDescent="0.25">
      <c r="A72" s="46"/>
      <c r="B72" s="46"/>
      <c r="C72" s="46"/>
      <c r="D72" s="46"/>
      <c r="E72" s="46"/>
      <c r="F72" s="46"/>
      <c r="G72" s="46"/>
      <c r="H72" s="46"/>
      <c r="I72" s="46"/>
      <c r="J72" s="46"/>
      <c r="K72" s="46"/>
      <c r="L72" s="46"/>
      <c r="M72" s="46"/>
      <c r="N72" s="46"/>
    </row>
    <row r="73" spans="1:14" x14ac:dyDescent="0.25">
      <c r="A73" s="46"/>
      <c r="B73" s="46"/>
      <c r="C73" s="46"/>
      <c r="D73" s="46"/>
      <c r="E73" s="46"/>
      <c r="F73" s="46"/>
      <c r="G73" s="46"/>
      <c r="H73" s="46"/>
      <c r="I73" s="46"/>
      <c r="J73" s="46"/>
      <c r="K73" s="46"/>
      <c r="L73" s="46"/>
      <c r="M73" s="46"/>
      <c r="N73" s="46"/>
    </row>
    <row r="74" spans="1:14" x14ac:dyDescent="0.25">
      <c r="A74" s="46"/>
      <c r="B74" s="46"/>
      <c r="C74" s="46"/>
      <c r="D74" s="46"/>
      <c r="E74" s="46"/>
      <c r="F74" s="46"/>
      <c r="G74" s="46"/>
      <c r="H74" s="46"/>
      <c r="I74" s="46"/>
      <c r="J74" s="46"/>
      <c r="K74" s="46"/>
      <c r="L74" s="46"/>
      <c r="M74" s="46"/>
      <c r="N74" s="46"/>
    </row>
    <row r="75" spans="1:14" x14ac:dyDescent="0.25">
      <c r="A75" s="46"/>
      <c r="B75" s="46"/>
      <c r="C75" s="46"/>
      <c r="D75" s="46"/>
      <c r="E75" s="46"/>
      <c r="F75" s="46"/>
      <c r="G75" s="46"/>
      <c r="H75" s="46"/>
      <c r="I75" s="46"/>
      <c r="J75" s="46"/>
      <c r="K75" s="46"/>
      <c r="L75" s="46"/>
      <c r="M75" s="46"/>
      <c r="N75" s="46"/>
    </row>
    <row r="76" spans="1:14" x14ac:dyDescent="0.25">
      <c r="A76" s="46"/>
      <c r="B76" s="46"/>
      <c r="C76" s="46"/>
      <c r="D76" s="46"/>
      <c r="E76" s="46"/>
      <c r="F76" s="46"/>
      <c r="G76" s="46"/>
      <c r="H76" s="46"/>
      <c r="I76" s="46"/>
      <c r="J76" s="46"/>
      <c r="K76" s="46"/>
      <c r="L76" s="46"/>
      <c r="M76" s="46"/>
      <c r="N76" s="46"/>
    </row>
    <row r="77" spans="1:14" x14ac:dyDescent="0.25">
      <c r="A77" s="46"/>
      <c r="B77" s="46"/>
      <c r="C77" s="46"/>
      <c r="D77" s="46"/>
      <c r="E77" s="46"/>
      <c r="F77" s="46"/>
      <c r="G77" s="46"/>
      <c r="H77" s="46"/>
      <c r="I77" s="46"/>
      <c r="J77" s="46"/>
      <c r="K77" s="46"/>
      <c r="L77" s="46"/>
      <c r="M77" s="46"/>
      <c r="N77" s="46"/>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4.xml>��
</file>

<file path=customXml/itemProps1.xml><?xml version="1.0" encoding="utf-8"?>
<ds:datastoreItem xmlns:ds="http://schemas.openxmlformats.org/officeDocument/2006/customXml" ds:itemID="{DF92B300-9261-471E-98C7-39B57E547407}">
  <ds:schemaRefs>
    <ds:schemaRef ds:uri="http://schemas.microsoft.com/sharepoint/v3/contenttype/forms"/>
  </ds:schemaRefs>
</ds:datastoreItem>
</file>

<file path=customXml/itemProps2.xml><?xml version="1.0" encoding="utf-8"?>
<ds:datastoreItem xmlns:ds="http://schemas.openxmlformats.org/officeDocument/2006/customXml" ds:itemID="{3E4FD190-CB76-4468-92EB-2883383251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A61D09-0191-42F7-BCD8-EB701CBFD921}">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4.xml><?xml version="1.0" encoding="utf-8"?>
<ds:datastoreItem xmlns:ds="http://schemas.openxmlformats.org/officeDocument/2006/customXml" ds:itemID="{81BDB307-C3C6-4AF1-A509-6CC2FDDE2F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TM02802352</Template>
  <Application>Microsoft Excel</Application>
  <DocSecurity>0</DocSecurity>
  <ScaleCrop>false</ScaleCrop>
  <HeadingPairs>
    <vt:vector size="4" baseType="variant">
      <vt:variant>
        <vt:lpstr>גליונות עבודה</vt:lpstr>
      </vt:variant>
      <vt:variant>
        <vt:i4>5</vt:i4>
      </vt:variant>
      <vt:variant>
        <vt:lpstr>טווחים בעלי שם</vt:lpstr>
      </vt:variant>
      <vt:variant>
        <vt:i4>69</vt:i4>
      </vt:variant>
    </vt:vector>
  </HeadingPairs>
  <TitlesOfParts>
    <vt:vector size="74" baseType="lpstr">
      <vt:lpstr>דאשבורד</vt:lpstr>
      <vt:lpstr>מחשבון משכנתה</vt:lpstr>
      <vt:lpstr> טבלת סילוקין - מסכמת</vt:lpstr>
      <vt:lpstr> טבלת סילוקין - לפי מסלולים</vt:lpstr>
      <vt:lpstr>נתונים</vt:lpstr>
      <vt:lpstr>' טבלת סילוקין - מסכמת'!ColumnTitle2</vt:lpstr>
      <vt:lpstr>דאשבורד!ColumnTitle2</vt:lpstr>
      <vt:lpstr>ColumnTitle2</vt:lpstr>
      <vt:lpstr>LoanStart</vt:lpstr>
      <vt:lpstr>LoanStart2</vt:lpstr>
      <vt:lpstr>LoanStart3</vt:lpstr>
      <vt:lpstr>LoanStart4</vt:lpstr>
      <vt:lpstr>MonthlyLoanPayment</vt:lpstr>
      <vt:lpstr>MonthlyLoanPayment2</vt:lpstr>
      <vt:lpstr>MonthlyLoanPayment3</vt:lpstr>
      <vt:lpstr>MonthlyLoanPayment4</vt:lpstr>
      <vt:lpstr>' טבלת סילוקין - מסכמת'!NoPaymentsRemaining</vt:lpstr>
      <vt:lpstr>NoPaymentsRemaining</vt:lpstr>
      <vt:lpstr>דאשבורד!NoPaymentsRemaining2</vt:lpstr>
      <vt:lpstr>NoPaymentsRemaining2</vt:lpstr>
      <vt:lpstr>דאשבורד!NoPaymentsRemaining3</vt:lpstr>
      <vt:lpstr>NoPaymentsRemaining3</vt:lpstr>
      <vt:lpstr>דאשבורד!NoPaymentsRemaining4</vt:lpstr>
      <vt:lpstr>NoPaymentsRemaining4</vt:lpstr>
      <vt:lpstr>דאשבורד!PropertyTaxAmount</vt:lpstr>
      <vt:lpstr>PropertyTaxAmount</vt:lpstr>
      <vt:lpstr>דאשבורד!TitleRegion1..C8</vt:lpstr>
      <vt:lpstr>TitleRegion1..C8</vt:lpstr>
      <vt:lpstr>דאשבורד!TitleRegion2..E8</vt:lpstr>
      <vt:lpstr>TitleRegion2..E8</vt:lpstr>
      <vt:lpstr>total_interest_paid</vt:lpstr>
      <vt:lpstr>total_interest_paid2</vt:lpstr>
      <vt:lpstr>total_interest_paid3</vt:lpstr>
      <vt:lpstr>total_interest_paid4</vt:lpstr>
      <vt:lpstr>' טבלת סילוקין - מסכמת'!total_loan_payment</vt:lpstr>
      <vt:lpstr>total_loan_payment</vt:lpstr>
      <vt:lpstr>total_loan_payment2</vt:lpstr>
      <vt:lpstr>total_loan_payment3</vt:lpstr>
      <vt:lpstr>דאשבורד!total_loan_payment4</vt:lpstr>
      <vt:lpstr>total_loan_payment4</vt:lpstr>
      <vt:lpstr>' טבלת סילוקין - מסכמת'!total_payments</vt:lpstr>
      <vt:lpstr>total_payments</vt:lpstr>
      <vt:lpstr>דאשבורד!total_payments2</vt:lpstr>
      <vt:lpstr>total_payments2</vt:lpstr>
      <vt:lpstr>דאשבורד!total_payments3</vt:lpstr>
      <vt:lpstr>total_payments3</vt:lpstr>
      <vt:lpstr>דאשבורד!total_payments4</vt:lpstr>
      <vt:lpstr>total_payments4</vt:lpstr>
      <vt:lpstr>' טבלת סילוקין - לפי מסלולים'!WPrint_TitlesW</vt:lpstr>
      <vt:lpstr>' טבלת סילוקין - מסכמת'!WPrint_TitlesW</vt:lpstr>
      <vt:lpstr>מדד</vt:lpstr>
      <vt:lpstr>מדד2</vt:lpstr>
      <vt:lpstr>מדד3</vt:lpstr>
      <vt:lpstr>מדד4</vt:lpstr>
      <vt:lpstr>סכום_הלוואה</vt:lpstr>
      <vt:lpstr>סכום_הלוואה2</vt:lpstr>
      <vt:lpstr>סכום_הלוואה3</vt:lpstr>
      <vt:lpstr>סכום_הלוואה4</vt:lpstr>
      <vt:lpstr>' טבלת סילוקין - מסכמת'!ריבית</vt:lpstr>
      <vt:lpstr>ריבית</vt:lpstr>
      <vt:lpstr>דאשבורד!ריבית2</vt:lpstr>
      <vt:lpstr>ריבית2</vt:lpstr>
      <vt:lpstr>דאשבורד!ריבית3</vt:lpstr>
      <vt:lpstr>ריבית3</vt:lpstr>
      <vt:lpstr>דאשבורד!ריבית4</vt:lpstr>
      <vt:lpstr>ריבית4</vt:lpstr>
      <vt:lpstr>שיעור_ריבית</vt:lpstr>
      <vt:lpstr>שיעור_ריבית2</vt:lpstr>
      <vt:lpstr>שיעור_ריבית3</vt:lpstr>
      <vt:lpstr>שיעור_ריבית4</vt:lpstr>
      <vt:lpstr>תקופת_ההלוואה</vt:lpstr>
      <vt:lpstr>תקופת_ההלוואה2</vt:lpstr>
      <vt:lpstr>תקופת_ההלוואה3</vt:lpstr>
      <vt:lpstr>תקופת_ההלוואה4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2021-12-13T22:21:49Z</dcterms:created>
  <dcterms:modified xsi:type="dcterms:W3CDTF">2024-07-28T13:28:46Z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